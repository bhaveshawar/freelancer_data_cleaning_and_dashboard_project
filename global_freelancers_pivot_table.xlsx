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havesh\Desktop\Frelance\"/>
    </mc:Choice>
  </mc:AlternateContent>
  <xr:revisionPtr revIDLastSave="0" documentId="8_{4042336F-65AD-47C9-A9E7-ABB1620EB935}" xr6:coauthVersionLast="47" xr6:coauthVersionMax="47" xr10:uidLastSave="{00000000-0000-0000-0000-000000000000}"/>
  <bookViews>
    <workbookView xWindow="-108" yWindow="-108" windowWidth="23256" windowHeight="12456" xr2:uid="{5A17E9B7-2BB5-405D-8D9E-029CC1E65958}"/>
  </bookViews>
  <sheets>
    <sheet name="Pivot_Table" sheetId="11" r:id="rId1"/>
    <sheet name="Dashboard." sheetId="10" r:id="rId2"/>
    <sheet name="Clean Data" sheetId="9" r:id="rId3"/>
    <sheet name="Pivot_Tablee" sheetId="4" r:id="rId4"/>
    <sheet name="Dashboard" sheetId="8" r:id="rId5"/>
    <sheet name="Data" sheetId="2" r:id="rId6"/>
  </sheets>
  <definedNames>
    <definedName name="_xlnm._FilterDatabase" localSheetId="2" hidden="1">'Clean Data'!$A$1:$R$1001</definedName>
    <definedName name="_xlnm._FilterDatabase" localSheetId="5" hidden="1">Data!$A$1:$R$1001</definedName>
    <definedName name="_xlcn.WorksheetConnection_DataAS1" hidden="1">Data!$A:$S</definedName>
    <definedName name="Slicer_Primary_Skill">#N/A</definedName>
    <definedName name="Slicer_Status">#N/A</definedName>
  </definedNames>
  <calcPr calcId="191029"/>
  <pivotCaches>
    <pivotCache cacheId="0" r:id="rId7"/>
    <pivotCache cacheId="1" r:id="rId8"/>
    <pivotCache cacheId="2" r:id="rId9"/>
    <pivotCache cacheId="3" r:id="rId10"/>
    <pivotCache cacheId="4"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01" i="9" l="1"/>
  <c r="N1001" i="9"/>
  <c r="M1001" i="9"/>
  <c r="K1001" i="9" a="1"/>
  <c r="K1001" i="9" s="1"/>
  <c r="E1001" i="9"/>
  <c r="C1001" i="9"/>
  <c r="S1000" i="9"/>
  <c r="M1000" i="9"/>
  <c r="N1000" i="9" s="1"/>
  <c r="K1000" i="9" a="1"/>
  <c r="K1000" i="9" s="1"/>
  <c r="E1000" i="9"/>
  <c r="C1000" i="9"/>
  <c r="S999" i="9"/>
  <c r="M999" i="9"/>
  <c r="N999" i="9" s="1"/>
  <c r="K999" i="9"/>
  <c r="K999" i="9" a="1"/>
  <c r="E999" i="9"/>
  <c r="C999" i="9"/>
  <c r="S998" i="9"/>
  <c r="M998" i="9"/>
  <c r="N998" i="9" s="1"/>
  <c r="K998" i="9" a="1"/>
  <c r="K998" i="9" s="1"/>
  <c r="E998" i="9"/>
  <c r="C998" i="9"/>
  <c r="S997" i="9"/>
  <c r="N997" i="9"/>
  <c r="M997" i="9"/>
  <c r="K997" i="9" a="1"/>
  <c r="K997" i="9" s="1"/>
  <c r="E997" i="9"/>
  <c r="C997" i="9"/>
  <c r="S996" i="9"/>
  <c r="M996" i="9"/>
  <c r="N996" i="9" s="1"/>
  <c r="K996" i="9"/>
  <c r="K996" i="9" a="1"/>
  <c r="E996" i="9"/>
  <c r="C996" i="9"/>
  <c r="S995" i="9"/>
  <c r="M995" i="9"/>
  <c r="N995" i="9" s="1"/>
  <c r="K995" i="9" a="1"/>
  <c r="K995" i="9" s="1"/>
  <c r="E995" i="9"/>
  <c r="C995" i="9"/>
  <c r="S994" i="9"/>
  <c r="N994" i="9"/>
  <c r="M994" i="9"/>
  <c r="K994" i="9"/>
  <c r="K994" i="9" a="1"/>
  <c r="E994" i="9"/>
  <c r="C994" i="9"/>
  <c r="S993" i="9"/>
  <c r="M993" i="9"/>
  <c r="N993" i="9" s="1"/>
  <c r="K993" i="9" a="1"/>
  <c r="K993" i="9" s="1"/>
  <c r="E993" i="9"/>
  <c r="C993" i="9"/>
  <c r="S992" i="9"/>
  <c r="M992" i="9"/>
  <c r="N992" i="9" s="1"/>
  <c r="K992" i="9"/>
  <c r="K992" i="9" a="1"/>
  <c r="E992" i="9"/>
  <c r="C992" i="9"/>
  <c r="S991" i="9"/>
  <c r="M991" i="9"/>
  <c r="N991" i="9" s="1"/>
  <c r="K991" i="9"/>
  <c r="K991" i="9" a="1"/>
  <c r="E991" i="9"/>
  <c r="C991" i="9"/>
  <c r="S990" i="9"/>
  <c r="N990" i="9"/>
  <c r="M990" i="9"/>
  <c r="K990" i="9"/>
  <c r="K990" i="9" a="1"/>
  <c r="E990" i="9"/>
  <c r="C990" i="9"/>
  <c r="S989" i="9"/>
  <c r="N989" i="9"/>
  <c r="M989" i="9"/>
  <c r="K989" i="9" a="1"/>
  <c r="K989" i="9" s="1"/>
  <c r="E989" i="9"/>
  <c r="C989" i="9"/>
  <c r="S988" i="9"/>
  <c r="N988" i="9"/>
  <c r="M988" i="9"/>
  <c r="K988" i="9" a="1"/>
  <c r="K988" i="9" s="1"/>
  <c r="E988" i="9"/>
  <c r="C988" i="9"/>
  <c r="S987" i="9"/>
  <c r="M987" i="9"/>
  <c r="N987" i="9" s="1"/>
  <c r="K987" i="9"/>
  <c r="K987" i="9" a="1"/>
  <c r="E987" i="9"/>
  <c r="C987" i="9"/>
  <c r="S986" i="9"/>
  <c r="M986" i="9"/>
  <c r="N986" i="9" s="1"/>
  <c r="K986" i="9" a="1"/>
  <c r="K986" i="9" s="1"/>
  <c r="E986" i="9"/>
  <c r="C986" i="9"/>
  <c r="S985" i="9"/>
  <c r="N985" i="9"/>
  <c r="M985" i="9"/>
  <c r="K985" i="9" a="1"/>
  <c r="K985" i="9" s="1"/>
  <c r="E985" i="9"/>
  <c r="C985" i="9"/>
  <c r="S984" i="9"/>
  <c r="M984" i="9"/>
  <c r="N984" i="9" s="1"/>
  <c r="K984" i="9"/>
  <c r="K984" i="9" a="1"/>
  <c r="E984" i="9"/>
  <c r="C984" i="9"/>
  <c r="S983" i="9"/>
  <c r="M983" i="9"/>
  <c r="N983" i="9" s="1"/>
  <c r="K983" i="9" a="1"/>
  <c r="K983" i="9" s="1"/>
  <c r="E983" i="9"/>
  <c r="C983" i="9"/>
  <c r="N982" i="9"/>
  <c r="M982" i="9"/>
  <c r="K982" i="9" a="1"/>
  <c r="K982" i="9" s="1"/>
  <c r="E982" i="9"/>
  <c r="C982" i="9"/>
  <c r="S981" i="9"/>
  <c r="N981" i="9"/>
  <c r="M981" i="9"/>
  <c r="K981" i="9" a="1"/>
  <c r="K981" i="9" s="1"/>
  <c r="E981" i="9"/>
  <c r="C981" i="9"/>
  <c r="S980" i="9"/>
  <c r="M980" i="9"/>
  <c r="N980" i="9" s="1"/>
  <c r="K980" i="9"/>
  <c r="K980" i="9" a="1"/>
  <c r="E980" i="9"/>
  <c r="C980" i="9"/>
  <c r="S979" i="9"/>
  <c r="M979" i="9"/>
  <c r="N979" i="9" s="1"/>
  <c r="K979" i="9" a="1"/>
  <c r="K979" i="9" s="1"/>
  <c r="E979" i="9"/>
  <c r="C979" i="9"/>
  <c r="N978" i="9"/>
  <c r="M978" i="9"/>
  <c r="K978" i="9"/>
  <c r="K978" i="9" a="1"/>
  <c r="E978" i="9"/>
  <c r="C978" i="9"/>
  <c r="S977" i="9"/>
  <c r="M977" i="9"/>
  <c r="N977" i="9" s="1"/>
  <c r="K977" i="9"/>
  <c r="K977" i="9" a="1"/>
  <c r="E977" i="9"/>
  <c r="C977" i="9"/>
  <c r="S976" i="9"/>
  <c r="N976" i="9"/>
  <c r="K976" i="9" a="1"/>
  <c r="K976" i="9" s="1"/>
  <c r="E976" i="9"/>
  <c r="C976" i="9"/>
  <c r="S975" i="9"/>
  <c r="M975" i="9"/>
  <c r="N975" i="9" s="1"/>
  <c r="K975" i="9"/>
  <c r="K975" i="9" a="1"/>
  <c r="E975" i="9"/>
  <c r="C975" i="9"/>
  <c r="S974" i="9"/>
  <c r="M974" i="9"/>
  <c r="N974" i="9" s="1"/>
  <c r="K974" i="9" a="1"/>
  <c r="K974" i="9" s="1"/>
  <c r="E974" i="9"/>
  <c r="C974" i="9"/>
  <c r="S973" i="9"/>
  <c r="N973" i="9"/>
  <c r="M973" i="9"/>
  <c r="K973" i="9"/>
  <c r="K973" i="9" a="1"/>
  <c r="E973" i="9"/>
  <c r="C973" i="9"/>
  <c r="S972" i="9"/>
  <c r="M972" i="9"/>
  <c r="N972" i="9" s="1"/>
  <c r="K972" i="9" a="1"/>
  <c r="K972" i="9" s="1"/>
  <c r="E972" i="9"/>
  <c r="C972" i="9"/>
  <c r="S971" i="9"/>
  <c r="N971" i="9"/>
  <c r="K971" i="9"/>
  <c r="K971" i="9" a="1"/>
  <c r="E971" i="9"/>
  <c r="C971" i="9"/>
  <c r="M970" i="9"/>
  <c r="N970" i="9" s="1"/>
  <c r="K970" i="9" a="1"/>
  <c r="K970" i="9" s="1"/>
  <c r="E970" i="9"/>
  <c r="C970" i="9"/>
  <c r="S969" i="9"/>
  <c r="M969" i="9"/>
  <c r="N969" i="9" s="1"/>
  <c r="K969" i="9"/>
  <c r="K969" i="9" a="1"/>
  <c r="E969" i="9"/>
  <c r="C969" i="9"/>
  <c r="S968" i="9"/>
  <c r="M968" i="9"/>
  <c r="N968" i="9" s="1"/>
  <c r="K968" i="9"/>
  <c r="K968" i="9" a="1"/>
  <c r="E968" i="9"/>
  <c r="C968" i="9"/>
  <c r="S967" i="9"/>
  <c r="N967" i="9"/>
  <c r="M967" i="9"/>
  <c r="K967" i="9"/>
  <c r="K967" i="9" a="1"/>
  <c r="E967" i="9"/>
  <c r="C967" i="9"/>
  <c r="M966" i="9"/>
  <c r="N966" i="9" s="1"/>
  <c r="K966" i="9"/>
  <c r="K966" i="9" a="1"/>
  <c r="E966" i="9"/>
  <c r="C966" i="9"/>
  <c r="S965" i="9"/>
  <c r="M965" i="9"/>
  <c r="N965" i="9" s="1"/>
  <c r="K965" i="9" a="1"/>
  <c r="K965" i="9" s="1"/>
  <c r="E965" i="9"/>
  <c r="C965" i="9"/>
  <c r="S964" i="9"/>
  <c r="N964" i="9"/>
  <c r="M964" i="9"/>
  <c r="K964" i="9" a="1"/>
  <c r="K964" i="9" s="1"/>
  <c r="E964" i="9"/>
  <c r="C964" i="9"/>
  <c r="S963" i="9"/>
  <c r="M963" i="9"/>
  <c r="N963" i="9" s="1"/>
  <c r="K963" i="9" a="1"/>
  <c r="K963" i="9" s="1"/>
  <c r="E963" i="9"/>
  <c r="C963" i="9"/>
  <c r="S962" i="9"/>
  <c r="M962" i="9"/>
  <c r="N962" i="9" s="1"/>
  <c r="K962" i="9"/>
  <c r="K962" i="9" a="1"/>
  <c r="E962" i="9"/>
  <c r="C962" i="9"/>
  <c r="N961" i="9"/>
  <c r="M961" i="9"/>
  <c r="K961" i="9" a="1"/>
  <c r="K961" i="9" s="1"/>
  <c r="E961" i="9"/>
  <c r="C961" i="9"/>
  <c r="S960" i="9"/>
  <c r="N960" i="9"/>
  <c r="M960" i="9"/>
  <c r="K960" i="9" a="1"/>
  <c r="K960" i="9" s="1"/>
  <c r="E960" i="9"/>
  <c r="C960" i="9"/>
  <c r="S959" i="9"/>
  <c r="M959" i="9"/>
  <c r="N959" i="9" s="1"/>
  <c r="K959" i="9"/>
  <c r="K959" i="9" a="1"/>
  <c r="E959" i="9"/>
  <c r="C959" i="9"/>
  <c r="S958" i="9"/>
  <c r="M958" i="9"/>
  <c r="N958" i="9" s="1"/>
  <c r="K958" i="9" a="1"/>
  <c r="K958" i="9" s="1"/>
  <c r="E958" i="9"/>
  <c r="C958" i="9"/>
  <c r="S957" i="9"/>
  <c r="N957" i="9"/>
  <c r="M957" i="9"/>
  <c r="K957" i="9" a="1"/>
  <c r="K957" i="9" s="1"/>
  <c r="E957" i="9"/>
  <c r="C957" i="9"/>
  <c r="S956" i="9"/>
  <c r="M956" i="9"/>
  <c r="N956" i="9" s="1"/>
  <c r="K956" i="9" a="1"/>
  <c r="K956" i="9" s="1"/>
  <c r="E956" i="9"/>
  <c r="C956" i="9"/>
  <c r="S955" i="9"/>
  <c r="N955" i="9"/>
  <c r="M955" i="9"/>
  <c r="K955" i="9"/>
  <c r="K955" i="9" a="1"/>
  <c r="E955" i="9"/>
  <c r="C955" i="9"/>
  <c r="S954" i="9"/>
  <c r="M954" i="9"/>
  <c r="N954" i="9" s="1"/>
  <c r="K954" i="9"/>
  <c r="K954" i="9" a="1"/>
  <c r="E954" i="9"/>
  <c r="C954" i="9"/>
  <c r="S953" i="9"/>
  <c r="N953" i="9"/>
  <c r="M953" i="9"/>
  <c r="K953" i="9"/>
  <c r="K953" i="9" a="1"/>
  <c r="E953" i="9"/>
  <c r="C953" i="9"/>
  <c r="S952" i="9"/>
  <c r="N952" i="9"/>
  <c r="M952" i="9"/>
  <c r="K952" i="9" a="1"/>
  <c r="K952" i="9" s="1"/>
  <c r="E952" i="9"/>
  <c r="C952" i="9"/>
  <c r="S951" i="9"/>
  <c r="N951" i="9"/>
  <c r="M951" i="9"/>
  <c r="K951" i="9"/>
  <c r="K951" i="9" a="1"/>
  <c r="E951" i="9"/>
  <c r="C951" i="9"/>
  <c r="S950" i="9"/>
  <c r="M950" i="9"/>
  <c r="N950" i="9" s="1"/>
  <c r="K950" i="9"/>
  <c r="K950" i="9" a="1"/>
  <c r="E950" i="9"/>
  <c r="C950" i="9"/>
  <c r="S949" i="9"/>
  <c r="N949" i="9"/>
  <c r="M949" i="9"/>
  <c r="K949" i="9" a="1"/>
  <c r="K949" i="9" s="1"/>
  <c r="E949" i="9"/>
  <c r="C949" i="9"/>
  <c r="S948" i="9"/>
  <c r="N948" i="9"/>
  <c r="M948" i="9"/>
  <c r="K948" i="9" a="1"/>
  <c r="K948" i="9" s="1"/>
  <c r="E948" i="9"/>
  <c r="C948" i="9"/>
  <c r="S947" i="9"/>
  <c r="N947" i="9"/>
  <c r="K947" i="9"/>
  <c r="K947" i="9" a="1"/>
  <c r="E947" i="9"/>
  <c r="C947" i="9"/>
  <c r="S946" i="9"/>
  <c r="N946" i="9"/>
  <c r="M946" i="9"/>
  <c r="K946" i="9"/>
  <c r="K946" i="9" a="1"/>
  <c r="E946" i="9"/>
  <c r="C946" i="9"/>
  <c r="S945" i="9"/>
  <c r="N945" i="9"/>
  <c r="M945" i="9"/>
  <c r="K945" i="9" a="1"/>
  <c r="K945" i="9" s="1"/>
  <c r="E945" i="9"/>
  <c r="C945" i="9"/>
  <c r="S944" i="9"/>
  <c r="N944" i="9"/>
  <c r="M944" i="9"/>
  <c r="K944" i="9"/>
  <c r="K944" i="9" a="1"/>
  <c r="E944" i="9"/>
  <c r="C944" i="9"/>
  <c r="S943" i="9"/>
  <c r="M943" i="9"/>
  <c r="N943" i="9" s="1"/>
  <c r="K943" i="9"/>
  <c r="K943" i="9" a="1"/>
  <c r="E943" i="9"/>
  <c r="C943" i="9"/>
  <c r="M942" i="9"/>
  <c r="N942" i="9" s="1"/>
  <c r="K942" i="9" a="1"/>
  <c r="K942" i="9" s="1"/>
  <c r="E942" i="9"/>
  <c r="C942" i="9"/>
  <c r="S941" i="9"/>
  <c r="N941" i="9"/>
  <c r="M941" i="9"/>
  <c r="K941" i="9"/>
  <c r="K941" i="9" a="1"/>
  <c r="E941" i="9"/>
  <c r="C941" i="9"/>
  <c r="S940" i="9"/>
  <c r="M940" i="9"/>
  <c r="N940" i="9" s="1"/>
  <c r="K940" i="9"/>
  <c r="K940" i="9" a="1"/>
  <c r="E940" i="9"/>
  <c r="C940" i="9"/>
  <c r="S939" i="9"/>
  <c r="N939" i="9"/>
  <c r="K939" i="9" a="1"/>
  <c r="K939" i="9" s="1"/>
  <c r="E939" i="9"/>
  <c r="C939" i="9"/>
  <c r="S938" i="9"/>
  <c r="M938" i="9"/>
  <c r="N938" i="9" s="1"/>
  <c r="K938" i="9"/>
  <c r="K938" i="9" a="1"/>
  <c r="E938" i="9"/>
  <c r="C938" i="9"/>
  <c r="S937" i="9"/>
  <c r="M937" i="9"/>
  <c r="N937" i="9" s="1"/>
  <c r="K937" i="9" a="1"/>
  <c r="K937" i="9" s="1"/>
  <c r="E937" i="9"/>
  <c r="C937" i="9"/>
  <c r="S936" i="9"/>
  <c r="N936" i="9"/>
  <c r="K936" i="9" a="1"/>
  <c r="K936" i="9" s="1"/>
  <c r="E936" i="9"/>
  <c r="C936" i="9"/>
  <c r="S935" i="9"/>
  <c r="N935" i="9"/>
  <c r="M935" i="9"/>
  <c r="K935" i="9"/>
  <c r="K935" i="9" a="1"/>
  <c r="E935" i="9"/>
  <c r="C935" i="9"/>
  <c r="S934" i="9"/>
  <c r="M934" i="9"/>
  <c r="N934" i="9" s="1"/>
  <c r="K934" i="9"/>
  <c r="K934" i="9" a="1"/>
  <c r="E934" i="9"/>
  <c r="C934" i="9"/>
  <c r="S933" i="9"/>
  <c r="N933" i="9"/>
  <c r="M933" i="9"/>
  <c r="K933" i="9" a="1"/>
  <c r="K933" i="9" s="1"/>
  <c r="E933" i="9"/>
  <c r="C933" i="9"/>
  <c r="S932" i="9"/>
  <c r="N932" i="9"/>
  <c r="M932" i="9"/>
  <c r="K932" i="9" a="1"/>
  <c r="K932" i="9" s="1"/>
  <c r="E932" i="9"/>
  <c r="C932" i="9"/>
  <c r="S931" i="9"/>
  <c r="M931" i="9"/>
  <c r="N931" i="9" s="1"/>
  <c r="K931" i="9"/>
  <c r="K931" i="9" a="1"/>
  <c r="E931" i="9"/>
  <c r="C931" i="9"/>
  <c r="S930" i="9"/>
  <c r="M930" i="9"/>
  <c r="N930" i="9" s="1"/>
  <c r="K930" i="9" a="1"/>
  <c r="K930" i="9" s="1"/>
  <c r="E930" i="9"/>
  <c r="C930" i="9"/>
  <c r="N929" i="9"/>
  <c r="M929" i="9"/>
  <c r="K929" i="9" a="1"/>
  <c r="K929" i="9" s="1"/>
  <c r="E929" i="9"/>
  <c r="C929" i="9"/>
  <c r="S928" i="9"/>
  <c r="N928" i="9"/>
  <c r="M928" i="9"/>
  <c r="K928" i="9"/>
  <c r="K928" i="9" a="1"/>
  <c r="E928" i="9"/>
  <c r="C928" i="9"/>
  <c r="S927" i="9"/>
  <c r="N927" i="9"/>
  <c r="K927" i="9" a="1"/>
  <c r="K927" i="9" s="1"/>
  <c r="E927" i="9"/>
  <c r="C927" i="9"/>
  <c r="S926" i="9"/>
  <c r="N926" i="9"/>
  <c r="M926" i="9"/>
  <c r="K926" i="9" a="1"/>
  <c r="K926" i="9" s="1"/>
  <c r="E926" i="9"/>
  <c r="C926" i="9"/>
  <c r="M925" i="9"/>
  <c r="N925" i="9" s="1"/>
  <c r="K925" i="9"/>
  <c r="K925" i="9" a="1"/>
  <c r="E925" i="9"/>
  <c r="C925" i="9"/>
  <c r="N924" i="9"/>
  <c r="M924" i="9"/>
  <c r="K924" i="9" a="1"/>
  <c r="K924" i="9" s="1"/>
  <c r="E924" i="9"/>
  <c r="C924" i="9"/>
  <c r="S923" i="9"/>
  <c r="M923" i="9"/>
  <c r="N923" i="9" s="1"/>
  <c r="K923" i="9"/>
  <c r="K923" i="9" a="1"/>
  <c r="E923" i="9"/>
  <c r="C923" i="9"/>
  <c r="S922" i="9"/>
  <c r="M922" i="9"/>
  <c r="N922" i="9" s="1"/>
  <c r="K922" i="9"/>
  <c r="K922" i="9" a="1"/>
  <c r="E922" i="9"/>
  <c r="C922" i="9"/>
  <c r="S921" i="9"/>
  <c r="N921" i="9"/>
  <c r="M921" i="9"/>
  <c r="K921" i="9"/>
  <c r="K921" i="9" a="1"/>
  <c r="E921" i="9"/>
  <c r="C921" i="9"/>
  <c r="M920" i="9"/>
  <c r="N920" i="9" s="1"/>
  <c r="K920" i="9"/>
  <c r="K920" i="9" a="1"/>
  <c r="E920" i="9"/>
  <c r="C920" i="9"/>
  <c r="S919" i="9"/>
  <c r="M919" i="9"/>
  <c r="N919" i="9" s="1"/>
  <c r="K919" i="9"/>
  <c r="K919" i="9" a="1"/>
  <c r="E919" i="9"/>
  <c r="C919" i="9"/>
  <c r="S918" i="9"/>
  <c r="N918" i="9"/>
  <c r="M918" i="9"/>
  <c r="K918" i="9"/>
  <c r="K918" i="9" a="1"/>
  <c r="E918" i="9"/>
  <c r="C918" i="9"/>
  <c r="S917" i="9"/>
  <c r="N917" i="9"/>
  <c r="M917" i="9"/>
  <c r="K917" i="9" a="1"/>
  <c r="K917" i="9" s="1"/>
  <c r="E917" i="9"/>
  <c r="C917" i="9"/>
  <c r="S916" i="9"/>
  <c r="M916" i="9"/>
  <c r="N916" i="9" s="1"/>
  <c r="K916" i="9" a="1"/>
  <c r="K916" i="9" s="1"/>
  <c r="E916" i="9"/>
  <c r="C916" i="9"/>
  <c r="S915" i="9"/>
  <c r="M915" i="9"/>
  <c r="N915" i="9" s="1"/>
  <c r="K915" i="9"/>
  <c r="K915" i="9" a="1"/>
  <c r="E915" i="9"/>
  <c r="C915" i="9"/>
  <c r="S914" i="9"/>
  <c r="M914" i="9"/>
  <c r="N914" i="9" s="1"/>
  <c r="K914" i="9"/>
  <c r="K914" i="9" a="1"/>
  <c r="E914" i="9"/>
  <c r="C914" i="9"/>
  <c r="M913" i="9"/>
  <c r="N913" i="9" s="1"/>
  <c r="K913" i="9"/>
  <c r="K913" i="9" a="1"/>
  <c r="E913" i="9"/>
  <c r="C913" i="9"/>
  <c r="M912" i="9"/>
  <c r="N912" i="9" s="1"/>
  <c r="K912" i="9"/>
  <c r="K912" i="9" a="1"/>
  <c r="E912" i="9"/>
  <c r="C912" i="9"/>
  <c r="S911" i="9"/>
  <c r="N911" i="9"/>
  <c r="M911" i="9"/>
  <c r="K911" i="9" a="1"/>
  <c r="K911" i="9" s="1"/>
  <c r="E911" i="9"/>
  <c r="C911" i="9"/>
  <c r="S910" i="9"/>
  <c r="N910" i="9"/>
  <c r="M910" i="9"/>
  <c r="K910" i="9"/>
  <c r="K910" i="9" a="1"/>
  <c r="E910" i="9"/>
  <c r="C910" i="9"/>
  <c r="S909" i="9"/>
  <c r="M909" i="9"/>
  <c r="N909" i="9" s="1"/>
  <c r="K909" i="9"/>
  <c r="K909" i="9" a="1"/>
  <c r="E909" i="9"/>
  <c r="C909" i="9"/>
  <c r="S908" i="9"/>
  <c r="N908" i="9"/>
  <c r="M908" i="9"/>
  <c r="K908" i="9" a="1"/>
  <c r="K908" i="9" s="1"/>
  <c r="E908" i="9"/>
  <c r="C908" i="9"/>
  <c r="S907" i="9"/>
  <c r="N907" i="9"/>
  <c r="K907" i="9" a="1"/>
  <c r="K907" i="9" s="1"/>
  <c r="E907" i="9"/>
  <c r="C907" i="9"/>
  <c r="S906" i="9"/>
  <c r="M906" i="9"/>
  <c r="N906" i="9" s="1"/>
  <c r="K906" i="9"/>
  <c r="K906" i="9" a="1"/>
  <c r="E906" i="9"/>
  <c r="C906" i="9"/>
  <c r="N905" i="9"/>
  <c r="M905" i="9"/>
  <c r="K905" i="9" a="1"/>
  <c r="K905" i="9" s="1"/>
  <c r="E905" i="9"/>
  <c r="C905" i="9"/>
  <c r="M904" i="9"/>
  <c r="N904" i="9" s="1"/>
  <c r="K904" i="9"/>
  <c r="K904" i="9" a="1"/>
  <c r="E904" i="9"/>
  <c r="C904" i="9"/>
  <c r="S903" i="9"/>
  <c r="M903" i="9"/>
  <c r="N903" i="9" s="1"/>
  <c r="K903" i="9"/>
  <c r="K903" i="9" a="1"/>
  <c r="E903" i="9"/>
  <c r="C903" i="9"/>
  <c r="S902" i="9"/>
  <c r="N902" i="9"/>
  <c r="M902" i="9"/>
  <c r="K902" i="9" a="1"/>
  <c r="K902" i="9" s="1"/>
  <c r="E902" i="9"/>
  <c r="C902" i="9"/>
  <c r="S901" i="9"/>
  <c r="N901" i="9"/>
  <c r="M901" i="9"/>
  <c r="K901" i="9"/>
  <c r="K901" i="9" a="1"/>
  <c r="E901" i="9"/>
  <c r="C901" i="9"/>
  <c r="N900" i="9"/>
  <c r="M900" i="9"/>
  <c r="K900" i="9"/>
  <c r="K900" i="9" a="1"/>
  <c r="E900" i="9"/>
  <c r="C900" i="9"/>
  <c r="N899" i="9"/>
  <c r="M899" i="9"/>
  <c r="K899" i="9"/>
  <c r="K899" i="9" a="1"/>
  <c r="E899" i="9"/>
  <c r="C899" i="9"/>
  <c r="S898" i="9"/>
  <c r="M898" i="9"/>
  <c r="N898" i="9" s="1"/>
  <c r="K898" i="9"/>
  <c r="K898" i="9" a="1"/>
  <c r="E898" i="9"/>
  <c r="C898" i="9"/>
  <c r="S897" i="9"/>
  <c r="N897" i="9"/>
  <c r="M897" i="9"/>
  <c r="K897" i="9" a="1"/>
  <c r="K897" i="9" s="1"/>
  <c r="E897" i="9"/>
  <c r="C897" i="9"/>
  <c r="S896" i="9"/>
  <c r="N896" i="9"/>
  <c r="M896" i="9"/>
  <c r="K896" i="9" a="1"/>
  <c r="K896" i="9" s="1"/>
  <c r="E896" i="9"/>
  <c r="C896" i="9"/>
  <c r="S895" i="9"/>
  <c r="M895" i="9"/>
  <c r="N895" i="9" s="1"/>
  <c r="K895" i="9"/>
  <c r="K895" i="9" a="1"/>
  <c r="E895" i="9"/>
  <c r="C895" i="9"/>
  <c r="S894" i="9"/>
  <c r="M894" i="9"/>
  <c r="N894" i="9" s="1"/>
  <c r="K894" i="9"/>
  <c r="K894" i="9" a="1"/>
  <c r="E894" i="9"/>
  <c r="C894" i="9"/>
  <c r="S893" i="9"/>
  <c r="N893" i="9"/>
  <c r="M893" i="9"/>
  <c r="K893" i="9"/>
  <c r="K893" i="9" a="1"/>
  <c r="E893" i="9"/>
  <c r="C893" i="9"/>
  <c r="S892" i="9"/>
  <c r="N892" i="9"/>
  <c r="M892" i="9"/>
  <c r="K892" i="9" a="1"/>
  <c r="K892" i="9" s="1"/>
  <c r="E892" i="9"/>
  <c r="C892" i="9"/>
  <c r="M891" i="9"/>
  <c r="N891" i="9" s="1"/>
  <c r="K891" i="9"/>
  <c r="K891" i="9" a="1"/>
  <c r="E891" i="9"/>
  <c r="C891" i="9"/>
  <c r="S890" i="9"/>
  <c r="N890" i="9"/>
  <c r="M890" i="9"/>
  <c r="K890" i="9" a="1"/>
  <c r="K890" i="9" s="1"/>
  <c r="E890" i="9"/>
  <c r="C890" i="9"/>
  <c r="S889" i="9"/>
  <c r="N889" i="9"/>
  <c r="M889" i="9"/>
  <c r="K889" i="9" a="1"/>
  <c r="K889" i="9" s="1"/>
  <c r="E889" i="9"/>
  <c r="C889" i="9"/>
  <c r="S888" i="9"/>
  <c r="N888" i="9"/>
  <c r="K888" i="9"/>
  <c r="K888" i="9" a="1"/>
  <c r="E888" i="9"/>
  <c r="C888" i="9"/>
  <c r="S887" i="9"/>
  <c r="M887" i="9"/>
  <c r="N887" i="9" s="1"/>
  <c r="K887" i="9"/>
  <c r="K887" i="9" a="1"/>
  <c r="E887" i="9"/>
  <c r="C887" i="9"/>
  <c r="S886" i="9"/>
  <c r="N886" i="9"/>
  <c r="M886" i="9"/>
  <c r="K886" i="9" a="1"/>
  <c r="K886" i="9" s="1"/>
  <c r="E886" i="9"/>
  <c r="C886" i="9"/>
  <c r="S885" i="9"/>
  <c r="N885" i="9"/>
  <c r="M885" i="9"/>
  <c r="K885" i="9"/>
  <c r="K885" i="9" a="1"/>
  <c r="E885" i="9"/>
  <c r="C885" i="9"/>
  <c r="S884" i="9"/>
  <c r="M884" i="9"/>
  <c r="N884" i="9" s="1"/>
  <c r="K884" i="9"/>
  <c r="K884" i="9" a="1"/>
  <c r="E884" i="9"/>
  <c r="C884" i="9"/>
  <c r="S883" i="9"/>
  <c r="M883" i="9"/>
  <c r="N883" i="9" s="1"/>
  <c r="K883" i="9" a="1"/>
  <c r="K883" i="9" s="1"/>
  <c r="E883" i="9"/>
  <c r="C883" i="9"/>
  <c r="N882" i="9"/>
  <c r="M882" i="9"/>
  <c r="K882" i="9" a="1"/>
  <c r="K882" i="9" s="1"/>
  <c r="E882" i="9"/>
  <c r="C882" i="9"/>
  <c r="M881" i="9"/>
  <c r="N881" i="9" s="1"/>
  <c r="K881" i="9" a="1"/>
  <c r="K881" i="9" s="1"/>
  <c r="E881" i="9"/>
  <c r="C881" i="9"/>
  <c r="S880" i="9"/>
  <c r="N880" i="9"/>
  <c r="M880" i="9"/>
  <c r="K880" i="9" a="1"/>
  <c r="K880" i="9" s="1"/>
  <c r="E880" i="9"/>
  <c r="C880" i="9"/>
  <c r="M879" i="9"/>
  <c r="N879" i="9" s="1"/>
  <c r="K879" i="9"/>
  <c r="K879" i="9" a="1"/>
  <c r="E879" i="9"/>
  <c r="C879" i="9"/>
  <c r="S878" i="9"/>
  <c r="M878" i="9"/>
  <c r="N878" i="9" s="1"/>
  <c r="K878" i="9"/>
  <c r="K878" i="9" a="1"/>
  <c r="E878" i="9"/>
  <c r="C878" i="9"/>
  <c r="S877" i="9"/>
  <c r="N877" i="9"/>
  <c r="K877" i="9"/>
  <c r="K877" i="9" a="1"/>
  <c r="E877" i="9"/>
  <c r="C877" i="9"/>
  <c r="S876" i="9"/>
  <c r="M876" i="9"/>
  <c r="N876" i="9" s="1"/>
  <c r="K876" i="9"/>
  <c r="K876" i="9" a="1"/>
  <c r="E876" i="9"/>
  <c r="C876" i="9"/>
  <c r="S875" i="9"/>
  <c r="N875" i="9"/>
  <c r="M875" i="9"/>
  <c r="K875" i="9"/>
  <c r="K875" i="9" a="1"/>
  <c r="E875" i="9"/>
  <c r="C875" i="9"/>
  <c r="N874" i="9"/>
  <c r="M874" i="9"/>
  <c r="K874" i="9" a="1"/>
  <c r="K874" i="9" s="1"/>
  <c r="E874" i="9"/>
  <c r="C874" i="9"/>
  <c r="S873" i="9"/>
  <c r="M873" i="9"/>
  <c r="N873" i="9" s="1"/>
  <c r="K873" i="9"/>
  <c r="K873" i="9" a="1"/>
  <c r="E873" i="9"/>
  <c r="C873" i="9"/>
  <c r="S872" i="9"/>
  <c r="N872" i="9"/>
  <c r="M872" i="9"/>
  <c r="K872" i="9" a="1"/>
  <c r="K872" i="9" s="1"/>
  <c r="E872" i="9"/>
  <c r="C872" i="9"/>
  <c r="S871" i="9"/>
  <c r="N871" i="9"/>
  <c r="M871" i="9"/>
  <c r="K871" i="9" a="1"/>
  <c r="K871" i="9" s="1"/>
  <c r="E871" i="9"/>
  <c r="C871" i="9"/>
  <c r="S870" i="9"/>
  <c r="M870" i="9"/>
  <c r="N870" i="9" s="1"/>
  <c r="K870" i="9"/>
  <c r="K870" i="9" a="1"/>
  <c r="E870" i="9"/>
  <c r="C870" i="9"/>
  <c r="M869" i="9"/>
  <c r="N869" i="9" s="1"/>
  <c r="K869" i="9"/>
  <c r="K869" i="9" a="1"/>
  <c r="E869" i="9"/>
  <c r="C869" i="9"/>
  <c r="S868" i="9"/>
  <c r="N868" i="9"/>
  <c r="M868" i="9"/>
  <c r="K868" i="9" a="1"/>
  <c r="K868" i="9" s="1"/>
  <c r="E868" i="9"/>
  <c r="C868" i="9"/>
  <c r="S867" i="9"/>
  <c r="N867" i="9"/>
  <c r="M867" i="9"/>
  <c r="K867" i="9" a="1"/>
  <c r="K867" i="9" s="1"/>
  <c r="E867" i="9"/>
  <c r="C867" i="9"/>
  <c r="S866" i="9"/>
  <c r="M866" i="9"/>
  <c r="N866" i="9" s="1"/>
  <c r="K866" i="9"/>
  <c r="K866" i="9" a="1"/>
  <c r="E866" i="9"/>
  <c r="C866" i="9"/>
  <c r="S865" i="9"/>
  <c r="M865" i="9"/>
  <c r="N865" i="9" s="1"/>
  <c r="K865" i="9" a="1"/>
  <c r="K865" i="9" s="1"/>
  <c r="E865" i="9"/>
  <c r="C865" i="9"/>
  <c r="S864" i="9"/>
  <c r="N864" i="9"/>
  <c r="M864" i="9"/>
  <c r="K864" i="9" a="1"/>
  <c r="K864" i="9" s="1"/>
  <c r="E864" i="9"/>
  <c r="C864" i="9"/>
  <c r="S863" i="9"/>
  <c r="M863" i="9"/>
  <c r="N863" i="9" s="1"/>
  <c r="K863" i="9"/>
  <c r="K863" i="9" a="1"/>
  <c r="E863" i="9"/>
  <c r="C863" i="9"/>
  <c r="S862" i="9"/>
  <c r="M862" i="9"/>
  <c r="N862" i="9" s="1"/>
  <c r="K862" i="9"/>
  <c r="K862" i="9" a="1"/>
  <c r="E862" i="9"/>
  <c r="C862" i="9"/>
  <c r="S861" i="9"/>
  <c r="N861" i="9"/>
  <c r="M861" i="9"/>
  <c r="K861" i="9" a="1"/>
  <c r="K861" i="9" s="1"/>
  <c r="E861" i="9"/>
  <c r="C861" i="9"/>
  <c r="S860" i="9"/>
  <c r="N860" i="9"/>
  <c r="K860" i="9" a="1"/>
  <c r="K860" i="9" s="1"/>
  <c r="E860" i="9"/>
  <c r="C860" i="9"/>
  <c r="S859" i="9"/>
  <c r="M859" i="9"/>
  <c r="N859" i="9" s="1"/>
  <c r="K859" i="9"/>
  <c r="K859" i="9" a="1"/>
  <c r="E859" i="9"/>
  <c r="C859" i="9"/>
  <c r="S858" i="9"/>
  <c r="M858" i="9"/>
  <c r="N858" i="9" s="1"/>
  <c r="K858" i="9" a="1"/>
  <c r="K858" i="9" s="1"/>
  <c r="E858" i="9"/>
  <c r="C858" i="9"/>
  <c r="S857" i="9"/>
  <c r="N857" i="9"/>
  <c r="K857" i="9" a="1"/>
  <c r="K857" i="9" s="1"/>
  <c r="E857" i="9"/>
  <c r="C857" i="9"/>
  <c r="M856" i="9"/>
  <c r="N856" i="9" s="1"/>
  <c r="K856" i="9" a="1"/>
  <c r="K856" i="9" s="1"/>
  <c r="E856" i="9"/>
  <c r="C856" i="9"/>
  <c r="M855" i="9"/>
  <c r="N855" i="9" s="1"/>
  <c r="K855" i="9" a="1"/>
  <c r="K855" i="9" s="1"/>
  <c r="E855" i="9"/>
  <c r="C855" i="9"/>
  <c r="S854" i="9"/>
  <c r="M854" i="9"/>
  <c r="N854" i="9" s="1"/>
  <c r="K854" i="9"/>
  <c r="K854" i="9" a="1"/>
  <c r="E854" i="9"/>
  <c r="C854" i="9"/>
  <c r="N853" i="9"/>
  <c r="M853" i="9"/>
  <c r="K853" i="9" a="1"/>
  <c r="K853" i="9" s="1"/>
  <c r="E853" i="9"/>
  <c r="C853" i="9"/>
  <c r="S852" i="9"/>
  <c r="M852" i="9"/>
  <c r="N852" i="9" s="1"/>
  <c r="K852" i="9"/>
  <c r="K852" i="9" a="1"/>
  <c r="E852" i="9"/>
  <c r="C852" i="9"/>
  <c r="S851" i="9"/>
  <c r="M851" i="9"/>
  <c r="N851" i="9" s="1"/>
  <c r="K851" i="9"/>
  <c r="K851" i="9" a="1"/>
  <c r="E851" i="9"/>
  <c r="C851" i="9"/>
  <c r="N850" i="9"/>
  <c r="M850" i="9"/>
  <c r="K850" i="9" a="1"/>
  <c r="K850" i="9" s="1"/>
  <c r="E850" i="9"/>
  <c r="C850" i="9"/>
  <c r="S849" i="9"/>
  <c r="N849" i="9"/>
  <c r="M849" i="9"/>
  <c r="K849" i="9" a="1"/>
  <c r="K849" i="9" s="1"/>
  <c r="E849" i="9"/>
  <c r="C849" i="9"/>
  <c r="N848" i="9"/>
  <c r="M848" i="9"/>
  <c r="K848" i="9" a="1"/>
  <c r="K848" i="9" s="1"/>
  <c r="E848" i="9"/>
  <c r="C848" i="9"/>
  <c r="S847" i="9"/>
  <c r="N847" i="9"/>
  <c r="M847" i="9"/>
  <c r="K847" i="9" a="1"/>
  <c r="K847" i="9" s="1"/>
  <c r="E847" i="9"/>
  <c r="C847" i="9"/>
  <c r="S846" i="9"/>
  <c r="N846" i="9"/>
  <c r="M846" i="9"/>
  <c r="K846" i="9" a="1"/>
  <c r="K846" i="9" s="1"/>
  <c r="E846" i="9"/>
  <c r="C846" i="9"/>
  <c r="S845" i="9"/>
  <c r="M845" i="9"/>
  <c r="N845" i="9" s="1"/>
  <c r="K845" i="9"/>
  <c r="K845" i="9" a="1"/>
  <c r="E845" i="9"/>
  <c r="C845" i="9"/>
  <c r="N844" i="9"/>
  <c r="M844" i="9"/>
  <c r="K844" i="9" a="1"/>
  <c r="K844" i="9" s="1"/>
  <c r="E844" i="9"/>
  <c r="C844" i="9"/>
  <c r="S843" i="9"/>
  <c r="M843" i="9"/>
  <c r="N843" i="9" s="1"/>
  <c r="K843" i="9"/>
  <c r="K843" i="9" a="1"/>
  <c r="E843" i="9"/>
  <c r="C843" i="9"/>
  <c r="S842" i="9"/>
  <c r="N842" i="9"/>
  <c r="K842" i="9"/>
  <c r="K842" i="9" a="1"/>
  <c r="E842" i="9"/>
  <c r="C842" i="9"/>
  <c r="S841" i="9"/>
  <c r="N841" i="9"/>
  <c r="M841" i="9"/>
  <c r="K841" i="9" a="1"/>
  <c r="K841" i="9" s="1"/>
  <c r="E841" i="9"/>
  <c r="C841" i="9"/>
  <c r="S840" i="9"/>
  <c r="M840" i="9"/>
  <c r="N840" i="9" s="1"/>
  <c r="K840" i="9"/>
  <c r="K840" i="9" a="1"/>
  <c r="E840" i="9"/>
  <c r="C840" i="9"/>
  <c r="S839" i="9"/>
  <c r="M839" i="9"/>
  <c r="N839" i="9" s="1"/>
  <c r="K839" i="9"/>
  <c r="K839" i="9" a="1"/>
  <c r="E839" i="9"/>
  <c r="C839" i="9"/>
  <c r="S838" i="9"/>
  <c r="N838" i="9"/>
  <c r="M838" i="9"/>
  <c r="K838" i="9" a="1"/>
  <c r="K838" i="9" s="1"/>
  <c r="E838" i="9"/>
  <c r="C838" i="9"/>
  <c r="N837" i="9"/>
  <c r="M837" i="9"/>
  <c r="K837" i="9" a="1"/>
  <c r="K837" i="9" s="1"/>
  <c r="E837" i="9"/>
  <c r="C837" i="9"/>
  <c r="S836" i="9"/>
  <c r="M836" i="9"/>
  <c r="N836" i="9" s="1"/>
  <c r="K836" i="9"/>
  <c r="K836" i="9" a="1"/>
  <c r="E836" i="9"/>
  <c r="C836" i="9"/>
  <c r="S835" i="9"/>
  <c r="M835" i="9"/>
  <c r="N835" i="9" s="1"/>
  <c r="K835" i="9" a="1"/>
  <c r="K835" i="9" s="1"/>
  <c r="E835" i="9"/>
  <c r="C835" i="9"/>
  <c r="S834" i="9"/>
  <c r="N834" i="9"/>
  <c r="M834" i="9"/>
  <c r="K834" i="9" a="1"/>
  <c r="K834" i="9" s="1"/>
  <c r="E834" i="9"/>
  <c r="C834" i="9"/>
  <c r="S833" i="9"/>
  <c r="N833" i="9"/>
  <c r="M833" i="9"/>
  <c r="K833" i="9"/>
  <c r="K833" i="9" a="1"/>
  <c r="E833" i="9"/>
  <c r="C833" i="9"/>
  <c r="S832" i="9"/>
  <c r="M832" i="9"/>
  <c r="N832" i="9" s="1"/>
  <c r="K832" i="9"/>
  <c r="K832" i="9" a="1"/>
  <c r="E832" i="9"/>
  <c r="C832" i="9"/>
  <c r="N831" i="9"/>
  <c r="M831" i="9"/>
  <c r="K831" i="9" a="1"/>
  <c r="K831" i="9" s="1"/>
  <c r="E831" i="9"/>
  <c r="C831" i="9"/>
  <c r="S830" i="9"/>
  <c r="M830" i="9"/>
  <c r="N830" i="9" s="1"/>
  <c r="K830" i="9" a="1"/>
  <c r="K830" i="9" s="1"/>
  <c r="E830" i="9"/>
  <c r="C830" i="9"/>
  <c r="S829" i="9"/>
  <c r="M829" i="9"/>
  <c r="N829" i="9" s="1"/>
  <c r="K829" i="9"/>
  <c r="K829" i="9" a="1"/>
  <c r="E829" i="9"/>
  <c r="C829" i="9"/>
  <c r="S828" i="9"/>
  <c r="M828" i="9"/>
  <c r="N828" i="9" s="1"/>
  <c r="K828" i="9"/>
  <c r="K828" i="9" a="1"/>
  <c r="E828" i="9"/>
  <c r="C828" i="9"/>
  <c r="S827" i="9"/>
  <c r="N827" i="9"/>
  <c r="M827" i="9"/>
  <c r="K827" i="9" a="1"/>
  <c r="K827" i="9" s="1"/>
  <c r="E827" i="9"/>
  <c r="C827" i="9"/>
  <c r="S826" i="9"/>
  <c r="M826" i="9"/>
  <c r="N826" i="9" s="1"/>
  <c r="K826" i="9" a="1"/>
  <c r="K826" i="9" s="1"/>
  <c r="E826" i="9"/>
  <c r="C826" i="9"/>
  <c r="S825" i="9"/>
  <c r="M825" i="9"/>
  <c r="N825" i="9" s="1"/>
  <c r="K825" i="9"/>
  <c r="K825" i="9" a="1"/>
  <c r="E825" i="9"/>
  <c r="C825" i="9"/>
  <c r="S824" i="9"/>
  <c r="M824" i="9"/>
  <c r="N824" i="9" s="1"/>
  <c r="K824" i="9" a="1"/>
  <c r="K824" i="9" s="1"/>
  <c r="E824" i="9"/>
  <c r="C824" i="9"/>
  <c r="S823" i="9"/>
  <c r="N823" i="9"/>
  <c r="M823" i="9"/>
  <c r="K823" i="9" a="1"/>
  <c r="K823" i="9" s="1"/>
  <c r="E823" i="9"/>
  <c r="C823" i="9"/>
  <c r="S822" i="9"/>
  <c r="M822" i="9"/>
  <c r="N822" i="9" s="1"/>
  <c r="K822" i="9"/>
  <c r="K822" i="9" a="1"/>
  <c r="E822" i="9"/>
  <c r="C822" i="9"/>
  <c r="S821" i="9"/>
  <c r="M821" i="9"/>
  <c r="N821" i="9" s="1"/>
  <c r="K821" i="9"/>
  <c r="K821" i="9" a="1"/>
  <c r="E821" i="9"/>
  <c r="C821" i="9"/>
  <c r="N820" i="9"/>
  <c r="M820" i="9"/>
  <c r="K820" i="9" a="1"/>
  <c r="K820" i="9" s="1"/>
  <c r="E820" i="9"/>
  <c r="C820" i="9"/>
  <c r="S819" i="9"/>
  <c r="M819" i="9"/>
  <c r="N819" i="9" s="1"/>
  <c r="K819" i="9"/>
  <c r="K819" i="9" a="1"/>
  <c r="E819" i="9"/>
  <c r="C819" i="9"/>
  <c r="S818" i="9"/>
  <c r="M818" i="9"/>
  <c r="N818" i="9" s="1"/>
  <c r="K818" i="9"/>
  <c r="K818" i="9" a="1"/>
  <c r="E818" i="9"/>
  <c r="C818" i="9"/>
  <c r="S817" i="9"/>
  <c r="N817" i="9"/>
  <c r="M817" i="9"/>
  <c r="K817" i="9" a="1"/>
  <c r="K817" i="9" s="1"/>
  <c r="E817" i="9"/>
  <c r="C817" i="9"/>
  <c r="S816" i="9"/>
  <c r="N816" i="9"/>
  <c r="M816" i="9"/>
  <c r="K816" i="9" a="1"/>
  <c r="K816" i="9" s="1"/>
  <c r="E816" i="9"/>
  <c r="C816" i="9"/>
  <c r="S815" i="9"/>
  <c r="M815" i="9"/>
  <c r="N815" i="9" s="1"/>
  <c r="K815" i="9"/>
  <c r="K815" i="9" a="1"/>
  <c r="E815" i="9"/>
  <c r="C815" i="9"/>
  <c r="S814" i="9"/>
  <c r="M814" i="9"/>
  <c r="N814" i="9" s="1"/>
  <c r="K814" i="9"/>
  <c r="K814" i="9" a="1"/>
  <c r="E814" i="9"/>
  <c r="C814" i="9"/>
  <c r="S813" i="9"/>
  <c r="N813" i="9"/>
  <c r="M813" i="9"/>
  <c r="K813" i="9" a="1"/>
  <c r="K813" i="9" s="1"/>
  <c r="E813" i="9"/>
  <c r="C813" i="9"/>
  <c r="S812" i="9"/>
  <c r="N812" i="9"/>
  <c r="M812" i="9"/>
  <c r="K812" i="9" a="1"/>
  <c r="K812" i="9" s="1"/>
  <c r="E812" i="9"/>
  <c r="C812" i="9"/>
  <c r="M811" i="9"/>
  <c r="N811" i="9" s="1"/>
  <c r="K811" i="9"/>
  <c r="K811" i="9" a="1"/>
  <c r="E811" i="9"/>
  <c r="C811" i="9"/>
  <c r="S810" i="9"/>
  <c r="N810" i="9"/>
  <c r="M810" i="9"/>
  <c r="K810" i="9" a="1"/>
  <c r="K810" i="9" s="1"/>
  <c r="E810" i="9"/>
  <c r="C810" i="9"/>
  <c r="M809" i="9"/>
  <c r="N809" i="9" s="1"/>
  <c r="K809" i="9" a="1"/>
  <c r="K809" i="9" s="1"/>
  <c r="E809" i="9"/>
  <c r="C809" i="9"/>
  <c r="S808" i="9"/>
  <c r="M808" i="9"/>
  <c r="N808" i="9" s="1"/>
  <c r="K808" i="9"/>
  <c r="K808" i="9" a="1"/>
  <c r="E808" i="9"/>
  <c r="C808" i="9"/>
  <c r="S807" i="9"/>
  <c r="M807" i="9"/>
  <c r="N807" i="9" s="1"/>
  <c r="K807" i="9" a="1"/>
  <c r="K807" i="9" s="1"/>
  <c r="E807" i="9"/>
  <c r="C807" i="9"/>
  <c r="S806" i="9"/>
  <c r="N806" i="9"/>
  <c r="M806" i="9"/>
  <c r="K806" i="9" a="1"/>
  <c r="K806" i="9" s="1"/>
  <c r="E806" i="9"/>
  <c r="C806" i="9"/>
  <c r="S805" i="9"/>
  <c r="M805" i="9"/>
  <c r="N805" i="9" s="1"/>
  <c r="K805" i="9" a="1"/>
  <c r="K805" i="9" s="1"/>
  <c r="E805" i="9"/>
  <c r="C805" i="9"/>
  <c r="S804" i="9"/>
  <c r="M804" i="9"/>
  <c r="N804" i="9" s="1"/>
  <c r="K804" i="9"/>
  <c r="K804" i="9" a="1"/>
  <c r="E804" i="9"/>
  <c r="C804" i="9"/>
  <c r="S803" i="9"/>
  <c r="M803" i="9"/>
  <c r="N803" i="9" s="1"/>
  <c r="K803" i="9" a="1"/>
  <c r="K803" i="9" s="1"/>
  <c r="E803" i="9"/>
  <c r="C803" i="9"/>
  <c r="S802" i="9"/>
  <c r="N802" i="9"/>
  <c r="M802" i="9"/>
  <c r="K802" i="9" a="1"/>
  <c r="K802" i="9" s="1"/>
  <c r="E802" i="9"/>
  <c r="C802" i="9"/>
  <c r="S801" i="9"/>
  <c r="M801" i="9"/>
  <c r="N801" i="9" s="1"/>
  <c r="K801" i="9"/>
  <c r="K801" i="9" a="1"/>
  <c r="E801" i="9"/>
  <c r="C801" i="9"/>
  <c r="S800" i="9"/>
  <c r="M800" i="9"/>
  <c r="N800" i="9" s="1"/>
  <c r="K800" i="9"/>
  <c r="K800" i="9" a="1"/>
  <c r="E800" i="9"/>
  <c r="C800" i="9"/>
  <c r="S799" i="9"/>
  <c r="N799" i="9"/>
  <c r="K799" i="9" a="1"/>
  <c r="K799" i="9" s="1"/>
  <c r="E799" i="9"/>
  <c r="C799" i="9"/>
  <c r="S798" i="9"/>
  <c r="N798" i="9"/>
  <c r="K798" i="9"/>
  <c r="K798" i="9" a="1"/>
  <c r="E798" i="9"/>
  <c r="C798" i="9"/>
  <c r="S797" i="9"/>
  <c r="N797" i="9"/>
  <c r="M797" i="9"/>
  <c r="K797" i="9" a="1"/>
  <c r="K797" i="9" s="1"/>
  <c r="E797" i="9"/>
  <c r="C797" i="9"/>
  <c r="N796" i="9"/>
  <c r="M796" i="9"/>
  <c r="K796" i="9" a="1"/>
  <c r="K796" i="9" s="1"/>
  <c r="E796" i="9"/>
  <c r="C796" i="9"/>
  <c r="S795" i="9"/>
  <c r="M795" i="9"/>
  <c r="N795" i="9" s="1"/>
  <c r="K795" i="9"/>
  <c r="K795" i="9" a="1"/>
  <c r="E795" i="9"/>
  <c r="C795" i="9"/>
  <c r="S794" i="9"/>
  <c r="N794" i="9"/>
  <c r="K794" i="9" a="1"/>
  <c r="K794" i="9" s="1"/>
  <c r="E794" i="9"/>
  <c r="C794" i="9"/>
  <c r="S793" i="9"/>
  <c r="N793" i="9"/>
  <c r="K793" i="9"/>
  <c r="K793" i="9" a="1"/>
  <c r="E793" i="9"/>
  <c r="C793" i="9"/>
  <c r="S792" i="9"/>
  <c r="M792" i="9"/>
  <c r="N792" i="9" s="1"/>
  <c r="K792" i="9" a="1"/>
  <c r="K792" i="9" s="1"/>
  <c r="E792" i="9"/>
  <c r="C792" i="9"/>
  <c r="S791" i="9"/>
  <c r="N791" i="9"/>
  <c r="K791" i="9" a="1"/>
  <c r="K791" i="9" s="1"/>
  <c r="E791" i="9"/>
  <c r="C791" i="9"/>
  <c r="S790" i="9"/>
  <c r="M790" i="9"/>
  <c r="N790" i="9" s="1"/>
  <c r="K790" i="9"/>
  <c r="K790" i="9" a="1"/>
  <c r="E790" i="9"/>
  <c r="C790" i="9"/>
  <c r="S789" i="9"/>
  <c r="M789" i="9"/>
  <c r="N789" i="9" s="1"/>
  <c r="K789" i="9" a="1"/>
  <c r="K789" i="9" s="1"/>
  <c r="E789" i="9"/>
  <c r="C789" i="9"/>
  <c r="S788" i="9"/>
  <c r="N788" i="9"/>
  <c r="M788" i="9"/>
  <c r="K788" i="9" a="1"/>
  <c r="K788" i="9" s="1"/>
  <c r="E788" i="9"/>
  <c r="C788" i="9"/>
  <c r="S787" i="9"/>
  <c r="N787" i="9"/>
  <c r="K787" i="9"/>
  <c r="K787" i="9" a="1"/>
  <c r="E787" i="9"/>
  <c r="C787" i="9"/>
  <c r="S786" i="9"/>
  <c r="N786" i="9"/>
  <c r="M786" i="9"/>
  <c r="K786" i="9" a="1"/>
  <c r="K786" i="9" s="1"/>
  <c r="E786" i="9"/>
  <c r="C786" i="9"/>
  <c r="S785" i="9"/>
  <c r="N785" i="9"/>
  <c r="M785" i="9"/>
  <c r="K785" i="9" a="1"/>
  <c r="K785" i="9" s="1"/>
  <c r="E785" i="9"/>
  <c r="C785" i="9"/>
  <c r="S784" i="9"/>
  <c r="N784" i="9"/>
  <c r="M784" i="9"/>
  <c r="K784" i="9" a="1"/>
  <c r="K784" i="9" s="1"/>
  <c r="E784" i="9"/>
  <c r="C784" i="9"/>
  <c r="N783" i="9"/>
  <c r="M783" i="9"/>
  <c r="K783" i="9" a="1"/>
  <c r="K783" i="9" s="1"/>
  <c r="E783" i="9"/>
  <c r="C783" i="9"/>
  <c r="S782" i="9"/>
  <c r="N782" i="9"/>
  <c r="M782" i="9"/>
  <c r="K782" i="9" a="1"/>
  <c r="K782" i="9" s="1"/>
  <c r="E782" i="9"/>
  <c r="C782" i="9"/>
  <c r="S781" i="9"/>
  <c r="M781" i="9"/>
  <c r="N781" i="9" s="1"/>
  <c r="K781" i="9"/>
  <c r="K781" i="9" a="1"/>
  <c r="E781" i="9"/>
  <c r="C781" i="9"/>
  <c r="S780" i="9"/>
  <c r="M780" i="9"/>
  <c r="N780" i="9" s="1"/>
  <c r="K780" i="9"/>
  <c r="K780" i="9" a="1"/>
  <c r="E780" i="9"/>
  <c r="C780" i="9"/>
  <c r="S779" i="9"/>
  <c r="N779" i="9"/>
  <c r="M779" i="9"/>
  <c r="K779" i="9"/>
  <c r="K779" i="9" a="1"/>
  <c r="E779" i="9"/>
  <c r="C779" i="9"/>
  <c r="S778" i="9"/>
  <c r="N778" i="9"/>
  <c r="M778" i="9"/>
  <c r="K778" i="9" a="1"/>
  <c r="K778" i="9" s="1"/>
  <c r="E778" i="9"/>
  <c r="C778" i="9"/>
  <c r="S777" i="9"/>
  <c r="M777" i="9"/>
  <c r="N777" i="9" s="1"/>
  <c r="K777" i="9" a="1"/>
  <c r="K777" i="9" s="1"/>
  <c r="E777" i="9"/>
  <c r="C777" i="9"/>
  <c r="S776" i="9"/>
  <c r="M776" i="9"/>
  <c r="N776" i="9" s="1"/>
  <c r="K776" i="9"/>
  <c r="K776" i="9" a="1"/>
  <c r="E776" i="9"/>
  <c r="C776" i="9"/>
  <c r="S775" i="9"/>
  <c r="M775" i="9"/>
  <c r="N775" i="9" s="1"/>
  <c r="K775" i="9"/>
  <c r="K775" i="9" a="1"/>
  <c r="E775" i="9"/>
  <c r="C775" i="9"/>
  <c r="S774" i="9"/>
  <c r="N774" i="9"/>
  <c r="M774" i="9"/>
  <c r="K774" i="9" a="1"/>
  <c r="K774" i="9" s="1"/>
  <c r="E774" i="9"/>
  <c r="C774" i="9"/>
  <c r="S773" i="9"/>
  <c r="M773" i="9"/>
  <c r="N773" i="9" s="1"/>
  <c r="K773" i="9" a="1"/>
  <c r="K773" i="9" s="1"/>
  <c r="E773" i="9"/>
  <c r="C773" i="9"/>
  <c r="S772" i="9"/>
  <c r="M772" i="9"/>
  <c r="N772" i="9" s="1"/>
  <c r="K772" i="9"/>
  <c r="K772" i="9" a="1"/>
  <c r="E772" i="9"/>
  <c r="C772" i="9"/>
  <c r="S771" i="9"/>
  <c r="M771" i="9"/>
  <c r="N771" i="9" s="1"/>
  <c r="K771" i="9" a="1"/>
  <c r="K771" i="9" s="1"/>
  <c r="E771" i="9"/>
  <c r="C771" i="9"/>
  <c r="M770" i="9"/>
  <c r="N770" i="9" s="1"/>
  <c r="K770" i="9" a="1"/>
  <c r="K770" i="9" s="1"/>
  <c r="E770" i="9"/>
  <c r="C770" i="9"/>
  <c r="S769" i="9"/>
  <c r="M769" i="9"/>
  <c r="N769" i="9" s="1"/>
  <c r="K769" i="9"/>
  <c r="K769" i="9" a="1"/>
  <c r="E769" i="9"/>
  <c r="C769" i="9"/>
  <c r="S768" i="9"/>
  <c r="M768" i="9"/>
  <c r="N768" i="9" s="1"/>
  <c r="K768" i="9" a="1"/>
  <c r="K768" i="9" s="1"/>
  <c r="E768" i="9"/>
  <c r="C768" i="9"/>
  <c r="S767" i="9"/>
  <c r="N767" i="9"/>
  <c r="M767" i="9"/>
  <c r="K767" i="9" a="1"/>
  <c r="K767" i="9" s="1"/>
  <c r="E767" i="9"/>
  <c r="C767" i="9"/>
  <c r="S766" i="9"/>
  <c r="M766" i="9"/>
  <c r="N766" i="9" s="1"/>
  <c r="K766" i="9" a="1"/>
  <c r="K766" i="9" s="1"/>
  <c r="E766" i="9"/>
  <c r="C766" i="9"/>
  <c r="S765" i="9"/>
  <c r="M765" i="9"/>
  <c r="N765" i="9" s="1"/>
  <c r="K765" i="9"/>
  <c r="K765" i="9" a="1"/>
  <c r="E765" i="9"/>
  <c r="C765" i="9"/>
  <c r="S764" i="9"/>
  <c r="N764" i="9"/>
  <c r="K764" i="9" a="1"/>
  <c r="K764" i="9" s="1"/>
  <c r="E764" i="9"/>
  <c r="C764" i="9"/>
  <c r="S763" i="9"/>
  <c r="M763" i="9"/>
  <c r="N763" i="9" s="1"/>
  <c r="K763" i="9" a="1"/>
  <c r="K763" i="9" s="1"/>
  <c r="E763" i="9"/>
  <c r="C763" i="9"/>
  <c r="S762" i="9"/>
  <c r="M762" i="9"/>
  <c r="N762" i="9" s="1"/>
  <c r="K762" i="9"/>
  <c r="K762" i="9" a="1"/>
  <c r="E762" i="9"/>
  <c r="C762" i="9"/>
  <c r="S761" i="9"/>
  <c r="M761" i="9"/>
  <c r="N761" i="9" s="1"/>
  <c r="K761" i="9" a="1"/>
  <c r="K761" i="9" s="1"/>
  <c r="E761" i="9"/>
  <c r="C761" i="9"/>
  <c r="S760" i="9"/>
  <c r="N760" i="9"/>
  <c r="M760" i="9"/>
  <c r="K760" i="9" a="1"/>
  <c r="K760" i="9" s="1"/>
  <c r="E760" i="9"/>
  <c r="C760" i="9"/>
  <c r="S759" i="9"/>
  <c r="M759" i="9"/>
  <c r="N759" i="9" s="1"/>
  <c r="K759" i="9"/>
  <c r="K759" i="9" a="1"/>
  <c r="E759" i="9"/>
  <c r="C759" i="9"/>
  <c r="N758" i="9"/>
  <c r="M758" i="9"/>
  <c r="K758" i="9" a="1"/>
  <c r="K758" i="9" s="1"/>
  <c r="E758" i="9"/>
  <c r="C758" i="9"/>
  <c r="S757" i="9"/>
  <c r="N757" i="9"/>
  <c r="M757" i="9"/>
  <c r="K757" i="9" a="1"/>
  <c r="K757" i="9" s="1"/>
  <c r="E757" i="9"/>
  <c r="C757" i="9"/>
  <c r="S756" i="9"/>
  <c r="N756" i="9"/>
  <c r="K756" i="9"/>
  <c r="K756" i="9" a="1"/>
  <c r="E756" i="9"/>
  <c r="C756" i="9"/>
  <c r="S755" i="9"/>
  <c r="N755" i="9"/>
  <c r="M755" i="9"/>
  <c r="K755" i="9" a="1"/>
  <c r="K755" i="9" s="1"/>
  <c r="E755" i="9"/>
  <c r="C755" i="9"/>
  <c r="S754" i="9"/>
  <c r="N754" i="9"/>
  <c r="M754" i="9"/>
  <c r="K754" i="9" a="1"/>
  <c r="K754" i="9" s="1"/>
  <c r="E754" i="9"/>
  <c r="C754" i="9"/>
  <c r="S753" i="9"/>
  <c r="M753" i="9"/>
  <c r="N753" i="9" s="1"/>
  <c r="K753" i="9"/>
  <c r="K753" i="9" a="1"/>
  <c r="E753" i="9"/>
  <c r="C753" i="9"/>
  <c r="S752" i="9"/>
  <c r="M752" i="9"/>
  <c r="N752" i="9" s="1"/>
  <c r="K752" i="9"/>
  <c r="K752" i="9" a="1"/>
  <c r="E752" i="9"/>
  <c r="C752" i="9"/>
  <c r="S751" i="9"/>
  <c r="N751" i="9"/>
  <c r="M751" i="9"/>
  <c r="K751" i="9" a="1"/>
  <c r="K751" i="9" s="1"/>
  <c r="E751" i="9"/>
  <c r="C751" i="9"/>
  <c r="S750" i="9"/>
  <c r="N750" i="9"/>
  <c r="M750" i="9"/>
  <c r="K750" i="9" a="1"/>
  <c r="K750" i="9" s="1"/>
  <c r="E750" i="9"/>
  <c r="C750" i="9"/>
  <c r="S749" i="9"/>
  <c r="M749" i="9"/>
  <c r="N749" i="9" s="1"/>
  <c r="K749" i="9" a="1"/>
  <c r="K749" i="9" s="1"/>
  <c r="E749" i="9"/>
  <c r="C749" i="9"/>
  <c r="S748" i="9"/>
  <c r="M748" i="9"/>
  <c r="N748" i="9" s="1"/>
  <c r="K748" i="9"/>
  <c r="K748" i="9" a="1"/>
  <c r="E748" i="9"/>
  <c r="C748" i="9"/>
  <c r="S747" i="9"/>
  <c r="M747" i="9"/>
  <c r="N747" i="9" s="1"/>
  <c r="K747" i="9" a="1"/>
  <c r="K747" i="9" s="1"/>
  <c r="E747" i="9"/>
  <c r="C747" i="9"/>
  <c r="S746" i="9"/>
  <c r="N746" i="9"/>
  <c r="M746" i="9"/>
  <c r="K746" i="9" a="1"/>
  <c r="K746" i="9" s="1"/>
  <c r="E746" i="9"/>
  <c r="C746" i="9"/>
  <c r="S745" i="9"/>
  <c r="M745" i="9"/>
  <c r="N745" i="9" s="1"/>
  <c r="K745" i="9"/>
  <c r="K745" i="9" a="1"/>
  <c r="E745" i="9"/>
  <c r="C745" i="9"/>
  <c r="N744" i="9"/>
  <c r="M744" i="9"/>
  <c r="K744" i="9" a="1"/>
  <c r="K744" i="9" s="1"/>
  <c r="E744" i="9"/>
  <c r="C744" i="9"/>
  <c r="S743" i="9"/>
  <c r="N743" i="9"/>
  <c r="M743" i="9"/>
  <c r="K743" i="9" a="1"/>
  <c r="K743" i="9" s="1"/>
  <c r="E743" i="9"/>
  <c r="C743" i="9"/>
  <c r="S742" i="9"/>
  <c r="N742" i="9"/>
  <c r="M742" i="9"/>
  <c r="K742" i="9" a="1"/>
  <c r="K742" i="9" s="1"/>
  <c r="E742" i="9"/>
  <c r="C742" i="9"/>
  <c r="S741" i="9"/>
  <c r="N741" i="9"/>
  <c r="K741" i="9" a="1"/>
  <c r="K741" i="9" s="1"/>
  <c r="E741" i="9"/>
  <c r="C741" i="9"/>
  <c r="S740" i="9"/>
  <c r="N740" i="9"/>
  <c r="K740" i="9" a="1"/>
  <c r="K740" i="9" s="1"/>
  <c r="E740" i="9"/>
  <c r="C740" i="9"/>
  <c r="S739" i="9"/>
  <c r="M739" i="9"/>
  <c r="N739" i="9" s="1"/>
  <c r="K739" i="9"/>
  <c r="K739" i="9" a="1"/>
  <c r="E739" i="9"/>
  <c r="C739" i="9"/>
  <c r="S738" i="9"/>
  <c r="M738" i="9"/>
  <c r="N738" i="9" s="1"/>
  <c r="K738" i="9" a="1"/>
  <c r="K738" i="9" s="1"/>
  <c r="E738" i="9"/>
  <c r="C738" i="9"/>
  <c r="S737" i="9"/>
  <c r="N737" i="9"/>
  <c r="M737" i="9"/>
  <c r="K737" i="9" a="1"/>
  <c r="K737" i="9" s="1"/>
  <c r="E737" i="9"/>
  <c r="C737" i="9"/>
  <c r="S736" i="9"/>
  <c r="M736" i="9"/>
  <c r="N736" i="9" s="1"/>
  <c r="K736" i="9"/>
  <c r="K736" i="9" a="1"/>
  <c r="E736" i="9"/>
  <c r="C736" i="9"/>
  <c r="S735" i="9"/>
  <c r="M735" i="9"/>
  <c r="N735" i="9" s="1"/>
  <c r="K735" i="9"/>
  <c r="K735" i="9" a="1"/>
  <c r="E735" i="9"/>
  <c r="C735" i="9"/>
  <c r="S734" i="9"/>
  <c r="N734" i="9"/>
  <c r="M734" i="9"/>
  <c r="K734" i="9" a="1"/>
  <c r="K734" i="9" s="1"/>
  <c r="E734" i="9"/>
  <c r="C734" i="9"/>
  <c r="S733" i="9"/>
  <c r="N733" i="9"/>
  <c r="M733" i="9"/>
  <c r="K733" i="9" a="1"/>
  <c r="K733" i="9" s="1"/>
  <c r="E733" i="9"/>
  <c r="C733" i="9"/>
  <c r="S732" i="9"/>
  <c r="M732" i="9"/>
  <c r="N732" i="9" s="1"/>
  <c r="K732" i="9"/>
  <c r="K732" i="9" a="1"/>
  <c r="E732" i="9"/>
  <c r="C732" i="9"/>
  <c r="S731" i="9"/>
  <c r="M731" i="9"/>
  <c r="N731" i="9" s="1"/>
  <c r="K731" i="9"/>
  <c r="K731" i="9" a="1"/>
  <c r="E731" i="9"/>
  <c r="C731" i="9"/>
  <c r="S730" i="9"/>
  <c r="N730" i="9"/>
  <c r="M730" i="9"/>
  <c r="K730" i="9" a="1"/>
  <c r="K730" i="9" s="1"/>
  <c r="E730" i="9"/>
  <c r="C730" i="9"/>
  <c r="S729" i="9"/>
  <c r="N729" i="9"/>
  <c r="M729" i="9"/>
  <c r="K729" i="9" a="1"/>
  <c r="K729" i="9" s="1"/>
  <c r="E729" i="9"/>
  <c r="C729" i="9"/>
  <c r="S728" i="9"/>
  <c r="N728" i="9"/>
  <c r="M728" i="9"/>
  <c r="K728" i="9" a="1"/>
  <c r="K728" i="9" s="1"/>
  <c r="E728" i="9"/>
  <c r="C728" i="9"/>
  <c r="S727" i="9"/>
  <c r="M727" i="9"/>
  <c r="N727" i="9" s="1"/>
  <c r="K727" i="9"/>
  <c r="K727" i="9" a="1"/>
  <c r="E727" i="9"/>
  <c r="C727" i="9"/>
  <c r="S726" i="9"/>
  <c r="M726" i="9"/>
  <c r="N726" i="9" s="1"/>
  <c r="K726" i="9" a="1"/>
  <c r="K726" i="9" s="1"/>
  <c r="E726" i="9"/>
  <c r="C726" i="9"/>
  <c r="S725" i="9"/>
  <c r="N725" i="9"/>
  <c r="M725" i="9"/>
  <c r="K725" i="9" a="1"/>
  <c r="K725" i="9" s="1"/>
  <c r="E725" i="9"/>
  <c r="C725" i="9"/>
  <c r="M724" i="9"/>
  <c r="N724" i="9" s="1"/>
  <c r="K724" i="9"/>
  <c r="K724" i="9" a="1"/>
  <c r="E724" i="9"/>
  <c r="C724" i="9"/>
  <c r="N723" i="9"/>
  <c r="M723" i="9"/>
  <c r="K723" i="9" a="1"/>
  <c r="K723" i="9" s="1"/>
  <c r="E723" i="9"/>
  <c r="C723" i="9"/>
  <c r="S722" i="9"/>
  <c r="M722" i="9"/>
  <c r="N722" i="9" s="1"/>
  <c r="K722" i="9"/>
  <c r="K722" i="9" a="1"/>
  <c r="E722" i="9"/>
  <c r="C722" i="9"/>
  <c r="N721" i="9"/>
  <c r="M721" i="9"/>
  <c r="K721" i="9" a="1"/>
  <c r="K721" i="9" s="1"/>
  <c r="E721" i="9"/>
  <c r="C721" i="9"/>
  <c r="M720" i="9"/>
  <c r="N720" i="9" s="1"/>
  <c r="K720" i="9"/>
  <c r="K720" i="9" a="1"/>
  <c r="E720" i="9"/>
  <c r="C720" i="9"/>
  <c r="N719" i="9"/>
  <c r="M719" i="9"/>
  <c r="K719" i="9" a="1"/>
  <c r="K719" i="9" s="1"/>
  <c r="E719" i="9"/>
  <c r="C719" i="9"/>
  <c r="M718" i="9"/>
  <c r="N718" i="9" s="1"/>
  <c r="K718" i="9"/>
  <c r="K718" i="9" a="1"/>
  <c r="E718" i="9"/>
  <c r="C718" i="9"/>
  <c r="N717" i="9"/>
  <c r="M717" i="9"/>
  <c r="K717" i="9" a="1"/>
  <c r="K717" i="9" s="1"/>
  <c r="E717" i="9"/>
  <c r="C717" i="9"/>
  <c r="S716" i="9"/>
  <c r="N716" i="9"/>
  <c r="M716" i="9"/>
  <c r="K716" i="9" a="1"/>
  <c r="K716" i="9" s="1"/>
  <c r="E716" i="9"/>
  <c r="C716" i="9"/>
  <c r="M715" i="9"/>
  <c r="N715" i="9" s="1"/>
  <c r="K715" i="9"/>
  <c r="K715" i="9" a="1"/>
  <c r="E715" i="9"/>
  <c r="C715" i="9"/>
  <c r="N714" i="9"/>
  <c r="M714" i="9"/>
  <c r="K714" i="9" a="1"/>
  <c r="K714" i="9" s="1"/>
  <c r="E714" i="9"/>
  <c r="C714" i="9"/>
  <c r="S713" i="9"/>
  <c r="M713" i="9"/>
  <c r="N713" i="9" s="1"/>
  <c r="K713" i="9" a="1"/>
  <c r="K713" i="9" s="1"/>
  <c r="E713" i="9"/>
  <c r="C713" i="9"/>
  <c r="S712" i="9"/>
  <c r="M712" i="9"/>
  <c r="N712" i="9" s="1"/>
  <c r="K712" i="9"/>
  <c r="K712" i="9" a="1"/>
  <c r="E712" i="9"/>
  <c r="C712" i="9"/>
  <c r="N711" i="9"/>
  <c r="M711" i="9"/>
  <c r="K711" i="9" a="1"/>
  <c r="K711" i="9" s="1"/>
  <c r="E711" i="9"/>
  <c r="C711" i="9"/>
  <c r="S710" i="9"/>
  <c r="M710" i="9"/>
  <c r="N710" i="9" s="1"/>
  <c r="K710" i="9"/>
  <c r="K710" i="9" a="1"/>
  <c r="E710" i="9"/>
  <c r="C710" i="9"/>
  <c r="M709" i="9"/>
  <c r="N709" i="9" s="1"/>
  <c r="K709" i="9"/>
  <c r="K709" i="9" a="1"/>
  <c r="E709" i="9"/>
  <c r="C709" i="9"/>
  <c r="S708" i="9"/>
  <c r="N708" i="9"/>
  <c r="M708" i="9"/>
  <c r="K708" i="9" a="1"/>
  <c r="K708" i="9" s="1"/>
  <c r="E708" i="9"/>
  <c r="C708" i="9"/>
  <c r="S707" i="9"/>
  <c r="M707" i="9"/>
  <c r="N707" i="9" s="1"/>
  <c r="K707" i="9"/>
  <c r="K707" i="9" a="1"/>
  <c r="E707" i="9"/>
  <c r="C707" i="9"/>
  <c r="S706" i="9"/>
  <c r="M706" i="9"/>
  <c r="N706" i="9" s="1"/>
  <c r="K706" i="9"/>
  <c r="K706" i="9" a="1"/>
  <c r="E706" i="9"/>
  <c r="C706" i="9"/>
  <c r="S705" i="9"/>
  <c r="N705" i="9"/>
  <c r="M705" i="9"/>
  <c r="K705" i="9" a="1"/>
  <c r="K705" i="9" s="1"/>
  <c r="E705" i="9"/>
  <c r="C705" i="9"/>
  <c r="S704" i="9"/>
  <c r="N704" i="9"/>
  <c r="M704" i="9"/>
  <c r="K704" i="9" a="1"/>
  <c r="K704" i="9" s="1"/>
  <c r="E704" i="9"/>
  <c r="C704" i="9"/>
  <c r="S703" i="9"/>
  <c r="M703" i="9"/>
  <c r="N703" i="9" s="1"/>
  <c r="K703" i="9"/>
  <c r="K703" i="9" a="1"/>
  <c r="E703" i="9"/>
  <c r="C703" i="9"/>
  <c r="S702" i="9"/>
  <c r="M702" i="9"/>
  <c r="N702" i="9" s="1"/>
  <c r="K702" i="9"/>
  <c r="K702" i="9" a="1"/>
  <c r="E702" i="9"/>
  <c r="C702" i="9"/>
  <c r="S701" i="9"/>
  <c r="N701" i="9"/>
  <c r="M701" i="9"/>
  <c r="K701" i="9" a="1"/>
  <c r="K701" i="9" s="1"/>
  <c r="E701" i="9"/>
  <c r="C701" i="9"/>
  <c r="S700" i="9"/>
  <c r="N700" i="9"/>
  <c r="M700" i="9"/>
  <c r="K700" i="9" a="1"/>
  <c r="K700" i="9" s="1"/>
  <c r="E700" i="9"/>
  <c r="C700" i="9"/>
  <c r="S699" i="9"/>
  <c r="N699" i="9"/>
  <c r="K699" i="9"/>
  <c r="K699" i="9" a="1"/>
  <c r="E699" i="9"/>
  <c r="C699" i="9"/>
  <c r="S698" i="9"/>
  <c r="N698" i="9"/>
  <c r="M698" i="9"/>
  <c r="K698" i="9" a="1"/>
  <c r="K698" i="9" s="1"/>
  <c r="E698" i="9"/>
  <c r="C698" i="9"/>
  <c r="S697" i="9"/>
  <c r="N697" i="9"/>
  <c r="M697" i="9"/>
  <c r="K697" i="9" a="1"/>
  <c r="K697" i="9" s="1"/>
  <c r="E697" i="9"/>
  <c r="C697" i="9"/>
  <c r="S696" i="9"/>
  <c r="N696" i="9"/>
  <c r="K696" i="9"/>
  <c r="K696" i="9" a="1"/>
  <c r="E696" i="9"/>
  <c r="C696" i="9"/>
  <c r="N695" i="9"/>
  <c r="M695" i="9"/>
  <c r="K695" i="9" a="1"/>
  <c r="K695" i="9" s="1"/>
  <c r="E695" i="9"/>
  <c r="C695" i="9"/>
  <c r="S694" i="9"/>
  <c r="M694" i="9"/>
  <c r="N694" i="9" s="1"/>
  <c r="K694" i="9"/>
  <c r="K694" i="9" a="1"/>
  <c r="E694" i="9"/>
  <c r="C694" i="9"/>
  <c r="S693" i="9"/>
  <c r="M693" i="9"/>
  <c r="N693" i="9" s="1"/>
  <c r="K693" i="9"/>
  <c r="K693" i="9" a="1"/>
  <c r="E693" i="9"/>
  <c r="C693" i="9"/>
  <c r="S692" i="9"/>
  <c r="N692" i="9"/>
  <c r="M692" i="9"/>
  <c r="K692" i="9" a="1"/>
  <c r="K692" i="9" s="1"/>
  <c r="E692" i="9"/>
  <c r="C692" i="9"/>
  <c r="N691" i="9"/>
  <c r="M691" i="9"/>
  <c r="K691" i="9"/>
  <c r="K691" i="9" a="1"/>
  <c r="E691" i="9"/>
  <c r="C691" i="9"/>
  <c r="S690" i="9"/>
  <c r="N690" i="9"/>
  <c r="K690" i="9" a="1"/>
  <c r="K690" i="9" s="1"/>
  <c r="E690" i="9"/>
  <c r="C690" i="9"/>
  <c r="S689" i="9"/>
  <c r="N689" i="9"/>
  <c r="M689" i="9"/>
  <c r="K689" i="9" a="1"/>
  <c r="K689" i="9" s="1"/>
  <c r="E689" i="9"/>
  <c r="C689" i="9"/>
  <c r="S688" i="9"/>
  <c r="N688" i="9"/>
  <c r="M688" i="9"/>
  <c r="K688" i="9" a="1"/>
  <c r="K688" i="9" s="1"/>
  <c r="E688" i="9"/>
  <c r="C688" i="9"/>
  <c r="S687" i="9"/>
  <c r="M687" i="9"/>
  <c r="N687" i="9" s="1"/>
  <c r="K687" i="9"/>
  <c r="K687" i="9" a="1"/>
  <c r="E687" i="9"/>
  <c r="C687" i="9"/>
  <c r="S686" i="9"/>
  <c r="M686" i="9"/>
  <c r="N686" i="9" s="1"/>
  <c r="K686" i="9" a="1"/>
  <c r="K686" i="9" s="1"/>
  <c r="E686" i="9"/>
  <c r="C686" i="9"/>
  <c r="S685" i="9"/>
  <c r="N685" i="9"/>
  <c r="M685" i="9"/>
  <c r="K685" i="9" a="1"/>
  <c r="K685" i="9" s="1"/>
  <c r="E685" i="9"/>
  <c r="C685" i="9"/>
  <c r="S684" i="9"/>
  <c r="N684" i="9"/>
  <c r="M684" i="9"/>
  <c r="K684" i="9"/>
  <c r="K684" i="9" a="1"/>
  <c r="E684" i="9"/>
  <c r="C684" i="9"/>
  <c r="S683" i="9"/>
  <c r="M683" i="9"/>
  <c r="N683" i="9" s="1"/>
  <c r="K683" i="9"/>
  <c r="K683" i="9" a="1"/>
  <c r="E683" i="9"/>
  <c r="C683" i="9"/>
  <c r="S682" i="9"/>
  <c r="N682" i="9"/>
  <c r="M682" i="9"/>
  <c r="K682" i="9" a="1"/>
  <c r="K682" i="9" s="1"/>
  <c r="E682" i="9"/>
  <c r="C682" i="9"/>
  <c r="S681" i="9"/>
  <c r="N681" i="9"/>
  <c r="M681" i="9"/>
  <c r="K681" i="9" a="1"/>
  <c r="K681" i="9" s="1"/>
  <c r="E681" i="9"/>
  <c r="C681" i="9"/>
  <c r="N680" i="9"/>
  <c r="K680" i="9" a="1"/>
  <c r="K680" i="9" s="1"/>
  <c r="E680" i="9"/>
  <c r="C680" i="9"/>
  <c r="S679" i="9"/>
  <c r="N679" i="9"/>
  <c r="M679" i="9"/>
  <c r="K679" i="9" a="1"/>
  <c r="K679" i="9" s="1"/>
  <c r="E679" i="9"/>
  <c r="C679" i="9"/>
  <c r="S678" i="9"/>
  <c r="M678" i="9"/>
  <c r="N678" i="9" s="1"/>
  <c r="K678" i="9"/>
  <c r="K678" i="9" a="1"/>
  <c r="E678" i="9"/>
  <c r="C678" i="9"/>
  <c r="S677" i="9"/>
  <c r="M677" i="9"/>
  <c r="N677" i="9" s="1"/>
  <c r="K677" i="9"/>
  <c r="K677" i="9" a="1"/>
  <c r="E677" i="9"/>
  <c r="C677" i="9"/>
  <c r="N676" i="9"/>
  <c r="M676" i="9"/>
  <c r="K676" i="9" a="1"/>
  <c r="K676" i="9" s="1"/>
  <c r="E676" i="9"/>
  <c r="C676" i="9"/>
  <c r="S675" i="9"/>
  <c r="M675" i="9"/>
  <c r="N675" i="9" s="1"/>
  <c r="K675" i="9"/>
  <c r="K675" i="9" a="1"/>
  <c r="E675" i="9"/>
  <c r="C675" i="9"/>
  <c r="S674" i="9"/>
  <c r="N674" i="9"/>
  <c r="K674" i="9"/>
  <c r="K674" i="9" a="1"/>
  <c r="E674" i="9"/>
  <c r="C674" i="9"/>
  <c r="S673" i="9"/>
  <c r="N673" i="9"/>
  <c r="M673" i="9"/>
  <c r="K673" i="9" a="1"/>
  <c r="K673" i="9" s="1"/>
  <c r="E673" i="9"/>
  <c r="C673" i="9"/>
  <c r="S672" i="9"/>
  <c r="N672" i="9"/>
  <c r="K672" i="9"/>
  <c r="K672" i="9" a="1"/>
  <c r="E672" i="9"/>
  <c r="C672" i="9"/>
  <c r="S671" i="9"/>
  <c r="N671" i="9"/>
  <c r="M671" i="9"/>
  <c r="K671" i="9" a="1"/>
  <c r="K671" i="9" s="1"/>
  <c r="E671" i="9"/>
  <c r="C671" i="9"/>
  <c r="S670" i="9"/>
  <c r="N670" i="9"/>
  <c r="M670" i="9"/>
  <c r="K670" i="9" a="1"/>
  <c r="K670" i="9" s="1"/>
  <c r="E670" i="9"/>
  <c r="C670" i="9"/>
  <c r="S669" i="9"/>
  <c r="N669" i="9"/>
  <c r="K669" i="9"/>
  <c r="K669" i="9" a="1"/>
  <c r="E669" i="9"/>
  <c r="C669" i="9"/>
  <c r="N668" i="9"/>
  <c r="M668" i="9"/>
  <c r="K668" i="9" a="1"/>
  <c r="K668" i="9" s="1"/>
  <c r="E668" i="9"/>
  <c r="C668" i="9"/>
  <c r="S667" i="9"/>
  <c r="M667" i="9"/>
  <c r="N667" i="9" s="1"/>
  <c r="K667" i="9"/>
  <c r="K667" i="9" a="1"/>
  <c r="E667" i="9"/>
  <c r="C667" i="9"/>
  <c r="S666" i="9"/>
  <c r="M666" i="9"/>
  <c r="N666" i="9" s="1"/>
  <c r="K666" i="9"/>
  <c r="K666" i="9" a="1"/>
  <c r="E666" i="9"/>
  <c r="C666" i="9"/>
  <c r="S665" i="9"/>
  <c r="N665" i="9"/>
  <c r="M665" i="9"/>
  <c r="K665" i="9" a="1"/>
  <c r="K665" i="9" s="1"/>
  <c r="E665" i="9"/>
  <c r="C665" i="9"/>
  <c r="N664" i="9"/>
  <c r="M664" i="9"/>
  <c r="K664" i="9"/>
  <c r="K664" i="9" a="1"/>
  <c r="E664" i="9"/>
  <c r="C664" i="9"/>
  <c r="N663" i="9"/>
  <c r="M663" i="9"/>
  <c r="K663" i="9" a="1"/>
  <c r="K663" i="9" s="1"/>
  <c r="E663" i="9"/>
  <c r="C663" i="9"/>
  <c r="S662" i="9"/>
  <c r="N662" i="9"/>
  <c r="M662" i="9"/>
  <c r="K662" i="9" a="1"/>
  <c r="K662" i="9" s="1"/>
  <c r="E662" i="9"/>
  <c r="C662" i="9"/>
  <c r="S661" i="9"/>
  <c r="N661" i="9"/>
  <c r="M661" i="9"/>
  <c r="K661" i="9" a="1"/>
  <c r="K661" i="9" s="1"/>
  <c r="E661" i="9"/>
  <c r="C661" i="9"/>
  <c r="S660" i="9"/>
  <c r="M660" i="9"/>
  <c r="N660" i="9" s="1"/>
  <c r="K660" i="9"/>
  <c r="K660" i="9" a="1"/>
  <c r="E660" i="9"/>
  <c r="C660" i="9"/>
  <c r="S659" i="9"/>
  <c r="M659" i="9"/>
  <c r="N659" i="9" s="1"/>
  <c r="K659" i="9" a="1"/>
  <c r="K659" i="9" s="1"/>
  <c r="E659" i="9"/>
  <c r="C659" i="9"/>
  <c r="S658" i="9"/>
  <c r="N658" i="9"/>
  <c r="M658" i="9"/>
  <c r="K658" i="9" a="1"/>
  <c r="K658" i="9" s="1"/>
  <c r="E658" i="9"/>
  <c r="C658" i="9"/>
  <c r="S657" i="9"/>
  <c r="N657" i="9"/>
  <c r="M657" i="9"/>
  <c r="K657" i="9"/>
  <c r="K657" i="9" a="1"/>
  <c r="E657" i="9"/>
  <c r="C657" i="9"/>
  <c r="S656" i="9"/>
  <c r="M656" i="9"/>
  <c r="N656" i="9" s="1"/>
  <c r="K656" i="9"/>
  <c r="K656" i="9" a="1"/>
  <c r="E656" i="9"/>
  <c r="C656" i="9"/>
  <c r="S655" i="9"/>
  <c r="N655" i="9"/>
  <c r="M655" i="9"/>
  <c r="K655" i="9" a="1"/>
  <c r="K655" i="9" s="1"/>
  <c r="E655" i="9"/>
  <c r="C655" i="9"/>
  <c r="S654" i="9"/>
  <c r="N654" i="9"/>
  <c r="M654" i="9"/>
  <c r="K654" i="9" a="1"/>
  <c r="K654" i="9" s="1"/>
  <c r="E654" i="9"/>
  <c r="C654" i="9"/>
  <c r="M653" i="9"/>
  <c r="N653" i="9" s="1"/>
  <c r="K653" i="9"/>
  <c r="K653" i="9" a="1"/>
  <c r="E653" i="9"/>
  <c r="C653" i="9"/>
  <c r="S652" i="9"/>
  <c r="M652" i="9"/>
  <c r="N652" i="9" s="1"/>
  <c r="K652" i="9"/>
  <c r="K652" i="9" a="1"/>
  <c r="E652" i="9"/>
  <c r="C652" i="9"/>
  <c r="S651" i="9"/>
  <c r="N651" i="9"/>
  <c r="M651" i="9"/>
  <c r="K651" i="9" a="1"/>
  <c r="K651" i="9" s="1"/>
  <c r="E651" i="9"/>
  <c r="C651" i="9"/>
  <c r="S650" i="9"/>
  <c r="N650" i="9"/>
  <c r="K650" i="9"/>
  <c r="K650" i="9" a="1"/>
  <c r="E650" i="9"/>
  <c r="C650" i="9"/>
  <c r="S649" i="9"/>
  <c r="N649" i="9"/>
  <c r="M649" i="9"/>
  <c r="K649" i="9" a="1"/>
  <c r="K649" i="9" s="1"/>
  <c r="E649" i="9"/>
  <c r="C649" i="9"/>
  <c r="S648" i="9"/>
  <c r="N648" i="9"/>
  <c r="M648" i="9"/>
  <c r="K648" i="9" a="1"/>
  <c r="K648" i="9" s="1"/>
  <c r="E648" i="9"/>
  <c r="C648" i="9"/>
  <c r="S647" i="9"/>
  <c r="M647" i="9"/>
  <c r="N647" i="9" s="1"/>
  <c r="K647" i="9" a="1"/>
  <c r="K647" i="9" s="1"/>
  <c r="E647" i="9"/>
  <c r="C647" i="9"/>
  <c r="S646" i="9"/>
  <c r="M646" i="9"/>
  <c r="N646" i="9" s="1"/>
  <c r="K646" i="9"/>
  <c r="K646" i="9" a="1"/>
  <c r="E646" i="9"/>
  <c r="C646" i="9"/>
  <c r="N645" i="9"/>
  <c r="M645" i="9"/>
  <c r="K645" i="9" a="1"/>
  <c r="K645" i="9" s="1"/>
  <c r="E645" i="9"/>
  <c r="C645" i="9"/>
  <c r="S644" i="9"/>
  <c r="M644" i="9"/>
  <c r="N644" i="9" s="1"/>
  <c r="K644" i="9"/>
  <c r="K644" i="9" a="1"/>
  <c r="E644" i="9"/>
  <c r="C644" i="9"/>
  <c r="S643" i="9"/>
  <c r="M643" i="9"/>
  <c r="N643" i="9" s="1"/>
  <c r="K643" i="9"/>
  <c r="K643" i="9" a="1"/>
  <c r="E643" i="9"/>
  <c r="C643" i="9"/>
  <c r="S642" i="9"/>
  <c r="N642" i="9"/>
  <c r="M642" i="9"/>
  <c r="K642" i="9" a="1"/>
  <c r="K642" i="9" s="1"/>
  <c r="E642" i="9"/>
  <c r="C642" i="9"/>
  <c r="S641" i="9"/>
  <c r="N641" i="9"/>
  <c r="M641" i="9"/>
  <c r="K641" i="9" a="1"/>
  <c r="K641" i="9" s="1"/>
  <c r="E641" i="9"/>
  <c r="C641" i="9"/>
  <c r="S640" i="9"/>
  <c r="N640" i="9"/>
  <c r="M640" i="9"/>
  <c r="K640" i="9" a="1"/>
  <c r="K640" i="9" s="1"/>
  <c r="E640" i="9"/>
  <c r="C640" i="9"/>
  <c r="S639" i="9"/>
  <c r="M639" i="9"/>
  <c r="N639" i="9" s="1"/>
  <c r="K639" i="9"/>
  <c r="K639" i="9" a="1"/>
  <c r="E639" i="9"/>
  <c r="C639" i="9"/>
  <c r="S638" i="9"/>
  <c r="M638" i="9"/>
  <c r="N638" i="9" s="1"/>
  <c r="K638" i="9" a="1"/>
  <c r="K638" i="9" s="1"/>
  <c r="E638" i="9"/>
  <c r="C638" i="9"/>
  <c r="S637" i="9"/>
  <c r="N637" i="9"/>
  <c r="M637" i="9"/>
  <c r="K637" i="9" a="1"/>
  <c r="K637" i="9" s="1"/>
  <c r="E637" i="9"/>
  <c r="C637" i="9"/>
  <c r="S636" i="9"/>
  <c r="N636" i="9"/>
  <c r="M636" i="9"/>
  <c r="K636" i="9"/>
  <c r="K636" i="9" a="1"/>
  <c r="E636" i="9"/>
  <c r="C636" i="9"/>
  <c r="S635" i="9"/>
  <c r="N635" i="9"/>
  <c r="K635" i="9" a="1"/>
  <c r="K635" i="9" s="1"/>
  <c r="E635" i="9"/>
  <c r="C635" i="9"/>
  <c r="N634" i="9"/>
  <c r="M634" i="9"/>
  <c r="K634" i="9"/>
  <c r="K634" i="9" a="1"/>
  <c r="E634" i="9"/>
  <c r="C634" i="9"/>
  <c r="N633" i="9"/>
  <c r="M633" i="9"/>
  <c r="K633" i="9" a="1"/>
  <c r="K633" i="9" s="1"/>
  <c r="E633" i="9"/>
  <c r="C633" i="9"/>
  <c r="S632" i="9"/>
  <c r="N632" i="9"/>
  <c r="M632" i="9"/>
  <c r="K632" i="9" a="1"/>
  <c r="K632" i="9" s="1"/>
  <c r="E632" i="9"/>
  <c r="C632" i="9"/>
  <c r="S631" i="9"/>
  <c r="M631" i="9"/>
  <c r="N631" i="9" s="1"/>
  <c r="K631" i="9" a="1"/>
  <c r="K631" i="9" s="1"/>
  <c r="E631" i="9"/>
  <c r="C631" i="9"/>
  <c r="S630" i="9"/>
  <c r="M630" i="9"/>
  <c r="N630" i="9" s="1"/>
  <c r="K630" i="9"/>
  <c r="K630" i="9" a="1"/>
  <c r="E630" i="9"/>
  <c r="C630" i="9"/>
  <c r="S629" i="9"/>
  <c r="M629" i="9"/>
  <c r="N629" i="9" s="1"/>
  <c r="K629" i="9" a="1"/>
  <c r="K629" i="9" s="1"/>
  <c r="E629" i="9"/>
  <c r="C629" i="9"/>
  <c r="S628" i="9"/>
  <c r="N628" i="9"/>
  <c r="M628" i="9"/>
  <c r="K628" i="9" a="1"/>
  <c r="K628" i="9" s="1"/>
  <c r="E628" i="9"/>
  <c r="C628" i="9"/>
  <c r="S627" i="9"/>
  <c r="M627" i="9"/>
  <c r="N627" i="9" s="1"/>
  <c r="K627" i="9"/>
  <c r="K627" i="9" a="1"/>
  <c r="E627" i="9"/>
  <c r="C627" i="9"/>
  <c r="S626" i="9"/>
  <c r="M626" i="9"/>
  <c r="N626" i="9" s="1"/>
  <c r="K626" i="9"/>
  <c r="K626" i="9" a="1"/>
  <c r="E626" i="9"/>
  <c r="C626" i="9"/>
  <c r="S625" i="9"/>
  <c r="N625" i="9"/>
  <c r="M625" i="9"/>
  <c r="K625" i="9" a="1"/>
  <c r="K625" i="9" s="1"/>
  <c r="E625" i="9"/>
  <c r="C625" i="9"/>
  <c r="S624" i="9"/>
  <c r="N624" i="9"/>
  <c r="K624" i="9" a="1"/>
  <c r="K624" i="9" s="1"/>
  <c r="E624" i="9"/>
  <c r="C624" i="9"/>
  <c r="N623" i="9"/>
  <c r="M623" i="9"/>
  <c r="K623" i="9" a="1"/>
  <c r="K623" i="9" s="1"/>
  <c r="E623" i="9"/>
  <c r="C623" i="9"/>
  <c r="S622" i="9"/>
  <c r="N622" i="9"/>
  <c r="M622" i="9"/>
  <c r="K622" i="9" a="1"/>
  <c r="K622" i="9" s="1"/>
  <c r="E622" i="9"/>
  <c r="C622" i="9"/>
  <c r="S621" i="9"/>
  <c r="M621" i="9"/>
  <c r="N621" i="9" s="1"/>
  <c r="K621" i="9"/>
  <c r="K621" i="9" a="1"/>
  <c r="E621" i="9"/>
  <c r="C621" i="9"/>
  <c r="S620" i="9"/>
  <c r="M620" i="9"/>
  <c r="N620" i="9" s="1"/>
  <c r="K620" i="9"/>
  <c r="K620" i="9" a="1"/>
  <c r="E620" i="9"/>
  <c r="C620" i="9"/>
  <c r="S619" i="9"/>
  <c r="N619" i="9"/>
  <c r="M619" i="9"/>
  <c r="K619" i="9" a="1"/>
  <c r="K619" i="9" s="1"/>
  <c r="E619" i="9"/>
  <c r="C619" i="9"/>
  <c r="S618" i="9"/>
  <c r="N618" i="9"/>
  <c r="M618" i="9"/>
  <c r="K618" i="9" a="1"/>
  <c r="K618" i="9" s="1"/>
  <c r="E618" i="9"/>
  <c r="C618" i="9"/>
  <c r="S617" i="9"/>
  <c r="M617" i="9"/>
  <c r="N617" i="9" s="1"/>
  <c r="K617" i="9" a="1"/>
  <c r="K617" i="9" s="1"/>
  <c r="E617" i="9"/>
  <c r="C617" i="9"/>
  <c r="S616" i="9"/>
  <c r="M616" i="9"/>
  <c r="N616" i="9" s="1"/>
  <c r="K616" i="9"/>
  <c r="K616" i="9" a="1"/>
  <c r="E616" i="9"/>
  <c r="C616" i="9"/>
  <c r="N615" i="9"/>
  <c r="K615" i="9" a="1"/>
  <c r="K615" i="9" s="1"/>
  <c r="E615" i="9"/>
  <c r="C615" i="9"/>
  <c r="S614" i="9"/>
  <c r="M614" i="9"/>
  <c r="N614" i="9" s="1"/>
  <c r="K614" i="9"/>
  <c r="K614" i="9" a="1"/>
  <c r="E614" i="9"/>
  <c r="C614" i="9"/>
  <c r="N613" i="9"/>
  <c r="M613" i="9"/>
  <c r="K613" i="9" a="1"/>
  <c r="K613" i="9" s="1"/>
  <c r="E613" i="9"/>
  <c r="C613" i="9"/>
  <c r="S612" i="9"/>
  <c r="M612" i="9"/>
  <c r="N612" i="9" s="1"/>
  <c r="K612" i="9"/>
  <c r="K612" i="9" a="1"/>
  <c r="E612" i="9"/>
  <c r="C612" i="9"/>
  <c r="S611" i="9"/>
  <c r="M611" i="9"/>
  <c r="N611" i="9" s="1"/>
  <c r="K611" i="9"/>
  <c r="K611" i="9" a="1"/>
  <c r="E611" i="9"/>
  <c r="C611" i="9"/>
  <c r="S610" i="9"/>
  <c r="N610" i="9"/>
  <c r="M610" i="9"/>
  <c r="K610" i="9"/>
  <c r="K610" i="9" a="1"/>
  <c r="E610" i="9"/>
  <c r="C610" i="9"/>
  <c r="N609" i="9"/>
  <c r="M609" i="9"/>
  <c r="K609" i="9"/>
  <c r="K609" i="9" a="1"/>
  <c r="E609" i="9"/>
  <c r="C609" i="9"/>
  <c r="S608" i="9"/>
  <c r="N608" i="9"/>
  <c r="K608" i="9"/>
  <c r="K608" i="9" a="1"/>
  <c r="E608" i="9"/>
  <c r="C608" i="9"/>
  <c r="S607" i="9"/>
  <c r="N607" i="9"/>
  <c r="M607" i="9"/>
  <c r="K607" i="9" a="1"/>
  <c r="K607" i="9" s="1"/>
  <c r="E607" i="9"/>
  <c r="C607" i="9"/>
  <c r="S606" i="9"/>
  <c r="M606" i="9"/>
  <c r="N606" i="9" s="1"/>
  <c r="K606" i="9" a="1"/>
  <c r="K606" i="9" s="1"/>
  <c r="E606" i="9"/>
  <c r="C606" i="9"/>
  <c r="S605" i="9"/>
  <c r="M605" i="9"/>
  <c r="N605" i="9" s="1"/>
  <c r="K605" i="9"/>
  <c r="K605" i="9" a="1"/>
  <c r="E605" i="9"/>
  <c r="C605" i="9"/>
  <c r="S604" i="9"/>
  <c r="M604" i="9"/>
  <c r="N604" i="9" s="1"/>
  <c r="K604" i="9"/>
  <c r="K604" i="9" a="1"/>
  <c r="E604" i="9"/>
  <c r="C604" i="9"/>
  <c r="S603" i="9"/>
  <c r="N603" i="9"/>
  <c r="M603" i="9"/>
  <c r="K603" i="9" a="1"/>
  <c r="K603" i="9" s="1"/>
  <c r="E603" i="9"/>
  <c r="C603" i="9"/>
  <c r="S602" i="9"/>
  <c r="M602" i="9"/>
  <c r="N602" i="9" s="1"/>
  <c r="K602" i="9"/>
  <c r="K602" i="9" a="1"/>
  <c r="E602" i="9"/>
  <c r="C602" i="9"/>
  <c r="S601" i="9"/>
  <c r="N601" i="9"/>
  <c r="K601" i="9" a="1"/>
  <c r="K601" i="9" s="1"/>
  <c r="E601" i="9"/>
  <c r="C601" i="9"/>
  <c r="M600" i="9"/>
  <c r="N600" i="9" s="1"/>
  <c r="K600" i="9"/>
  <c r="K600" i="9" a="1"/>
  <c r="E600" i="9"/>
  <c r="C600" i="9"/>
  <c r="S599" i="9"/>
  <c r="M599" i="9"/>
  <c r="N599" i="9" s="1"/>
  <c r="K599" i="9"/>
  <c r="K599" i="9" a="1"/>
  <c r="E599" i="9"/>
  <c r="C599" i="9"/>
  <c r="S598" i="9"/>
  <c r="N598" i="9"/>
  <c r="M598" i="9"/>
  <c r="K598" i="9" a="1"/>
  <c r="K598" i="9" s="1"/>
  <c r="E598" i="9"/>
  <c r="C598" i="9"/>
  <c r="S597" i="9"/>
  <c r="N597" i="9"/>
  <c r="M597" i="9"/>
  <c r="K597" i="9" a="1"/>
  <c r="K597" i="9" s="1"/>
  <c r="E597" i="9"/>
  <c r="C597" i="9"/>
  <c r="S596" i="9"/>
  <c r="M596" i="9"/>
  <c r="N596" i="9" s="1"/>
  <c r="K596" i="9"/>
  <c r="K596" i="9" a="1"/>
  <c r="E596" i="9"/>
  <c r="C596" i="9"/>
  <c r="S595" i="9"/>
  <c r="M595" i="9"/>
  <c r="N595" i="9" s="1"/>
  <c r="K595" i="9"/>
  <c r="K595" i="9" a="1"/>
  <c r="E595" i="9"/>
  <c r="C595" i="9"/>
  <c r="S594" i="9"/>
  <c r="N594" i="9"/>
  <c r="M594" i="9"/>
  <c r="K594" i="9" a="1"/>
  <c r="K594" i="9" s="1"/>
  <c r="E594" i="9"/>
  <c r="C594" i="9"/>
  <c r="M593" i="9"/>
  <c r="N593" i="9" s="1"/>
  <c r="K593" i="9"/>
  <c r="K593" i="9" a="1"/>
  <c r="E593" i="9"/>
  <c r="C593" i="9"/>
  <c r="S592" i="9"/>
  <c r="M592" i="9"/>
  <c r="N592" i="9" s="1"/>
  <c r="K592" i="9"/>
  <c r="K592" i="9" a="1"/>
  <c r="E592" i="9"/>
  <c r="C592" i="9"/>
  <c r="N591" i="9"/>
  <c r="M591" i="9"/>
  <c r="K591" i="9" a="1"/>
  <c r="K591" i="9" s="1"/>
  <c r="E591" i="9"/>
  <c r="C591" i="9"/>
  <c r="S590" i="9"/>
  <c r="N590" i="9"/>
  <c r="M590" i="9"/>
  <c r="K590" i="9" a="1"/>
  <c r="K590" i="9" s="1"/>
  <c r="E590" i="9"/>
  <c r="C590" i="9"/>
  <c r="N589" i="9"/>
  <c r="M589" i="9"/>
  <c r="K589" i="9" a="1"/>
  <c r="K589" i="9" s="1"/>
  <c r="E589" i="9"/>
  <c r="C589" i="9"/>
  <c r="N588" i="9"/>
  <c r="M588" i="9"/>
  <c r="K588" i="9" a="1"/>
  <c r="K588" i="9" s="1"/>
  <c r="E588" i="9"/>
  <c r="C588" i="9"/>
  <c r="S587" i="9"/>
  <c r="M587" i="9"/>
  <c r="N587" i="9" s="1"/>
  <c r="K587" i="9"/>
  <c r="K587" i="9" a="1"/>
  <c r="E587" i="9"/>
  <c r="C587" i="9"/>
  <c r="S586" i="9"/>
  <c r="M586" i="9"/>
  <c r="N586" i="9" s="1"/>
  <c r="K586" i="9" a="1"/>
  <c r="K586" i="9" s="1"/>
  <c r="E586" i="9"/>
  <c r="C586" i="9"/>
  <c r="S585" i="9"/>
  <c r="N585" i="9"/>
  <c r="M585" i="9"/>
  <c r="K585" i="9" a="1"/>
  <c r="K585" i="9" s="1"/>
  <c r="E585" i="9"/>
  <c r="C585" i="9"/>
  <c r="M584" i="9"/>
  <c r="N584" i="9" s="1"/>
  <c r="K584" i="9"/>
  <c r="K584" i="9" a="1"/>
  <c r="E584" i="9"/>
  <c r="C584" i="9"/>
  <c r="S583" i="9"/>
  <c r="N583" i="9"/>
  <c r="M583" i="9"/>
  <c r="K583" i="9" a="1"/>
  <c r="K583" i="9" s="1"/>
  <c r="E583" i="9"/>
  <c r="C583" i="9"/>
  <c r="S582" i="9"/>
  <c r="N582" i="9"/>
  <c r="M582" i="9"/>
  <c r="K582" i="9" a="1"/>
  <c r="K582" i="9" s="1"/>
  <c r="E582" i="9"/>
  <c r="C582" i="9"/>
  <c r="S581" i="9"/>
  <c r="N581" i="9"/>
  <c r="M581" i="9"/>
  <c r="K581" i="9" a="1"/>
  <c r="K581" i="9" s="1"/>
  <c r="E581" i="9"/>
  <c r="C581" i="9"/>
  <c r="S580" i="9"/>
  <c r="M580" i="9"/>
  <c r="N580" i="9" s="1"/>
  <c r="K580" i="9"/>
  <c r="K580" i="9" a="1"/>
  <c r="E580" i="9"/>
  <c r="C580" i="9"/>
  <c r="S579" i="9"/>
  <c r="M579" i="9"/>
  <c r="N579" i="9" s="1"/>
  <c r="K579" i="9" a="1"/>
  <c r="K579" i="9" s="1"/>
  <c r="E579" i="9"/>
  <c r="C579" i="9"/>
  <c r="S578" i="9"/>
  <c r="N578" i="9"/>
  <c r="M578" i="9"/>
  <c r="K578" i="9" a="1"/>
  <c r="K578" i="9" s="1"/>
  <c r="E578" i="9"/>
  <c r="C578" i="9"/>
  <c r="S577" i="9"/>
  <c r="N577" i="9"/>
  <c r="M577" i="9"/>
  <c r="K577" i="9"/>
  <c r="K577" i="9" a="1"/>
  <c r="E577" i="9"/>
  <c r="C577" i="9"/>
  <c r="S576" i="9"/>
  <c r="N576" i="9"/>
  <c r="K576" i="9"/>
  <c r="K576" i="9" a="1"/>
  <c r="E576" i="9"/>
  <c r="C576" i="9"/>
  <c r="S575" i="9"/>
  <c r="N575" i="9"/>
  <c r="M575" i="9"/>
  <c r="K575" i="9" a="1"/>
  <c r="K575" i="9" s="1"/>
  <c r="E575" i="9"/>
  <c r="C575" i="9"/>
  <c r="S574" i="9"/>
  <c r="M574" i="9"/>
  <c r="N574" i="9" s="1"/>
  <c r="K574" i="9" a="1"/>
  <c r="K574" i="9" s="1"/>
  <c r="E574" i="9"/>
  <c r="C574" i="9"/>
  <c r="N573" i="9"/>
  <c r="M573" i="9"/>
  <c r="K573" i="9" a="1"/>
  <c r="K573" i="9" s="1"/>
  <c r="E573" i="9"/>
  <c r="C573" i="9"/>
  <c r="S572" i="9"/>
  <c r="N572" i="9"/>
  <c r="K572" i="9" a="1"/>
  <c r="K572" i="9" s="1"/>
  <c r="E572" i="9"/>
  <c r="C572" i="9"/>
  <c r="S571" i="9"/>
  <c r="M571" i="9"/>
  <c r="N571" i="9" s="1"/>
  <c r="K571" i="9"/>
  <c r="K571" i="9" a="1"/>
  <c r="E571" i="9"/>
  <c r="C571" i="9"/>
  <c r="S570" i="9"/>
  <c r="M570" i="9"/>
  <c r="N570" i="9" s="1"/>
  <c r="K570" i="9"/>
  <c r="K570" i="9" a="1"/>
  <c r="E570" i="9"/>
  <c r="C570" i="9"/>
  <c r="S569" i="9"/>
  <c r="N569" i="9"/>
  <c r="M569" i="9"/>
  <c r="K569" i="9" a="1"/>
  <c r="K569" i="9" s="1"/>
  <c r="E569" i="9"/>
  <c r="C569" i="9"/>
  <c r="S568" i="9"/>
  <c r="N568" i="9"/>
  <c r="K568" i="9"/>
  <c r="K568" i="9" a="1"/>
  <c r="E568" i="9"/>
  <c r="C568" i="9"/>
  <c r="S567" i="9"/>
  <c r="N567" i="9"/>
  <c r="K567" i="9" a="1"/>
  <c r="K567" i="9" s="1"/>
  <c r="E567" i="9"/>
  <c r="C567" i="9"/>
  <c r="M566" i="9"/>
  <c r="N566" i="9" s="1"/>
  <c r="K566" i="9"/>
  <c r="K566" i="9" a="1"/>
  <c r="E566" i="9"/>
  <c r="C566" i="9"/>
  <c r="S565" i="9"/>
  <c r="N565" i="9"/>
  <c r="M565" i="9"/>
  <c r="K565" i="9"/>
  <c r="K565" i="9" a="1"/>
  <c r="E565" i="9"/>
  <c r="C565" i="9"/>
  <c r="S564" i="9"/>
  <c r="N564" i="9"/>
  <c r="M564" i="9"/>
  <c r="K564" i="9" a="1"/>
  <c r="K564" i="9" s="1"/>
  <c r="E564" i="9"/>
  <c r="C564" i="9"/>
  <c r="S563" i="9"/>
  <c r="M563" i="9"/>
  <c r="N563" i="9" s="1"/>
  <c r="K563" i="9" a="1"/>
  <c r="K563" i="9" s="1"/>
  <c r="E563" i="9"/>
  <c r="C563" i="9"/>
  <c r="S562" i="9"/>
  <c r="M562" i="9"/>
  <c r="N562" i="9" s="1"/>
  <c r="K562" i="9"/>
  <c r="K562" i="9" a="1"/>
  <c r="E562" i="9"/>
  <c r="C562" i="9"/>
  <c r="S561" i="9"/>
  <c r="M561" i="9"/>
  <c r="N561" i="9" s="1"/>
  <c r="K561" i="9"/>
  <c r="K561" i="9" a="1"/>
  <c r="E561" i="9"/>
  <c r="C561" i="9"/>
  <c r="S560" i="9"/>
  <c r="N560" i="9"/>
  <c r="M560" i="9"/>
  <c r="K560" i="9" a="1"/>
  <c r="K560" i="9" s="1"/>
  <c r="E560" i="9"/>
  <c r="C560" i="9"/>
  <c r="N559" i="9"/>
  <c r="K559" i="9" a="1"/>
  <c r="K559" i="9" s="1"/>
  <c r="E559" i="9"/>
  <c r="C559" i="9"/>
  <c r="S558" i="9"/>
  <c r="N558" i="9"/>
  <c r="M558" i="9"/>
  <c r="K558" i="9" a="1"/>
  <c r="K558" i="9" s="1"/>
  <c r="E558" i="9"/>
  <c r="C558" i="9"/>
  <c r="M557" i="9"/>
  <c r="N557" i="9" s="1"/>
  <c r="K557" i="9"/>
  <c r="K557" i="9" a="1"/>
  <c r="E557" i="9"/>
  <c r="C557" i="9"/>
  <c r="S556" i="9"/>
  <c r="N556" i="9"/>
  <c r="M556" i="9"/>
  <c r="K556" i="9" a="1"/>
  <c r="K556" i="9" s="1"/>
  <c r="E556" i="9"/>
  <c r="C556" i="9"/>
  <c r="N555" i="9"/>
  <c r="M555" i="9"/>
  <c r="K555" i="9"/>
  <c r="K555" i="9" a="1"/>
  <c r="E555" i="9"/>
  <c r="C555" i="9"/>
  <c r="S554" i="9"/>
  <c r="M554" i="9"/>
  <c r="N554" i="9" s="1"/>
  <c r="K554" i="9"/>
  <c r="K554" i="9" a="1"/>
  <c r="E554" i="9"/>
  <c r="C554" i="9"/>
  <c r="S553" i="9"/>
  <c r="N553" i="9"/>
  <c r="K553" i="9" a="1"/>
  <c r="K553" i="9" s="1"/>
  <c r="E553" i="9"/>
  <c r="C553" i="9"/>
  <c r="S552" i="9"/>
  <c r="M552" i="9"/>
  <c r="N552" i="9" s="1"/>
  <c r="K552" i="9" a="1"/>
  <c r="K552" i="9" s="1"/>
  <c r="E552" i="9"/>
  <c r="C552" i="9"/>
  <c r="S551" i="9"/>
  <c r="M551" i="9"/>
  <c r="N551" i="9" s="1"/>
  <c r="K551" i="9"/>
  <c r="K551" i="9" a="1"/>
  <c r="E551" i="9"/>
  <c r="C551" i="9"/>
  <c r="S550" i="9"/>
  <c r="M550" i="9"/>
  <c r="N550" i="9" s="1"/>
  <c r="K550" i="9"/>
  <c r="K550" i="9" a="1"/>
  <c r="E550" i="9"/>
  <c r="C550" i="9"/>
  <c r="S549" i="9"/>
  <c r="N549" i="9"/>
  <c r="M549" i="9"/>
  <c r="K549" i="9" a="1"/>
  <c r="K549" i="9" s="1"/>
  <c r="E549" i="9"/>
  <c r="C549" i="9"/>
  <c r="S548" i="9"/>
  <c r="M548" i="9"/>
  <c r="N548" i="9" s="1"/>
  <c r="K548" i="9"/>
  <c r="K548" i="9" a="1"/>
  <c r="E548" i="9"/>
  <c r="C548" i="9"/>
  <c r="S547" i="9"/>
  <c r="M547" i="9"/>
  <c r="N547" i="9" s="1"/>
  <c r="K547" i="9"/>
  <c r="K547" i="9" a="1"/>
  <c r="E547" i="9"/>
  <c r="C547" i="9"/>
  <c r="S546" i="9"/>
  <c r="N546" i="9"/>
  <c r="M546" i="9"/>
  <c r="K546" i="9" a="1"/>
  <c r="K546" i="9" s="1"/>
  <c r="E546" i="9"/>
  <c r="C546" i="9"/>
  <c r="S545" i="9"/>
  <c r="N545" i="9"/>
  <c r="M545" i="9"/>
  <c r="K545" i="9" a="1"/>
  <c r="K545" i="9" s="1"/>
  <c r="E545" i="9"/>
  <c r="C545" i="9"/>
  <c r="S544" i="9"/>
  <c r="M544" i="9"/>
  <c r="N544" i="9" s="1"/>
  <c r="K544" i="9"/>
  <c r="K544" i="9" a="1"/>
  <c r="E544" i="9"/>
  <c r="C544" i="9"/>
  <c r="S543" i="9"/>
  <c r="M543" i="9"/>
  <c r="N543" i="9" s="1"/>
  <c r="K543" i="9"/>
  <c r="K543" i="9" a="1"/>
  <c r="E543" i="9"/>
  <c r="C543" i="9"/>
  <c r="N542" i="9"/>
  <c r="M542" i="9"/>
  <c r="K542" i="9" a="1"/>
  <c r="K542" i="9" s="1"/>
  <c r="E542" i="9"/>
  <c r="C542" i="9"/>
  <c r="S541" i="9"/>
  <c r="N541" i="9"/>
  <c r="M541" i="9"/>
  <c r="K541" i="9"/>
  <c r="K541" i="9" a="1"/>
  <c r="E541" i="9"/>
  <c r="C541" i="9"/>
  <c r="S540" i="9"/>
  <c r="M540" i="9"/>
  <c r="N540" i="9" s="1"/>
  <c r="K540" i="9"/>
  <c r="K540" i="9" a="1"/>
  <c r="E540" i="9"/>
  <c r="C540" i="9"/>
  <c r="S539" i="9"/>
  <c r="N539" i="9"/>
  <c r="M539" i="9"/>
  <c r="K539" i="9" a="1"/>
  <c r="K539" i="9" s="1"/>
  <c r="E539" i="9"/>
  <c r="C539" i="9"/>
  <c r="S538" i="9"/>
  <c r="N538" i="9"/>
  <c r="M538" i="9"/>
  <c r="K538" i="9" a="1"/>
  <c r="K538" i="9" s="1"/>
  <c r="E538" i="9"/>
  <c r="C538" i="9"/>
  <c r="S537" i="9"/>
  <c r="N537" i="9"/>
  <c r="K537" i="9"/>
  <c r="K537" i="9" a="1"/>
  <c r="E537" i="9"/>
  <c r="C537" i="9"/>
  <c r="S536" i="9"/>
  <c r="N536" i="9"/>
  <c r="K536" i="9" a="1"/>
  <c r="K536" i="9" s="1"/>
  <c r="E536" i="9"/>
  <c r="C536" i="9"/>
  <c r="S535" i="9"/>
  <c r="M535" i="9"/>
  <c r="N535" i="9" s="1"/>
  <c r="K535" i="9"/>
  <c r="K535" i="9" a="1"/>
  <c r="E535" i="9"/>
  <c r="C535" i="9"/>
  <c r="N534" i="9"/>
  <c r="K534" i="9" a="1"/>
  <c r="K534" i="9" s="1"/>
  <c r="E534" i="9"/>
  <c r="C534" i="9"/>
  <c r="S533" i="9"/>
  <c r="M533" i="9"/>
  <c r="N533" i="9" s="1"/>
  <c r="K533" i="9"/>
  <c r="K533" i="9" a="1"/>
  <c r="E533" i="9"/>
  <c r="C533" i="9"/>
  <c r="S532" i="9"/>
  <c r="M532" i="9"/>
  <c r="N532" i="9" s="1"/>
  <c r="K532" i="9"/>
  <c r="K532" i="9" a="1"/>
  <c r="E532" i="9"/>
  <c r="C532" i="9"/>
  <c r="S531" i="9"/>
  <c r="N531" i="9"/>
  <c r="K531" i="9" a="1"/>
  <c r="K531" i="9" s="1"/>
  <c r="E531" i="9"/>
  <c r="C531" i="9"/>
  <c r="S530" i="9"/>
  <c r="N530" i="9"/>
  <c r="M530" i="9"/>
  <c r="K530" i="9"/>
  <c r="K530" i="9" a="1"/>
  <c r="E530" i="9"/>
  <c r="C530" i="9"/>
  <c r="N529" i="9"/>
  <c r="M529" i="9"/>
  <c r="K529" i="9" a="1"/>
  <c r="K529" i="9" s="1"/>
  <c r="E529" i="9"/>
  <c r="C529" i="9"/>
  <c r="S528" i="9"/>
  <c r="N528" i="9"/>
  <c r="M528" i="9"/>
  <c r="K528" i="9" a="1"/>
  <c r="K528" i="9" s="1"/>
  <c r="E528" i="9"/>
  <c r="C528" i="9"/>
  <c r="S527" i="9"/>
  <c r="N527" i="9"/>
  <c r="K527" i="9"/>
  <c r="K527" i="9" a="1"/>
  <c r="E527" i="9"/>
  <c r="C527" i="9"/>
  <c r="S526" i="9"/>
  <c r="N526" i="9"/>
  <c r="M526" i="9"/>
  <c r="K526" i="9" a="1"/>
  <c r="K526" i="9" s="1"/>
  <c r="E526" i="9"/>
  <c r="C526" i="9"/>
  <c r="S525" i="9"/>
  <c r="N525" i="9"/>
  <c r="M525" i="9"/>
  <c r="K525" i="9" a="1"/>
  <c r="K525" i="9" s="1"/>
  <c r="E525" i="9"/>
  <c r="C525" i="9"/>
  <c r="S524" i="9"/>
  <c r="M524" i="9"/>
  <c r="N524" i="9" s="1"/>
  <c r="K524" i="9"/>
  <c r="K524" i="9" a="1"/>
  <c r="E524" i="9"/>
  <c r="C524" i="9"/>
  <c r="S523" i="9"/>
  <c r="M523" i="9"/>
  <c r="N523" i="9" s="1"/>
  <c r="K523" i="9"/>
  <c r="K523" i="9" a="1"/>
  <c r="E523" i="9"/>
  <c r="C523" i="9"/>
  <c r="N522" i="9"/>
  <c r="M522" i="9"/>
  <c r="K522" i="9" a="1"/>
  <c r="K522" i="9" s="1"/>
  <c r="E522" i="9"/>
  <c r="C522" i="9"/>
  <c r="S521" i="9"/>
  <c r="M521" i="9"/>
  <c r="N521" i="9" s="1"/>
  <c r="K521" i="9"/>
  <c r="K521" i="9" a="1"/>
  <c r="E521" i="9"/>
  <c r="C521" i="9"/>
  <c r="S520" i="9"/>
  <c r="M520" i="9"/>
  <c r="N520" i="9" s="1"/>
  <c r="K520" i="9"/>
  <c r="K520" i="9" a="1"/>
  <c r="E520" i="9"/>
  <c r="C520" i="9"/>
  <c r="S519" i="9"/>
  <c r="N519" i="9"/>
  <c r="M519" i="9"/>
  <c r="K519" i="9" a="1"/>
  <c r="K519" i="9" s="1"/>
  <c r="E519" i="9"/>
  <c r="C519" i="9"/>
  <c r="S518" i="9"/>
  <c r="N518" i="9"/>
  <c r="M518" i="9"/>
  <c r="K518" i="9" a="1"/>
  <c r="K518" i="9" s="1"/>
  <c r="E518" i="9"/>
  <c r="C518" i="9"/>
  <c r="S517" i="9"/>
  <c r="M517" i="9"/>
  <c r="N517" i="9" s="1"/>
  <c r="K517" i="9"/>
  <c r="K517" i="9" a="1"/>
  <c r="E517" i="9"/>
  <c r="C517" i="9"/>
  <c r="M516" i="9"/>
  <c r="N516" i="9" s="1"/>
  <c r="K516" i="9"/>
  <c r="K516" i="9" a="1"/>
  <c r="E516" i="9"/>
  <c r="C516" i="9"/>
  <c r="S515" i="9"/>
  <c r="N515" i="9"/>
  <c r="M515" i="9"/>
  <c r="K515" i="9" a="1"/>
  <c r="K515" i="9" s="1"/>
  <c r="E515" i="9"/>
  <c r="C515" i="9"/>
  <c r="S514" i="9"/>
  <c r="N514" i="9"/>
  <c r="M514" i="9"/>
  <c r="K514" i="9"/>
  <c r="K514" i="9" a="1"/>
  <c r="E514" i="9"/>
  <c r="C514" i="9"/>
  <c r="S513" i="9"/>
  <c r="M513" i="9"/>
  <c r="N513" i="9" s="1"/>
  <c r="K513" i="9"/>
  <c r="K513" i="9" a="1"/>
  <c r="E513" i="9"/>
  <c r="C513" i="9"/>
  <c r="S512" i="9"/>
  <c r="N512" i="9"/>
  <c r="M512" i="9"/>
  <c r="K512" i="9" a="1"/>
  <c r="K512" i="9" s="1"/>
  <c r="E512" i="9"/>
  <c r="C512" i="9"/>
  <c r="S511" i="9"/>
  <c r="N511" i="9"/>
  <c r="M511" i="9"/>
  <c r="K511" i="9" a="1"/>
  <c r="K511" i="9" s="1"/>
  <c r="E511" i="9"/>
  <c r="C511" i="9"/>
  <c r="S510" i="9"/>
  <c r="M510" i="9"/>
  <c r="N510" i="9" s="1"/>
  <c r="K510" i="9"/>
  <c r="K510" i="9" a="1"/>
  <c r="E510" i="9"/>
  <c r="C510" i="9"/>
  <c r="M509" i="9"/>
  <c r="N509" i="9" s="1"/>
  <c r="K509" i="9"/>
  <c r="K509" i="9" a="1"/>
  <c r="E509" i="9"/>
  <c r="C509" i="9"/>
  <c r="S508" i="9"/>
  <c r="N508" i="9"/>
  <c r="M508" i="9"/>
  <c r="K508" i="9" a="1"/>
  <c r="K508" i="9" s="1"/>
  <c r="E508" i="9"/>
  <c r="C508" i="9"/>
  <c r="S507" i="9"/>
  <c r="M507" i="9"/>
  <c r="N507" i="9" s="1"/>
  <c r="K507" i="9"/>
  <c r="K507" i="9" a="1"/>
  <c r="E507" i="9"/>
  <c r="C507" i="9"/>
  <c r="S506" i="9"/>
  <c r="M506" i="9"/>
  <c r="N506" i="9" s="1"/>
  <c r="K506" i="9"/>
  <c r="K506" i="9" a="1"/>
  <c r="E506" i="9"/>
  <c r="C506" i="9"/>
  <c r="S505" i="9"/>
  <c r="N505" i="9"/>
  <c r="M505" i="9"/>
  <c r="K505" i="9" a="1"/>
  <c r="K505" i="9" s="1"/>
  <c r="E505" i="9"/>
  <c r="C505" i="9"/>
  <c r="S504" i="9"/>
  <c r="N504" i="9"/>
  <c r="M504" i="9"/>
  <c r="K504" i="9" a="1"/>
  <c r="K504" i="9" s="1"/>
  <c r="E504" i="9"/>
  <c r="C504" i="9"/>
  <c r="S503" i="9"/>
  <c r="M503" i="9"/>
  <c r="N503" i="9" s="1"/>
  <c r="K503" i="9"/>
  <c r="K503" i="9" a="1"/>
  <c r="E503" i="9"/>
  <c r="C503" i="9"/>
  <c r="S502" i="9"/>
  <c r="M502" i="9"/>
  <c r="N502" i="9" s="1"/>
  <c r="K502" i="9"/>
  <c r="K502" i="9" a="1"/>
  <c r="E502" i="9"/>
  <c r="C502" i="9"/>
  <c r="S501" i="9"/>
  <c r="N501" i="9"/>
  <c r="M501" i="9"/>
  <c r="K501" i="9" a="1"/>
  <c r="K501" i="9" s="1"/>
  <c r="E501" i="9"/>
  <c r="C501" i="9"/>
  <c r="S500" i="9"/>
  <c r="N500" i="9"/>
  <c r="M500" i="9"/>
  <c r="K500" i="9" a="1"/>
  <c r="K500" i="9" s="1"/>
  <c r="E500" i="9"/>
  <c r="C500" i="9"/>
  <c r="S499" i="9"/>
  <c r="M499" i="9"/>
  <c r="N499" i="9" s="1"/>
  <c r="K499" i="9" a="1"/>
  <c r="K499" i="9" s="1"/>
  <c r="E499" i="9"/>
  <c r="C499" i="9"/>
  <c r="S498" i="9"/>
  <c r="N498" i="9"/>
  <c r="K498" i="9" a="1"/>
  <c r="K498" i="9" s="1"/>
  <c r="E498" i="9"/>
  <c r="C498" i="9"/>
  <c r="S497" i="9"/>
  <c r="N497" i="9"/>
  <c r="M497" i="9"/>
  <c r="K497" i="9" a="1"/>
  <c r="K497" i="9" s="1"/>
  <c r="E497" i="9"/>
  <c r="C497" i="9"/>
  <c r="S496" i="9"/>
  <c r="M496" i="9"/>
  <c r="N496" i="9" s="1"/>
  <c r="K496" i="9"/>
  <c r="K496" i="9" a="1"/>
  <c r="E496" i="9"/>
  <c r="C496" i="9"/>
  <c r="S495" i="9"/>
  <c r="M495" i="9"/>
  <c r="N495" i="9" s="1"/>
  <c r="K495" i="9"/>
  <c r="K495" i="9" a="1"/>
  <c r="E495" i="9"/>
  <c r="C495" i="9"/>
  <c r="S494" i="9"/>
  <c r="N494" i="9"/>
  <c r="M494" i="9"/>
  <c r="K494" i="9"/>
  <c r="K494" i="9" a="1"/>
  <c r="E494" i="9"/>
  <c r="C494" i="9"/>
  <c r="N493" i="9"/>
  <c r="K493" i="9"/>
  <c r="K493" i="9" a="1"/>
  <c r="E493" i="9"/>
  <c r="C493" i="9"/>
  <c r="S492" i="9"/>
  <c r="N492" i="9"/>
  <c r="M492" i="9"/>
  <c r="K492" i="9"/>
  <c r="K492" i="9" a="1"/>
  <c r="E492" i="9"/>
  <c r="C492" i="9"/>
  <c r="S491" i="9"/>
  <c r="N491" i="9"/>
  <c r="M491" i="9"/>
  <c r="K491" i="9" a="1"/>
  <c r="K491" i="9" s="1"/>
  <c r="E491" i="9"/>
  <c r="C491" i="9"/>
  <c r="S490" i="9"/>
  <c r="M490" i="9"/>
  <c r="N490" i="9" s="1"/>
  <c r="K490" i="9" a="1"/>
  <c r="K490" i="9" s="1"/>
  <c r="E490" i="9"/>
  <c r="C490" i="9"/>
  <c r="N489" i="9"/>
  <c r="M489" i="9"/>
  <c r="K489" i="9" a="1"/>
  <c r="K489" i="9" s="1"/>
  <c r="E489" i="9"/>
  <c r="C489" i="9"/>
  <c r="S488" i="9"/>
  <c r="N488" i="9"/>
  <c r="M488" i="9"/>
  <c r="K488" i="9"/>
  <c r="K488" i="9" a="1"/>
  <c r="E488" i="9"/>
  <c r="C488" i="9"/>
  <c r="M487" i="9"/>
  <c r="N487" i="9" s="1"/>
  <c r="K487" i="9"/>
  <c r="K487" i="9" a="1"/>
  <c r="E487" i="9"/>
  <c r="C487" i="9"/>
  <c r="S486" i="9"/>
  <c r="M486" i="9"/>
  <c r="N486" i="9" s="1"/>
  <c r="K486" i="9" a="1"/>
  <c r="K486" i="9" s="1"/>
  <c r="E486" i="9"/>
  <c r="C486" i="9"/>
  <c r="S485" i="9"/>
  <c r="M485" i="9"/>
  <c r="N485" i="9" s="1"/>
  <c r="K485" i="9" a="1"/>
  <c r="K485" i="9" s="1"/>
  <c r="E485" i="9"/>
  <c r="C485" i="9"/>
  <c r="S484" i="9"/>
  <c r="N484" i="9"/>
  <c r="M484" i="9"/>
  <c r="K484" i="9"/>
  <c r="K484" i="9" a="1"/>
  <c r="E484" i="9"/>
  <c r="C484" i="9"/>
  <c r="S483" i="9"/>
  <c r="M483" i="9"/>
  <c r="N483" i="9" s="1"/>
  <c r="K483" i="9"/>
  <c r="K483" i="9" a="1"/>
  <c r="E483" i="9"/>
  <c r="C483" i="9"/>
  <c r="S482" i="9"/>
  <c r="N482" i="9"/>
  <c r="M482" i="9"/>
  <c r="K482" i="9" a="1"/>
  <c r="K482" i="9" s="1"/>
  <c r="E482" i="9"/>
  <c r="C482" i="9"/>
  <c r="N481" i="9"/>
  <c r="M481" i="9"/>
  <c r="K481" i="9" a="1"/>
  <c r="K481" i="9" s="1"/>
  <c r="E481" i="9"/>
  <c r="C481" i="9"/>
  <c r="S480" i="9"/>
  <c r="M480" i="9"/>
  <c r="N480" i="9" s="1"/>
  <c r="K480" i="9"/>
  <c r="K480" i="9" a="1"/>
  <c r="E480" i="9"/>
  <c r="C480" i="9"/>
  <c r="N479" i="9"/>
  <c r="M479" i="9"/>
  <c r="K479" i="9"/>
  <c r="K479" i="9" a="1"/>
  <c r="E479" i="9"/>
  <c r="C479" i="9"/>
  <c r="M478" i="9"/>
  <c r="N478" i="9" s="1"/>
  <c r="K478" i="9" a="1"/>
  <c r="K478" i="9" s="1"/>
  <c r="E478" i="9"/>
  <c r="C478" i="9"/>
  <c r="S477" i="9"/>
  <c r="M477" i="9"/>
  <c r="N477" i="9" s="1"/>
  <c r="K477" i="9"/>
  <c r="K477" i="9" a="1"/>
  <c r="E477" i="9"/>
  <c r="C477" i="9"/>
  <c r="S476" i="9"/>
  <c r="N476" i="9"/>
  <c r="M476" i="9"/>
  <c r="K476" i="9"/>
  <c r="K476" i="9" a="1"/>
  <c r="E476" i="9"/>
  <c r="C476" i="9"/>
  <c r="M475" i="9"/>
  <c r="N475" i="9" s="1"/>
  <c r="K475" i="9" a="1"/>
  <c r="K475" i="9" s="1"/>
  <c r="E475" i="9"/>
  <c r="C475" i="9"/>
  <c r="M474" i="9"/>
  <c r="N474" i="9" s="1"/>
  <c r="K474" i="9"/>
  <c r="K474" i="9" a="1"/>
  <c r="E474" i="9"/>
  <c r="C474" i="9"/>
  <c r="S473" i="9"/>
  <c r="N473" i="9"/>
  <c r="M473" i="9"/>
  <c r="K473" i="9"/>
  <c r="K473" i="9" a="1"/>
  <c r="E473" i="9"/>
  <c r="C473" i="9"/>
  <c r="S472" i="9"/>
  <c r="N472" i="9"/>
  <c r="M472" i="9"/>
  <c r="K472" i="9"/>
  <c r="K472" i="9" a="1"/>
  <c r="E472" i="9"/>
  <c r="C472" i="9"/>
  <c r="S471" i="9"/>
  <c r="N471" i="9"/>
  <c r="M471" i="9"/>
  <c r="K471" i="9" a="1"/>
  <c r="K471" i="9" s="1"/>
  <c r="E471" i="9"/>
  <c r="C471" i="9"/>
  <c r="S470" i="9"/>
  <c r="N470" i="9"/>
  <c r="M470" i="9"/>
  <c r="K470" i="9" a="1"/>
  <c r="K470" i="9" s="1"/>
  <c r="E470" i="9"/>
  <c r="C470" i="9"/>
  <c r="S469" i="9"/>
  <c r="M469" i="9"/>
  <c r="N469" i="9" s="1"/>
  <c r="K469" i="9" a="1"/>
  <c r="K469" i="9" s="1"/>
  <c r="E469" i="9"/>
  <c r="C469" i="9"/>
  <c r="S468" i="9"/>
  <c r="M468" i="9"/>
  <c r="N468" i="9" s="1"/>
  <c r="K468" i="9" a="1"/>
  <c r="K468" i="9" s="1"/>
  <c r="E468" i="9"/>
  <c r="C468" i="9"/>
  <c r="S467" i="9"/>
  <c r="M467" i="9"/>
  <c r="N467" i="9" s="1"/>
  <c r="K467" i="9" a="1"/>
  <c r="K467" i="9" s="1"/>
  <c r="E467" i="9"/>
  <c r="C467" i="9"/>
  <c r="N466" i="9"/>
  <c r="M466" i="9"/>
  <c r="K466" i="9"/>
  <c r="K466" i="9" a="1"/>
  <c r="E466" i="9"/>
  <c r="C466" i="9"/>
  <c r="S465" i="9"/>
  <c r="N465" i="9"/>
  <c r="M465" i="9"/>
  <c r="K465" i="9"/>
  <c r="K465" i="9" a="1"/>
  <c r="E465" i="9"/>
  <c r="C465" i="9"/>
  <c r="S464" i="9"/>
  <c r="M464" i="9"/>
  <c r="N464" i="9" s="1"/>
  <c r="K464" i="9" a="1"/>
  <c r="K464" i="9" s="1"/>
  <c r="E464" i="9"/>
  <c r="C464" i="9"/>
  <c r="S463" i="9"/>
  <c r="N463" i="9"/>
  <c r="M463" i="9"/>
  <c r="K463" i="9" a="1"/>
  <c r="K463" i="9" s="1"/>
  <c r="E463" i="9"/>
  <c r="C463" i="9"/>
  <c r="S462" i="9"/>
  <c r="N462" i="9"/>
  <c r="K462" i="9" a="1"/>
  <c r="K462" i="9" s="1"/>
  <c r="E462" i="9"/>
  <c r="C462" i="9"/>
  <c r="S461" i="9"/>
  <c r="M461" i="9"/>
  <c r="N461" i="9" s="1"/>
  <c r="K461" i="9"/>
  <c r="K461" i="9" a="1"/>
  <c r="E461" i="9"/>
  <c r="C461" i="9"/>
  <c r="M460" i="9"/>
  <c r="N460" i="9" s="1"/>
  <c r="K460" i="9" a="1"/>
  <c r="K460" i="9" s="1"/>
  <c r="E460" i="9"/>
  <c r="C460" i="9"/>
  <c r="S459" i="9"/>
  <c r="M459" i="9"/>
  <c r="N459" i="9" s="1"/>
  <c r="K459" i="9" a="1"/>
  <c r="K459" i="9" s="1"/>
  <c r="E459" i="9"/>
  <c r="C459" i="9"/>
  <c r="M458" i="9"/>
  <c r="N458" i="9" s="1"/>
  <c r="K458" i="9"/>
  <c r="K458" i="9" a="1"/>
  <c r="E458" i="9"/>
  <c r="C458" i="9"/>
  <c r="S457" i="9"/>
  <c r="N457" i="9"/>
  <c r="M457" i="9"/>
  <c r="K457" i="9"/>
  <c r="K457" i="9" a="1"/>
  <c r="E457" i="9"/>
  <c r="C457" i="9"/>
  <c r="M456" i="9"/>
  <c r="N456" i="9" s="1"/>
  <c r="K456" i="9" a="1"/>
  <c r="K456" i="9" s="1"/>
  <c r="E456" i="9"/>
  <c r="C456" i="9"/>
  <c r="S455" i="9"/>
  <c r="M455" i="9"/>
  <c r="N455" i="9" s="1"/>
  <c r="K455" i="9" a="1"/>
  <c r="K455" i="9" s="1"/>
  <c r="E455" i="9"/>
  <c r="C455" i="9"/>
  <c r="N454" i="9"/>
  <c r="M454" i="9"/>
  <c r="K454" i="9"/>
  <c r="K454" i="9" a="1"/>
  <c r="E454" i="9"/>
  <c r="C454" i="9"/>
  <c r="S453" i="9"/>
  <c r="M453" i="9"/>
  <c r="N453" i="9" s="1"/>
  <c r="K453" i="9" a="1"/>
  <c r="K453" i="9" s="1"/>
  <c r="E453" i="9"/>
  <c r="C453" i="9"/>
  <c r="S452" i="9"/>
  <c r="N452" i="9"/>
  <c r="M452" i="9"/>
  <c r="K452" i="9" a="1"/>
  <c r="K452" i="9" s="1"/>
  <c r="E452" i="9"/>
  <c r="C452" i="9"/>
  <c r="S451" i="9"/>
  <c r="M451" i="9"/>
  <c r="N451" i="9" s="1"/>
  <c r="K451" i="9" a="1"/>
  <c r="K451" i="9" s="1"/>
  <c r="E451" i="9"/>
  <c r="C451" i="9"/>
  <c r="S450" i="9"/>
  <c r="M450" i="9"/>
  <c r="N450" i="9" s="1"/>
  <c r="K450" i="9" a="1"/>
  <c r="K450" i="9" s="1"/>
  <c r="E450" i="9"/>
  <c r="C450" i="9"/>
  <c r="S449" i="9"/>
  <c r="M449" i="9"/>
  <c r="N449" i="9" s="1"/>
  <c r="K449" i="9" a="1"/>
  <c r="K449" i="9" s="1"/>
  <c r="E449" i="9"/>
  <c r="C449" i="9"/>
  <c r="S448" i="9"/>
  <c r="M448" i="9"/>
  <c r="N448" i="9" s="1"/>
  <c r="K448" i="9" a="1"/>
  <c r="K448" i="9" s="1"/>
  <c r="E448" i="9"/>
  <c r="C448" i="9"/>
  <c r="N447" i="9"/>
  <c r="M447" i="9"/>
  <c r="K447" i="9"/>
  <c r="K447" i="9" a="1"/>
  <c r="E447" i="9"/>
  <c r="C447" i="9"/>
  <c r="S446" i="9"/>
  <c r="N446" i="9"/>
  <c r="M446" i="9"/>
  <c r="K446" i="9" a="1"/>
  <c r="K446" i="9" s="1"/>
  <c r="E446" i="9"/>
  <c r="C446" i="9"/>
  <c r="S445" i="9"/>
  <c r="N445" i="9"/>
  <c r="M445" i="9"/>
  <c r="K445" i="9" a="1"/>
  <c r="K445" i="9" s="1"/>
  <c r="E445" i="9"/>
  <c r="C445" i="9"/>
  <c r="S444" i="9"/>
  <c r="N444" i="9"/>
  <c r="K444" i="9" a="1"/>
  <c r="K444" i="9" s="1"/>
  <c r="E444" i="9"/>
  <c r="C444" i="9"/>
  <c r="S443" i="9"/>
  <c r="M443" i="9"/>
  <c r="N443" i="9" s="1"/>
  <c r="K443" i="9"/>
  <c r="K443" i="9" a="1"/>
  <c r="E443" i="9"/>
  <c r="C443" i="9"/>
  <c r="S442" i="9"/>
  <c r="M442" i="9"/>
  <c r="N442" i="9" s="1"/>
  <c r="K442" i="9"/>
  <c r="K442" i="9" a="1"/>
  <c r="E442" i="9"/>
  <c r="C442" i="9"/>
  <c r="S441" i="9"/>
  <c r="N441" i="9"/>
  <c r="M441" i="9"/>
  <c r="K441" i="9" a="1"/>
  <c r="K441" i="9" s="1"/>
  <c r="E441" i="9"/>
  <c r="C441" i="9"/>
  <c r="S440" i="9"/>
  <c r="N440" i="9"/>
  <c r="M440" i="9"/>
  <c r="K440" i="9"/>
  <c r="K440" i="9" a="1"/>
  <c r="E440" i="9"/>
  <c r="C440" i="9"/>
  <c r="S439" i="9"/>
  <c r="M439" i="9"/>
  <c r="N439" i="9" s="1"/>
  <c r="K439" i="9" a="1"/>
  <c r="K439" i="9" s="1"/>
  <c r="E439" i="9"/>
  <c r="C439" i="9"/>
  <c r="S438" i="9"/>
  <c r="N438" i="9"/>
  <c r="M438" i="9"/>
  <c r="K438" i="9" a="1"/>
  <c r="K438" i="9" s="1"/>
  <c r="E438" i="9"/>
  <c r="C438" i="9"/>
  <c r="S437" i="9"/>
  <c r="M437" i="9"/>
  <c r="N437" i="9" s="1"/>
  <c r="K437" i="9" a="1"/>
  <c r="K437" i="9" s="1"/>
  <c r="E437" i="9"/>
  <c r="C437" i="9"/>
  <c r="S436" i="9"/>
  <c r="M436" i="9"/>
  <c r="N436" i="9" s="1"/>
  <c r="K436" i="9" a="1"/>
  <c r="K436" i="9" s="1"/>
  <c r="E436" i="9"/>
  <c r="C436" i="9"/>
  <c r="S435" i="9"/>
  <c r="M435" i="9"/>
  <c r="N435" i="9" s="1"/>
  <c r="K435" i="9" a="1"/>
  <c r="K435" i="9" s="1"/>
  <c r="E435" i="9"/>
  <c r="C435" i="9"/>
  <c r="S434" i="9"/>
  <c r="M434" i="9"/>
  <c r="N434" i="9" s="1"/>
  <c r="K434" i="9" a="1"/>
  <c r="K434" i="9" s="1"/>
  <c r="E434" i="9"/>
  <c r="C434" i="9"/>
  <c r="N433" i="9"/>
  <c r="M433" i="9"/>
  <c r="K433" i="9"/>
  <c r="K433" i="9" a="1"/>
  <c r="E433" i="9"/>
  <c r="C433" i="9"/>
  <c r="S432" i="9"/>
  <c r="N432" i="9"/>
  <c r="K432" i="9" a="1"/>
  <c r="K432" i="9" s="1"/>
  <c r="E432" i="9"/>
  <c r="C432" i="9"/>
  <c r="S431" i="9"/>
  <c r="N431" i="9"/>
  <c r="K431" i="9"/>
  <c r="K431" i="9" a="1"/>
  <c r="E431" i="9"/>
  <c r="C431" i="9"/>
  <c r="S430" i="9"/>
  <c r="N430" i="9"/>
  <c r="M430" i="9"/>
  <c r="K430" i="9" a="1"/>
  <c r="K430" i="9" s="1"/>
  <c r="E430" i="9"/>
  <c r="C430" i="9"/>
  <c r="S429" i="9"/>
  <c r="N429" i="9"/>
  <c r="K429" i="9" a="1"/>
  <c r="K429" i="9" s="1"/>
  <c r="E429" i="9"/>
  <c r="C429" i="9"/>
  <c r="S428" i="9"/>
  <c r="M428" i="9"/>
  <c r="N428" i="9" s="1"/>
  <c r="K428" i="9" a="1"/>
  <c r="K428" i="9" s="1"/>
  <c r="E428" i="9"/>
  <c r="C428" i="9"/>
  <c r="S427" i="9"/>
  <c r="M427" i="9"/>
  <c r="N427" i="9" s="1"/>
  <c r="K427" i="9"/>
  <c r="K427" i="9" a="1"/>
  <c r="E427" i="9"/>
  <c r="C427" i="9"/>
  <c r="M426" i="9"/>
  <c r="N426" i="9" s="1"/>
  <c r="K426" i="9" a="1"/>
  <c r="K426" i="9" s="1"/>
  <c r="E426" i="9"/>
  <c r="C426" i="9"/>
  <c r="M425" i="9"/>
  <c r="N425" i="9" s="1"/>
  <c r="K425" i="9"/>
  <c r="K425" i="9" a="1"/>
  <c r="E425" i="9"/>
  <c r="C425" i="9"/>
  <c r="S424" i="9"/>
  <c r="M424" i="9"/>
  <c r="N424" i="9" s="1"/>
  <c r="K424" i="9"/>
  <c r="K424" i="9" a="1"/>
  <c r="E424" i="9"/>
  <c r="C424" i="9"/>
  <c r="S423" i="9"/>
  <c r="N423" i="9"/>
  <c r="K423" i="9" a="1"/>
  <c r="K423" i="9" s="1"/>
  <c r="E423" i="9"/>
  <c r="C423" i="9"/>
  <c r="S422" i="9"/>
  <c r="M422" i="9"/>
  <c r="N422" i="9" s="1"/>
  <c r="K422" i="9" a="1"/>
  <c r="K422" i="9" s="1"/>
  <c r="E422" i="9"/>
  <c r="C422" i="9"/>
  <c r="S421" i="9"/>
  <c r="M421" i="9"/>
  <c r="N421" i="9" s="1"/>
  <c r="K421" i="9" a="1"/>
  <c r="K421" i="9" s="1"/>
  <c r="E421" i="9"/>
  <c r="C421" i="9"/>
  <c r="S420" i="9"/>
  <c r="M420" i="9"/>
  <c r="N420" i="9" s="1"/>
  <c r="K420" i="9" a="1"/>
  <c r="K420" i="9" s="1"/>
  <c r="E420" i="9"/>
  <c r="C420" i="9"/>
  <c r="S419" i="9"/>
  <c r="M419" i="9"/>
  <c r="N419" i="9" s="1"/>
  <c r="K419" i="9" a="1"/>
  <c r="K419" i="9" s="1"/>
  <c r="E419" i="9"/>
  <c r="C419" i="9"/>
  <c r="S418" i="9"/>
  <c r="M418" i="9"/>
  <c r="N418" i="9" s="1"/>
  <c r="K418" i="9"/>
  <c r="K418" i="9" a="1"/>
  <c r="E418" i="9"/>
  <c r="C418" i="9"/>
  <c r="S417" i="9"/>
  <c r="M417" i="9"/>
  <c r="N417" i="9" s="1"/>
  <c r="K417" i="9"/>
  <c r="K417" i="9" a="1"/>
  <c r="E417" i="9"/>
  <c r="C417" i="9"/>
  <c r="M416" i="9"/>
  <c r="N416" i="9" s="1"/>
  <c r="K416" i="9" a="1"/>
  <c r="K416" i="9" s="1"/>
  <c r="E416" i="9"/>
  <c r="C416" i="9"/>
  <c r="S415" i="9"/>
  <c r="M415" i="9"/>
  <c r="N415" i="9" s="1"/>
  <c r="K415" i="9" a="1"/>
  <c r="K415" i="9" s="1"/>
  <c r="E415" i="9"/>
  <c r="C415" i="9"/>
  <c r="N414" i="9"/>
  <c r="M414" i="9"/>
  <c r="K414" i="9" a="1"/>
  <c r="K414" i="9" s="1"/>
  <c r="E414" i="9"/>
  <c r="C414" i="9"/>
  <c r="S413" i="9"/>
  <c r="N413" i="9"/>
  <c r="M413" i="9"/>
  <c r="K413" i="9"/>
  <c r="K413" i="9" a="1"/>
  <c r="E413" i="9"/>
  <c r="C413" i="9"/>
  <c r="S412" i="9"/>
  <c r="M412" i="9"/>
  <c r="N412" i="9" s="1"/>
  <c r="K412" i="9" a="1"/>
  <c r="K412" i="9" s="1"/>
  <c r="E412" i="9"/>
  <c r="C412" i="9"/>
  <c r="S411" i="9"/>
  <c r="N411" i="9"/>
  <c r="M411" i="9"/>
  <c r="K411" i="9" a="1"/>
  <c r="K411" i="9" s="1"/>
  <c r="E411" i="9"/>
  <c r="C411" i="9"/>
  <c r="S410" i="9"/>
  <c r="M410" i="9"/>
  <c r="N410" i="9" s="1"/>
  <c r="K410" i="9" a="1"/>
  <c r="K410" i="9" s="1"/>
  <c r="E410" i="9"/>
  <c r="C410" i="9"/>
  <c r="S409" i="9"/>
  <c r="M409" i="9"/>
  <c r="N409" i="9" s="1"/>
  <c r="K409" i="9" a="1"/>
  <c r="K409" i="9" s="1"/>
  <c r="E409" i="9"/>
  <c r="C409" i="9"/>
  <c r="S408" i="9"/>
  <c r="M408" i="9"/>
  <c r="N408" i="9" s="1"/>
  <c r="K408" i="9" a="1"/>
  <c r="K408" i="9" s="1"/>
  <c r="E408" i="9"/>
  <c r="C408" i="9"/>
  <c r="S407" i="9"/>
  <c r="M407" i="9"/>
  <c r="N407" i="9" s="1"/>
  <c r="K407" i="9" a="1"/>
  <c r="K407" i="9" s="1"/>
  <c r="E407" i="9"/>
  <c r="C407" i="9"/>
  <c r="S406" i="9"/>
  <c r="M406" i="9"/>
  <c r="N406" i="9" s="1"/>
  <c r="K406" i="9" a="1"/>
  <c r="K406" i="9" s="1"/>
  <c r="E406" i="9"/>
  <c r="C406" i="9"/>
  <c r="S405" i="9"/>
  <c r="M405" i="9"/>
  <c r="N405" i="9" s="1"/>
  <c r="K405" i="9" a="1"/>
  <c r="K405" i="9" s="1"/>
  <c r="E405" i="9"/>
  <c r="C405" i="9"/>
  <c r="S404" i="9"/>
  <c r="M404" i="9"/>
  <c r="N404" i="9" s="1"/>
  <c r="K404" i="9"/>
  <c r="K404" i="9" a="1"/>
  <c r="E404" i="9"/>
  <c r="C404" i="9"/>
  <c r="S403" i="9"/>
  <c r="M403" i="9"/>
  <c r="N403" i="9" s="1"/>
  <c r="K403" i="9"/>
  <c r="K403" i="9" a="1"/>
  <c r="E403" i="9"/>
  <c r="C403" i="9"/>
  <c r="S402" i="9"/>
  <c r="N402" i="9"/>
  <c r="M402" i="9"/>
  <c r="K402" i="9"/>
  <c r="K402" i="9" a="1"/>
  <c r="E402" i="9"/>
  <c r="C402" i="9"/>
  <c r="S401" i="9"/>
  <c r="N401" i="9"/>
  <c r="M401" i="9"/>
  <c r="K401" i="9"/>
  <c r="K401" i="9" a="1"/>
  <c r="E401" i="9"/>
  <c r="C401" i="9"/>
  <c r="S400" i="9"/>
  <c r="N400" i="9"/>
  <c r="K400" i="9" a="1"/>
  <c r="K400" i="9" s="1"/>
  <c r="E400" i="9"/>
  <c r="C400" i="9"/>
  <c r="S399" i="9"/>
  <c r="M399" i="9"/>
  <c r="N399" i="9" s="1"/>
  <c r="K399" i="9" a="1"/>
  <c r="K399" i="9" s="1"/>
  <c r="E399" i="9"/>
  <c r="C399" i="9"/>
  <c r="S398" i="9"/>
  <c r="M398" i="9"/>
  <c r="N398" i="9" s="1"/>
  <c r="K398" i="9" a="1"/>
  <c r="K398" i="9" s="1"/>
  <c r="E398" i="9"/>
  <c r="C398" i="9"/>
  <c r="S397" i="9"/>
  <c r="M397" i="9"/>
  <c r="N397" i="9" s="1"/>
  <c r="K397" i="9"/>
  <c r="K397" i="9" a="1"/>
  <c r="E397" i="9"/>
  <c r="C397" i="9"/>
  <c r="N396" i="9"/>
  <c r="K396" i="9" a="1"/>
  <c r="K396" i="9" s="1"/>
  <c r="E396" i="9"/>
  <c r="C396" i="9"/>
  <c r="N395" i="9"/>
  <c r="M395" i="9"/>
  <c r="K395" i="9" a="1"/>
  <c r="K395" i="9" s="1"/>
  <c r="E395" i="9"/>
  <c r="C395" i="9"/>
  <c r="S394" i="9"/>
  <c r="N394" i="9"/>
  <c r="M394" i="9"/>
  <c r="K394" i="9" a="1"/>
  <c r="K394" i="9" s="1"/>
  <c r="E394" i="9"/>
  <c r="C394" i="9"/>
  <c r="S393" i="9"/>
  <c r="M393" i="9"/>
  <c r="N393" i="9" s="1"/>
  <c r="K393" i="9"/>
  <c r="K393" i="9" a="1"/>
  <c r="E393" i="9"/>
  <c r="C393" i="9"/>
  <c r="M392" i="9"/>
  <c r="N392" i="9" s="1"/>
  <c r="K392" i="9"/>
  <c r="K392" i="9" a="1"/>
  <c r="E392" i="9"/>
  <c r="C392" i="9"/>
  <c r="S391" i="9"/>
  <c r="N391" i="9"/>
  <c r="M391" i="9"/>
  <c r="K391" i="9" a="1"/>
  <c r="K391" i="9" s="1"/>
  <c r="E391" i="9"/>
  <c r="C391" i="9"/>
  <c r="S390" i="9"/>
  <c r="N390" i="9"/>
  <c r="M390" i="9"/>
  <c r="K390" i="9"/>
  <c r="K390" i="9" a="1"/>
  <c r="E390" i="9"/>
  <c r="C390" i="9"/>
  <c r="M389" i="9"/>
  <c r="N389" i="9" s="1"/>
  <c r="K389" i="9" a="1"/>
  <c r="K389" i="9" s="1"/>
  <c r="E389" i="9"/>
  <c r="C389" i="9"/>
  <c r="S388" i="9"/>
  <c r="M388" i="9"/>
  <c r="N388" i="9" s="1"/>
  <c r="K388" i="9" a="1"/>
  <c r="K388" i="9" s="1"/>
  <c r="E388" i="9"/>
  <c r="C388" i="9"/>
  <c r="S387" i="9"/>
  <c r="M387" i="9"/>
  <c r="N387" i="9" s="1"/>
  <c r="K387" i="9" a="1"/>
  <c r="K387" i="9" s="1"/>
  <c r="E387" i="9"/>
  <c r="C387" i="9"/>
  <c r="S386" i="9"/>
  <c r="M386" i="9"/>
  <c r="N386" i="9" s="1"/>
  <c r="K386" i="9"/>
  <c r="K386" i="9" a="1"/>
  <c r="E386" i="9"/>
  <c r="C386" i="9"/>
  <c r="S385" i="9"/>
  <c r="M385" i="9"/>
  <c r="N385" i="9" s="1"/>
  <c r="K385" i="9"/>
  <c r="K385" i="9" a="1"/>
  <c r="E385" i="9"/>
  <c r="C385" i="9"/>
  <c r="S384" i="9"/>
  <c r="N384" i="9"/>
  <c r="M384" i="9"/>
  <c r="K384" i="9" a="1"/>
  <c r="K384" i="9" s="1"/>
  <c r="E384" i="9"/>
  <c r="C384" i="9"/>
  <c r="S383" i="9"/>
  <c r="N383" i="9"/>
  <c r="M383" i="9"/>
  <c r="K383" i="9"/>
  <c r="K383" i="9" a="1"/>
  <c r="E383" i="9"/>
  <c r="C383" i="9"/>
  <c r="S382" i="9"/>
  <c r="N382" i="9"/>
  <c r="K382" i="9" a="1"/>
  <c r="K382" i="9" s="1"/>
  <c r="E382" i="9"/>
  <c r="C382" i="9"/>
  <c r="S381" i="9"/>
  <c r="M381" i="9"/>
  <c r="N381" i="9" s="1"/>
  <c r="K381" i="9" a="1"/>
  <c r="K381" i="9" s="1"/>
  <c r="E381" i="9"/>
  <c r="C381" i="9"/>
  <c r="S380" i="9"/>
  <c r="M380" i="9"/>
  <c r="N380" i="9" s="1"/>
  <c r="K380" i="9" a="1"/>
  <c r="K380" i="9" s="1"/>
  <c r="E380" i="9"/>
  <c r="C380" i="9"/>
  <c r="S379" i="9"/>
  <c r="M379" i="9"/>
  <c r="N379" i="9" s="1"/>
  <c r="K379" i="9"/>
  <c r="K379" i="9" a="1"/>
  <c r="E379" i="9"/>
  <c r="C379" i="9"/>
  <c r="S378" i="9"/>
  <c r="N378" i="9"/>
  <c r="K378" i="9" a="1"/>
  <c r="K378" i="9" s="1"/>
  <c r="E378" i="9"/>
  <c r="C378" i="9"/>
  <c r="S377" i="9"/>
  <c r="M377" i="9"/>
  <c r="N377" i="9" s="1"/>
  <c r="K377" i="9" a="1"/>
  <c r="K377" i="9" s="1"/>
  <c r="E377" i="9"/>
  <c r="C377" i="9"/>
  <c r="S376" i="9"/>
  <c r="M376" i="9"/>
  <c r="N376" i="9" s="1"/>
  <c r="K376" i="9" a="1"/>
  <c r="K376" i="9" s="1"/>
  <c r="E376" i="9"/>
  <c r="C376" i="9"/>
  <c r="N375" i="9"/>
  <c r="M375" i="9"/>
  <c r="K375" i="9" a="1"/>
  <c r="K375" i="9" s="1"/>
  <c r="E375" i="9"/>
  <c r="C375" i="9"/>
  <c r="S374" i="9"/>
  <c r="N374" i="9"/>
  <c r="M374" i="9"/>
  <c r="K374" i="9"/>
  <c r="K374" i="9" a="1"/>
  <c r="E374" i="9"/>
  <c r="C374" i="9"/>
  <c r="S373" i="9"/>
  <c r="M373" i="9"/>
  <c r="N373" i="9" s="1"/>
  <c r="K373" i="9" a="1"/>
  <c r="K373" i="9" s="1"/>
  <c r="E373" i="9"/>
  <c r="C373" i="9"/>
  <c r="S372" i="9"/>
  <c r="N372" i="9"/>
  <c r="M372" i="9"/>
  <c r="K372" i="9" a="1"/>
  <c r="K372" i="9" s="1"/>
  <c r="E372" i="9"/>
  <c r="C372" i="9"/>
  <c r="M371" i="9"/>
  <c r="N371" i="9" s="1"/>
  <c r="K371" i="9" a="1"/>
  <c r="K371" i="9" s="1"/>
  <c r="E371" i="9"/>
  <c r="C371" i="9"/>
  <c r="S370" i="9"/>
  <c r="M370" i="9"/>
  <c r="N370" i="9" s="1"/>
  <c r="K370" i="9"/>
  <c r="K370" i="9" a="1"/>
  <c r="E370" i="9"/>
  <c r="C370" i="9"/>
  <c r="N369" i="9"/>
  <c r="K369" i="9" a="1"/>
  <c r="K369" i="9" s="1"/>
  <c r="E369" i="9"/>
  <c r="C369" i="9"/>
  <c r="S368" i="9"/>
  <c r="M368" i="9"/>
  <c r="N368" i="9" s="1"/>
  <c r="K368" i="9"/>
  <c r="K368" i="9" a="1"/>
  <c r="E368" i="9"/>
  <c r="C368" i="9"/>
  <c r="S367" i="9"/>
  <c r="M367" i="9"/>
  <c r="N367" i="9" s="1"/>
  <c r="K367" i="9"/>
  <c r="K367" i="9" a="1"/>
  <c r="E367" i="9"/>
  <c r="C367" i="9"/>
  <c r="M366" i="9"/>
  <c r="N366" i="9" s="1"/>
  <c r="K366" i="9" a="1"/>
  <c r="K366" i="9" s="1"/>
  <c r="E366" i="9"/>
  <c r="C366" i="9"/>
  <c r="S365" i="9"/>
  <c r="M365" i="9"/>
  <c r="N365" i="9" s="1"/>
  <c r="K365" i="9" a="1"/>
  <c r="K365" i="9" s="1"/>
  <c r="E365" i="9"/>
  <c r="C365" i="9"/>
  <c r="S364" i="9"/>
  <c r="M364" i="9"/>
  <c r="N364" i="9" s="1"/>
  <c r="K364" i="9" a="1"/>
  <c r="K364" i="9" s="1"/>
  <c r="E364" i="9"/>
  <c r="C364" i="9"/>
  <c r="S363" i="9"/>
  <c r="M363" i="9"/>
  <c r="N363" i="9" s="1"/>
  <c r="K363" i="9" a="1"/>
  <c r="K363" i="9" s="1"/>
  <c r="E363" i="9"/>
  <c r="C363" i="9"/>
  <c r="S362" i="9"/>
  <c r="M362" i="9"/>
  <c r="N362" i="9" s="1"/>
  <c r="K362" i="9" a="1"/>
  <c r="K362" i="9" s="1"/>
  <c r="E362" i="9"/>
  <c r="C362" i="9"/>
  <c r="S361" i="9"/>
  <c r="M361" i="9"/>
  <c r="N361" i="9" s="1"/>
  <c r="K361" i="9"/>
  <c r="K361" i="9" a="1"/>
  <c r="E361" i="9"/>
  <c r="C361" i="9"/>
  <c r="S360" i="9"/>
  <c r="M360" i="9"/>
  <c r="N360" i="9" s="1"/>
  <c r="K360" i="9"/>
  <c r="K360" i="9" a="1"/>
  <c r="E360" i="9"/>
  <c r="C360" i="9"/>
  <c r="S359" i="9"/>
  <c r="N359" i="9"/>
  <c r="K359" i="9" a="1"/>
  <c r="K359" i="9" s="1"/>
  <c r="E359" i="9"/>
  <c r="C359" i="9"/>
  <c r="S358" i="9"/>
  <c r="M358" i="9"/>
  <c r="N358" i="9" s="1"/>
  <c r="K358" i="9" a="1"/>
  <c r="K358" i="9" s="1"/>
  <c r="E358" i="9"/>
  <c r="C358" i="9"/>
  <c r="S357" i="9"/>
  <c r="M357" i="9"/>
  <c r="N357" i="9" s="1"/>
  <c r="K357" i="9" a="1"/>
  <c r="K357" i="9" s="1"/>
  <c r="E357" i="9"/>
  <c r="C357" i="9"/>
  <c r="S356" i="9"/>
  <c r="M356" i="9"/>
  <c r="N356" i="9" s="1"/>
  <c r="K356" i="9" a="1"/>
  <c r="K356" i="9" s="1"/>
  <c r="E356" i="9"/>
  <c r="C356" i="9"/>
  <c r="S355" i="9"/>
  <c r="M355" i="9"/>
  <c r="N355" i="9" s="1"/>
  <c r="K355" i="9" a="1"/>
  <c r="K355" i="9" s="1"/>
  <c r="E355" i="9"/>
  <c r="C355" i="9"/>
  <c r="S354" i="9"/>
  <c r="M354" i="9"/>
  <c r="N354" i="9" s="1"/>
  <c r="K354" i="9"/>
  <c r="K354" i="9" a="1"/>
  <c r="E354" i="9"/>
  <c r="C354" i="9"/>
  <c r="S353" i="9"/>
  <c r="M353" i="9"/>
  <c r="N353" i="9" s="1"/>
  <c r="K353" i="9"/>
  <c r="K353" i="9" a="1"/>
  <c r="E353" i="9"/>
  <c r="C353" i="9"/>
  <c r="S352" i="9"/>
  <c r="N352" i="9"/>
  <c r="M352" i="9"/>
  <c r="K352" i="9" a="1"/>
  <c r="K352" i="9" s="1"/>
  <c r="E352" i="9"/>
  <c r="C352" i="9"/>
  <c r="S351" i="9"/>
  <c r="N351" i="9"/>
  <c r="M351" i="9"/>
  <c r="K351" i="9"/>
  <c r="K351" i="9" a="1"/>
  <c r="E351" i="9"/>
  <c r="C351" i="9"/>
  <c r="M350" i="9"/>
  <c r="N350" i="9" s="1"/>
  <c r="K350" i="9" a="1"/>
  <c r="K350" i="9" s="1"/>
  <c r="E350" i="9"/>
  <c r="C350" i="9"/>
  <c r="S349" i="9"/>
  <c r="M349" i="9"/>
  <c r="N349" i="9" s="1"/>
  <c r="K349" i="9" a="1"/>
  <c r="K349" i="9" s="1"/>
  <c r="E349" i="9"/>
  <c r="C349" i="9"/>
  <c r="S348" i="9"/>
  <c r="M348" i="9"/>
  <c r="N348" i="9" s="1"/>
  <c r="K348" i="9" a="1"/>
  <c r="K348" i="9" s="1"/>
  <c r="E348" i="9"/>
  <c r="C348" i="9"/>
  <c r="S347" i="9"/>
  <c r="M347" i="9"/>
  <c r="N347" i="9" s="1"/>
  <c r="K347" i="9"/>
  <c r="K347" i="9" a="1"/>
  <c r="E347" i="9"/>
  <c r="C347" i="9"/>
  <c r="S346" i="9"/>
  <c r="N346" i="9"/>
  <c r="K346" i="9" a="1"/>
  <c r="K346" i="9" s="1"/>
  <c r="E346" i="9"/>
  <c r="C346" i="9"/>
  <c r="S345" i="9"/>
  <c r="M345" i="9"/>
  <c r="N345" i="9" s="1"/>
  <c r="K345" i="9" a="1"/>
  <c r="K345" i="9" s="1"/>
  <c r="E345" i="9"/>
  <c r="C345" i="9"/>
  <c r="M344" i="9"/>
  <c r="N344" i="9" s="1"/>
  <c r="K344" i="9"/>
  <c r="K344" i="9" a="1"/>
  <c r="E344" i="9"/>
  <c r="C344" i="9"/>
  <c r="S343" i="9"/>
  <c r="N343" i="9"/>
  <c r="M343" i="9"/>
  <c r="K343" i="9" a="1"/>
  <c r="K343" i="9" s="1"/>
  <c r="E343" i="9"/>
  <c r="C343" i="9"/>
  <c r="M342" i="9"/>
  <c r="N342" i="9" s="1"/>
  <c r="K342" i="9" a="1"/>
  <c r="K342" i="9" s="1"/>
  <c r="E342" i="9"/>
  <c r="C342" i="9"/>
  <c r="N341" i="9"/>
  <c r="M341" i="9"/>
  <c r="K341" i="9" a="1"/>
  <c r="K341" i="9" s="1"/>
  <c r="E341" i="9"/>
  <c r="C341" i="9"/>
  <c r="S340" i="9"/>
  <c r="N340" i="9"/>
  <c r="M340" i="9"/>
  <c r="K340" i="9"/>
  <c r="K340" i="9" a="1"/>
  <c r="E340" i="9"/>
  <c r="C340" i="9"/>
  <c r="S339" i="9"/>
  <c r="M339" i="9"/>
  <c r="N339" i="9" s="1"/>
  <c r="K339" i="9"/>
  <c r="K339" i="9" a="1"/>
  <c r="E339" i="9"/>
  <c r="C339" i="9"/>
  <c r="S338" i="9"/>
  <c r="M338" i="9"/>
  <c r="N338" i="9" s="1"/>
  <c r="K338" i="9" a="1"/>
  <c r="K338" i="9" s="1"/>
  <c r="E338" i="9"/>
  <c r="C338" i="9"/>
  <c r="S337" i="9"/>
  <c r="N337" i="9"/>
  <c r="M337" i="9"/>
  <c r="K337" i="9" a="1"/>
  <c r="K337" i="9" s="1"/>
  <c r="E337" i="9"/>
  <c r="C337" i="9"/>
  <c r="S336" i="9"/>
  <c r="M336" i="9"/>
  <c r="N336" i="9" s="1"/>
  <c r="K336" i="9" a="1"/>
  <c r="K336" i="9" s="1"/>
  <c r="E336" i="9"/>
  <c r="C336" i="9"/>
  <c r="M335" i="9"/>
  <c r="N335" i="9" s="1"/>
  <c r="K335" i="9"/>
  <c r="K335" i="9" a="1"/>
  <c r="E335" i="9"/>
  <c r="C335" i="9"/>
  <c r="S334" i="9"/>
  <c r="N334" i="9"/>
  <c r="K334" i="9" a="1"/>
  <c r="K334" i="9" s="1"/>
  <c r="E334" i="9"/>
  <c r="C334" i="9"/>
  <c r="S333" i="9"/>
  <c r="M333" i="9"/>
  <c r="N333" i="9" s="1"/>
  <c r="K333" i="9" a="1"/>
  <c r="K333" i="9" s="1"/>
  <c r="E333" i="9"/>
  <c r="C333" i="9"/>
  <c r="S332" i="9"/>
  <c r="M332" i="9"/>
  <c r="N332" i="9" s="1"/>
  <c r="K332" i="9" a="1"/>
  <c r="K332" i="9" s="1"/>
  <c r="E332" i="9"/>
  <c r="C332" i="9"/>
  <c r="S331" i="9"/>
  <c r="M331" i="9"/>
  <c r="N331" i="9" s="1"/>
  <c r="K331" i="9"/>
  <c r="K331" i="9" a="1"/>
  <c r="E331" i="9"/>
  <c r="C331" i="9"/>
  <c r="S330" i="9"/>
  <c r="M330" i="9"/>
  <c r="N330" i="9" s="1"/>
  <c r="K330" i="9" a="1"/>
  <c r="K330" i="9" s="1"/>
  <c r="E330" i="9"/>
  <c r="C330" i="9"/>
  <c r="N329" i="9"/>
  <c r="M329" i="9"/>
  <c r="K329" i="9" a="1"/>
  <c r="K329" i="9" s="1"/>
  <c r="E329" i="9"/>
  <c r="C329" i="9"/>
  <c r="S328" i="9"/>
  <c r="N328" i="9"/>
  <c r="M328" i="9"/>
  <c r="K328" i="9" a="1"/>
  <c r="K328" i="9" s="1"/>
  <c r="E328" i="9"/>
  <c r="C328" i="9"/>
  <c r="S327" i="9"/>
  <c r="M327" i="9"/>
  <c r="N327" i="9" s="1"/>
  <c r="K327" i="9" a="1"/>
  <c r="K327" i="9" s="1"/>
  <c r="E327" i="9"/>
  <c r="C327" i="9"/>
  <c r="S326" i="9"/>
  <c r="M326" i="9"/>
  <c r="N326" i="9" s="1"/>
  <c r="K326" i="9" a="1"/>
  <c r="K326" i="9" s="1"/>
  <c r="E326" i="9"/>
  <c r="C326" i="9"/>
  <c r="S325" i="9"/>
  <c r="M325" i="9"/>
  <c r="N325" i="9" s="1"/>
  <c r="K325" i="9" a="1"/>
  <c r="K325" i="9" s="1"/>
  <c r="E325" i="9"/>
  <c r="C325" i="9"/>
  <c r="S324" i="9"/>
  <c r="N324" i="9"/>
  <c r="K324" i="9" a="1"/>
  <c r="K324" i="9" s="1"/>
  <c r="E324" i="9"/>
  <c r="C324" i="9"/>
  <c r="M323" i="9"/>
  <c r="N323" i="9" s="1"/>
  <c r="K323" i="9" a="1"/>
  <c r="K323" i="9" s="1"/>
  <c r="E323" i="9"/>
  <c r="C323" i="9"/>
  <c r="N322" i="9"/>
  <c r="M322" i="9"/>
  <c r="K322" i="9"/>
  <c r="K322" i="9" a="1"/>
  <c r="E322" i="9"/>
  <c r="C322" i="9"/>
  <c r="S321" i="9"/>
  <c r="N321" i="9"/>
  <c r="M321" i="9"/>
  <c r="K321" i="9"/>
  <c r="K321" i="9" a="1"/>
  <c r="E321" i="9"/>
  <c r="C321" i="9"/>
  <c r="M320" i="9"/>
  <c r="N320" i="9" s="1"/>
  <c r="K320" i="9"/>
  <c r="K320" i="9" a="1"/>
  <c r="E320" i="9"/>
  <c r="C320" i="9"/>
  <c r="S319" i="9"/>
  <c r="M319" i="9"/>
  <c r="N319" i="9" s="1"/>
  <c r="K319" i="9" a="1"/>
  <c r="K319" i="9" s="1"/>
  <c r="E319" i="9"/>
  <c r="C319" i="9"/>
  <c r="M318" i="9"/>
  <c r="N318" i="9" s="1"/>
  <c r="K318" i="9" a="1"/>
  <c r="K318" i="9" s="1"/>
  <c r="E318" i="9"/>
  <c r="C318" i="9"/>
  <c r="S317" i="9"/>
  <c r="M317" i="9"/>
  <c r="N317" i="9" s="1"/>
  <c r="K317" i="9" a="1"/>
  <c r="K317" i="9" s="1"/>
  <c r="E317" i="9"/>
  <c r="C317" i="9"/>
  <c r="S316" i="9"/>
  <c r="M316" i="9"/>
  <c r="N316" i="9" s="1"/>
  <c r="K316" i="9" a="1"/>
  <c r="K316" i="9" s="1"/>
  <c r="E316" i="9"/>
  <c r="C316" i="9"/>
  <c r="S315" i="9"/>
  <c r="M315" i="9"/>
  <c r="N315" i="9" s="1"/>
  <c r="K315" i="9" a="1"/>
  <c r="K315" i="9" s="1"/>
  <c r="E315" i="9"/>
  <c r="C315" i="9"/>
  <c r="S314" i="9"/>
  <c r="M314" i="9"/>
  <c r="N314" i="9" s="1"/>
  <c r="K314" i="9" a="1"/>
  <c r="K314" i="9" s="1"/>
  <c r="E314" i="9"/>
  <c r="C314" i="9"/>
  <c r="S313" i="9"/>
  <c r="M313" i="9"/>
  <c r="N313" i="9" s="1"/>
  <c r="K313" i="9"/>
  <c r="K313" i="9" a="1"/>
  <c r="E313" i="9"/>
  <c r="C313" i="9"/>
  <c r="N312" i="9"/>
  <c r="M312" i="9"/>
  <c r="K312" i="9" a="1"/>
  <c r="K312" i="9" s="1"/>
  <c r="E312" i="9"/>
  <c r="C312" i="9"/>
  <c r="S311" i="9"/>
  <c r="N311" i="9"/>
  <c r="M311" i="9"/>
  <c r="K311" i="9" a="1"/>
  <c r="K311" i="9" s="1"/>
  <c r="E311" i="9"/>
  <c r="C311" i="9"/>
  <c r="S310" i="9"/>
  <c r="M310" i="9"/>
  <c r="N310" i="9" s="1"/>
  <c r="K310" i="9" a="1"/>
  <c r="K310" i="9" s="1"/>
  <c r="E310" i="9"/>
  <c r="C310" i="9"/>
  <c r="S309" i="9"/>
  <c r="M309" i="9"/>
  <c r="N309" i="9" s="1"/>
  <c r="K309" i="9" a="1"/>
  <c r="K309" i="9" s="1"/>
  <c r="E309" i="9"/>
  <c r="C309" i="9"/>
  <c r="S308" i="9"/>
  <c r="M308" i="9"/>
  <c r="N308" i="9" s="1"/>
  <c r="K308" i="9" a="1"/>
  <c r="K308" i="9" s="1"/>
  <c r="E308" i="9"/>
  <c r="C308" i="9"/>
  <c r="S307" i="9"/>
  <c r="M307" i="9"/>
  <c r="N307" i="9" s="1"/>
  <c r="K307" i="9" a="1"/>
  <c r="K307" i="9" s="1"/>
  <c r="E307" i="9"/>
  <c r="C307" i="9"/>
  <c r="N306" i="9"/>
  <c r="M306" i="9"/>
  <c r="K306" i="9" a="1"/>
  <c r="K306" i="9" s="1"/>
  <c r="E306" i="9"/>
  <c r="C306" i="9"/>
  <c r="S305" i="9"/>
  <c r="N305" i="9"/>
  <c r="M305" i="9"/>
  <c r="K305" i="9" a="1"/>
  <c r="K305" i="9" s="1"/>
  <c r="E305" i="9"/>
  <c r="C305" i="9"/>
  <c r="S304" i="9"/>
  <c r="N304" i="9"/>
  <c r="M304" i="9"/>
  <c r="K304" i="9" a="1"/>
  <c r="K304" i="9" s="1"/>
  <c r="E304" i="9"/>
  <c r="C304" i="9"/>
  <c r="S303" i="9"/>
  <c r="M303" i="9"/>
  <c r="N303" i="9" s="1"/>
  <c r="K303" i="9" a="1"/>
  <c r="K303" i="9" s="1"/>
  <c r="E303" i="9"/>
  <c r="C303" i="9"/>
  <c r="S302" i="9"/>
  <c r="M302" i="9"/>
  <c r="N302" i="9" s="1"/>
  <c r="K302" i="9" a="1"/>
  <c r="K302" i="9" s="1"/>
  <c r="E302" i="9"/>
  <c r="C302" i="9"/>
  <c r="S301" i="9"/>
  <c r="M301" i="9"/>
  <c r="N301" i="9" s="1"/>
  <c r="K301" i="9" a="1"/>
  <c r="K301" i="9" s="1"/>
  <c r="E301" i="9"/>
  <c r="C301" i="9"/>
  <c r="S300" i="9"/>
  <c r="M300" i="9"/>
  <c r="N300" i="9" s="1"/>
  <c r="K300" i="9" a="1"/>
  <c r="K300" i="9" s="1"/>
  <c r="E300" i="9"/>
  <c r="C300" i="9"/>
  <c r="S299" i="9"/>
  <c r="M299" i="9"/>
  <c r="N299" i="9" s="1"/>
  <c r="K299" i="9"/>
  <c r="K299" i="9" a="1"/>
  <c r="E299" i="9"/>
  <c r="C299" i="9"/>
  <c r="S298" i="9"/>
  <c r="M298" i="9"/>
  <c r="N298" i="9" s="1"/>
  <c r="K298" i="9"/>
  <c r="K298" i="9" a="1"/>
  <c r="E298" i="9"/>
  <c r="C298" i="9"/>
  <c r="S297" i="9"/>
  <c r="N297" i="9"/>
  <c r="K297" i="9" a="1"/>
  <c r="K297" i="9" s="1"/>
  <c r="E297" i="9"/>
  <c r="C297" i="9"/>
  <c r="S296" i="9"/>
  <c r="M296" i="9"/>
  <c r="N296" i="9" s="1"/>
  <c r="K296" i="9" a="1"/>
  <c r="K296" i="9" s="1"/>
  <c r="E296" i="9"/>
  <c r="C296" i="9"/>
  <c r="N295" i="9"/>
  <c r="M295" i="9"/>
  <c r="K295" i="9"/>
  <c r="K295" i="9" a="1"/>
  <c r="E295" i="9"/>
  <c r="C295" i="9"/>
  <c r="S294" i="9"/>
  <c r="N294" i="9"/>
  <c r="M294" i="9"/>
  <c r="K294" i="9"/>
  <c r="K294" i="9" a="1"/>
  <c r="E294" i="9"/>
  <c r="C294" i="9"/>
  <c r="S293" i="9"/>
  <c r="N293" i="9"/>
  <c r="M293" i="9"/>
  <c r="K293" i="9"/>
  <c r="K293" i="9" a="1"/>
  <c r="E293" i="9"/>
  <c r="C293" i="9"/>
  <c r="S292" i="9"/>
  <c r="N292" i="9"/>
  <c r="K292" i="9" a="1"/>
  <c r="K292" i="9" s="1"/>
  <c r="E292" i="9"/>
  <c r="C292" i="9"/>
  <c r="S291" i="9"/>
  <c r="M291" i="9"/>
  <c r="N291" i="9" s="1"/>
  <c r="K291" i="9" a="1"/>
  <c r="K291" i="9" s="1"/>
  <c r="E291" i="9"/>
  <c r="C291" i="9"/>
  <c r="S290" i="9"/>
  <c r="M290" i="9"/>
  <c r="N290" i="9" s="1"/>
  <c r="K290" i="9"/>
  <c r="K290" i="9" a="1"/>
  <c r="E290" i="9"/>
  <c r="C290" i="9"/>
  <c r="S289" i="9"/>
  <c r="M289" i="9"/>
  <c r="N289" i="9" s="1"/>
  <c r="K289" i="9"/>
  <c r="K289" i="9" a="1"/>
  <c r="E289" i="9"/>
  <c r="C289" i="9"/>
  <c r="S288" i="9"/>
  <c r="M288" i="9"/>
  <c r="N288" i="9" s="1"/>
  <c r="K288" i="9"/>
  <c r="K288" i="9" a="1"/>
  <c r="E288" i="9"/>
  <c r="C288" i="9"/>
  <c r="M287" i="9"/>
  <c r="N287" i="9" s="1"/>
  <c r="K287" i="9" a="1"/>
  <c r="K287" i="9" s="1"/>
  <c r="E287" i="9"/>
  <c r="C287" i="9"/>
  <c r="N286" i="9"/>
  <c r="M286" i="9"/>
  <c r="K286" i="9"/>
  <c r="K286" i="9" a="1"/>
  <c r="E286" i="9"/>
  <c r="C286" i="9"/>
  <c r="S285" i="9"/>
  <c r="N285" i="9"/>
  <c r="M285" i="9"/>
  <c r="K285" i="9"/>
  <c r="K285" i="9" a="1"/>
  <c r="E285" i="9"/>
  <c r="C285" i="9"/>
  <c r="S284" i="9"/>
  <c r="N284" i="9"/>
  <c r="M284" i="9"/>
  <c r="K284" i="9" a="1"/>
  <c r="K284" i="9" s="1"/>
  <c r="E284" i="9"/>
  <c r="C284" i="9"/>
  <c r="S283" i="9"/>
  <c r="N283" i="9"/>
  <c r="M283" i="9"/>
  <c r="K283" i="9" a="1"/>
  <c r="K283" i="9" s="1"/>
  <c r="E283" i="9"/>
  <c r="C283" i="9"/>
  <c r="S282" i="9"/>
  <c r="M282" i="9"/>
  <c r="N282" i="9" s="1"/>
  <c r="K282" i="9" a="1"/>
  <c r="K282" i="9" s="1"/>
  <c r="E282" i="9"/>
  <c r="C282" i="9"/>
  <c r="S281" i="9"/>
  <c r="N281" i="9"/>
  <c r="M281" i="9"/>
  <c r="K281" i="9" a="1"/>
  <c r="K281" i="9" s="1"/>
  <c r="E281" i="9"/>
  <c r="C281" i="9"/>
  <c r="S280" i="9"/>
  <c r="N280" i="9"/>
  <c r="K280" i="9"/>
  <c r="K280" i="9" a="1"/>
  <c r="E280" i="9"/>
  <c r="C280" i="9"/>
  <c r="S279" i="9"/>
  <c r="M279" i="9"/>
  <c r="N279" i="9" s="1"/>
  <c r="K279" i="9"/>
  <c r="K279" i="9" a="1"/>
  <c r="E279" i="9"/>
  <c r="C279" i="9"/>
  <c r="S278" i="9"/>
  <c r="M278" i="9"/>
  <c r="N278" i="9" s="1"/>
  <c r="K278" i="9"/>
  <c r="K278" i="9" a="1"/>
  <c r="E278" i="9"/>
  <c r="C278" i="9"/>
  <c r="S277" i="9"/>
  <c r="N277" i="9"/>
  <c r="M277" i="9"/>
  <c r="K277" i="9" a="1"/>
  <c r="K277" i="9" s="1"/>
  <c r="E277" i="9"/>
  <c r="C277" i="9"/>
  <c r="S276" i="9"/>
  <c r="N276" i="9"/>
  <c r="M276" i="9"/>
  <c r="K276" i="9"/>
  <c r="K276" i="9" a="1"/>
  <c r="E276" i="9"/>
  <c r="C276" i="9"/>
  <c r="S275" i="9"/>
  <c r="M275" i="9"/>
  <c r="N275" i="9" s="1"/>
  <c r="K275" i="9" a="1"/>
  <c r="K275" i="9" s="1"/>
  <c r="E275" i="9"/>
  <c r="C275" i="9"/>
  <c r="S274" i="9"/>
  <c r="M274" i="9"/>
  <c r="N274" i="9" s="1"/>
  <c r="K274" i="9"/>
  <c r="K274" i="9" a="1"/>
  <c r="E274" i="9"/>
  <c r="C274" i="9"/>
  <c r="S273" i="9"/>
  <c r="M273" i="9"/>
  <c r="N273" i="9" s="1"/>
  <c r="K273" i="9" a="1"/>
  <c r="K273" i="9" s="1"/>
  <c r="E273" i="9"/>
  <c r="C273" i="9"/>
  <c r="S272" i="9"/>
  <c r="N272" i="9"/>
  <c r="K272" i="9"/>
  <c r="K272" i="9" a="1"/>
  <c r="E272" i="9"/>
  <c r="C272" i="9"/>
  <c r="S271" i="9"/>
  <c r="N271" i="9"/>
  <c r="M271" i="9"/>
  <c r="K271" i="9"/>
  <c r="K271" i="9" a="1"/>
  <c r="E271" i="9"/>
  <c r="C271" i="9"/>
  <c r="S270" i="9"/>
  <c r="N270" i="9"/>
  <c r="M270" i="9"/>
  <c r="K270" i="9" a="1"/>
  <c r="K270" i="9" s="1"/>
  <c r="E270" i="9"/>
  <c r="C270" i="9"/>
  <c r="M269" i="9"/>
  <c r="N269" i="9" s="1"/>
  <c r="K269" i="9" a="1"/>
  <c r="K269" i="9" s="1"/>
  <c r="E269" i="9"/>
  <c r="C269" i="9"/>
  <c r="S268" i="9"/>
  <c r="N268" i="9"/>
  <c r="M268" i="9"/>
  <c r="K268" i="9" a="1"/>
  <c r="K268" i="9" s="1"/>
  <c r="E268" i="9"/>
  <c r="C268" i="9"/>
  <c r="S267" i="9"/>
  <c r="M267" i="9"/>
  <c r="N267" i="9" s="1"/>
  <c r="K267" i="9" a="1"/>
  <c r="K267" i="9" s="1"/>
  <c r="E267" i="9"/>
  <c r="C267" i="9"/>
  <c r="S266" i="9"/>
  <c r="M266" i="9"/>
  <c r="N266" i="9" s="1"/>
  <c r="K266" i="9" a="1"/>
  <c r="K266" i="9" s="1"/>
  <c r="E266" i="9"/>
  <c r="C266" i="9"/>
  <c r="S265" i="9"/>
  <c r="N265" i="9"/>
  <c r="M265" i="9"/>
  <c r="K265" i="9"/>
  <c r="K265" i="9" a="1"/>
  <c r="E265" i="9"/>
  <c r="C265" i="9"/>
  <c r="S264" i="9"/>
  <c r="N264" i="9"/>
  <c r="K264" i="9" a="1"/>
  <c r="K264" i="9" s="1"/>
  <c r="E264" i="9"/>
  <c r="C264" i="9"/>
  <c r="S263" i="9"/>
  <c r="N263" i="9"/>
  <c r="M263" i="9"/>
  <c r="K263" i="9"/>
  <c r="K263" i="9" a="1"/>
  <c r="E263" i="9"/>
  <c r="C263" i="9"/>
  <c r="S262" i="9"/>
  <c r="M262" i="9"/>
  <c r="N262" i="9" s="1"/>
  <c r="K262" i="9" a="1"/>
  <c r="K262" i="9" s="1"/>
  <c r="E262" i="9"/>
  <c r="C262" i="9"/>
  <c r="S261" i="9"/>
  <c r="N261" i="9"/>
  <c r="M261" i="9"/>
  <c r="K261" i="9" a="1"/>
  <c r="K261" i="9" s="1"/>
  <c r="E261" i="9"/>
  <c r="C261" i="9"/>
  <c r="S260" i="9"/>
  <c r="M260" i="9"/>
  <c r="N260" i="9" s="1"/>
  <c r="K260" i="9" a="1"/>
  <c r="K260" i="9" s="1"/>
  <c r="E260" i="9"/>
  <c r="C260" i="9"/>
  <c r="S259" i="9"/>
  <c r="M259" i="9"/>
  <c r="N259" i="9" s="1"/>
  <c r="K259" i="9" a="1"/>
  <c r="K259" i="9" s="1"/>
  <c r="E259" i="9"/>
  <c r="C259" i="9"/>
  <c r="S258" i="9"/>
  <c r="M258" i="9"/>
  <c r="N258" i="9" s="1"/>
  <c r="K258" i="9"/>
  <c r="K258" i="9" a="1"/>
  <c r="E258" i="9"/>
  <c r="C258" i="9"/>
  <c r="S257" i="9"/>
  <c r="M257" i="9"/>
  <c r="N257" i="9" s="1"/>
  <c r="K257" i="9"/>
  <c r="K257" i="9" a="1"/>
  <c r="E257" i="9"/>
  <c r="C257" i="9"/>
  <c r="S256" i="9"/>
  <c r="N256" i="9"/>
  <c r="M256" i="9"/>
  <c r="K256" i="9" a="1"/>
  <c r="K256" i="9" s="1"/>
  <c r="E256" i="9"/>
  <c r="C256" i="9"/>
  <c r="M255" i="9"/>
  <c r="N255" i="9" s="1"/>
  <c r="K255" i="9" a="1"/>
  <c r="K255" i="9" s="1"/>
  <c r="E255" i="9"/>
  <c r="C255" i="9"/>
  <c r="S254" i="9"/>
  <c r="N254" i="9"/>
  <c r="M254" i="9"/>
  <c r="K254" i="9" a="1"/>
  <c r="K254" i="9" s="1"/>
  <c r="E254" i="9"/>
  <c r="C254" i="9"/>
  <c r="S253" i="9"/>
  <c r="M253" i="9"/>
  <c r="N253" i="9" s="1"/>
  <c r="K253" i="9" a="1"/>
  <c r="K253" i="9" s="1"/>
  <c r="E253" i="9"/>
  <c r="C253" i="9"/>
  <c r="S252" i="9"/>
  <c r="M252" i="9"/>
  <c r="N252" i="9" s="1"/>
  <c r="K252" i="9" a="1"/>
  <c r="K252" i="9" s="1"/>
  <c r="E252" i="9"/>
  <c r="C252" i="9"/>
  <c r="M251" i="9"/>
  <c r="N251" i="9" s="1"/>
  <c r="K251" i="9"/>
  <c r="K251" i="9" a="1"/>
  <c r="E251" i="9"/>
  <c r="C251" i="9"/>
  <c r="S250" i="9"/>
  <c r="N250" i="9"/>
  <c r="M250" i="9"/>
  <c r="K250" i="9" a="1"/>
  <c r="K250" i="9" s="1"/>
  <c r="E250" i="9"/>
  <c r="C250" i="9"/>
  <c r="N249" i="9"/>
  <c r="K249" i="9" a="1"/>
  <c r="K249" i="9" s="1"/>
  <c r="E249" i="9"/>
  <c r="C249" i="9"/>
  <c r="S248" i="9"/>
  <c r="N248" i="9"/>
  <c r="M248" i="9"/>
  <c r="K248" i="9" a="1"/>
  <c r="K248" i="9" s="1"/>
  <c r="E248" i="9"/>
  <c r="C248" i="9"/>
  <c r="S247" i="9"/>
  <c r="M247" i="9"/>
  <c r="N247" i="9" s="1"/>
  <c r="K247" i="9"/>
  <c r="K247" i="9" a="1"/>
  <c r="E247" i="9"/>
  <c r="C247" i="9"/>
  <c r="S246" i="9"/>
  <c r="M246" i="9"/>
  <c r="N246" i="9" s="1"/>
  <c r="K246" i="9" a="1"/>
  <c r="K246" i="9" s="1"/>
  <c r="E246" i="9"/>
  <c r="C246" i="9"/>
  <c r="S245" i="9"/>
  <c r="N245" i="9"/>
  <c r="K245" i="9" a="1"/>
  <c r="K245" i="9" s="1"/>
  <c r="E245" i="9"/>
  <c r="C245" i="9"/>
  <c r="S244" i="9"/>
  <c r="N244" i="9"/>
  <c r="M244" i="9"/>
  <c r="K244" i="9"/>
  <c r="K244" i="9" a="1"/>
  <c r="E244" i="9"/>
  <c r="C244" i="9"/>
  <c r="S243" i="9"/>
  <c r="M243" i="9"/>
  <c r="N243" i="9" s="1"/>
  <c r="K243" i="9"/>
  <c r="K243" i="9" a="1"/>
  <c r="E243" i="9"/>
  <c r="C243" i="9"/>
  <c r="N242" i="9"/>
  <c r="K242" i="9" a="1"/>
  <c r="K242" i="9" s="1"/>
  <c r="E242" i="9"/>
  <c r="C242" i="9"/>
  <c r="N241" i="9"/>
  <c r="M241" i="9"/>
  <c r="K241" i="9" a="1"/>
  <c r="K241" i="9" s="1"/>
  <c r="E241" i="9"/>
  <c r="C241" i="9"/>
  <c r="S240" i="9"/>
  <c r="M240" i="9"/>
  <c r="N240" i="9" s="1"/>
  <c r="K240" i="9" a="1"/>
  <c r="K240" i="9" s="1"/>
  <c r="E240" i="9"/>
  <c r="C240" i="9"/>
  <c r="S239" i="9"/>
  <c r="M239" i="9"/>
  <c r="N239" i="9" s="1"/>
  <c r="K239" i="9" a="1"/>
  <c r="K239" i="9" s="1"/>
  <c r="E239" i="9"/>
  <c r="C239" i="9"/>
  <c r="S238" i="9"/>
  <c r="M238" i="9"/>
  <c r="N238" i="9" s="1"/>
  <c r="K238" i="9"/>
  <c r="K238" i="9" a="1"/>
  <c r="E238" i="9"/>
  <c r="C238" i="9"/>
  <c r="N237" i="9"/>
  <c r="M237" i="9"/>
  <c r="K237" i="9" a="1"/>
  <c r="K237" i="9" s="1"/>
  <c r="E237" i="9"/>
  <c r="C237" i="9"/>
  <c r="N236" i="9"/>
  <c r="M236" i="9"/>
  <c r="K236" i="9"/>
  <c r="K236" i="9" a="1"/>
  <c r="E236" i="9"/>
  <c r="C236" i="9"/>
  <c r="N235" i="9"/>
  <c r="K235" i="9" a="1"/>
  <c r="K235" i="9" s="1"/>
  <c r="E235" i="9"/>
  <c r="C235" i="9"/>
  <c r="S234" i="9"/>
  <c r="M234" i="9"/>
  <c r="N234" i="9" s="1"/>
  <c r="K234" i="9"/>
  <c r="K234" i="9" a="1"/>
  <c r="E234" i="9"/>
  <c r="C234" i="9"/>
  <c r="S233" i="9"/>
  <c r="M233" i="9"/>
  <c r="N233" i="9" s="1"/>
  <c r="K233" i="9"/>
  <c r="K233" i="9" a="1"/>
  <c r="E233" i="9"/>
  <c r="C233" i="9"/>
  <c r="N232" i="9"/>
  <c r="K232" i="9"/>
  <c r="K232" i="9" a="1"/>
  <c r="E232" i="9"/>
  <c r="C232" i="9"/>
  <c r="S231" i="9"/>
  <c r="M231" i="9"/>
  <c r="N231" i="9" s="1"/>
  <c r="K231" i="9"/>
  <c r="K231" i="9" a="1"/>
  <c r="E231" i="9"/>
  <c r="C231" i="9"/>
  <c r="S230" i="9"/>
  <c r="N230" i="9"/>
  <c r="M230" i="9"/>
  <c r="K230" i="9" a="1"/>
  <c r="K230" i="9" s="1"/>
  <c r="E230" i="9"/>
  <c r="C230" i="9"/>
  <c r="S229" i="9"/>
  <c r="N229" i="9"/>
  <c r="M229" i="9"/>
  <c r="K229" i="9" a="1"/>
  <c r="K229" i="9" s="1"/>
  <c r="E229" i="9"/>
  <c r="C229" i="9"/>
  <c r="S228" i="9"/>
  <c r="M228" i="9"/>
  <c r="N228" i="9" s="1"/>
  <c r="K228" i="9" a="1"/>
  <c r="K228" i="9" s="1"/>
  <c r="E228" i="9"/>
  <c r="C228" i="9"/>
  <c r="M227" i="9"/>
  <c r="N227" i="9" s="1"/>
  <c r="K227" i="9"/>
  <c r="K227" i="9" a="1"/>
  <c r="E227" i="9"/>
  <c r="C227" i="9"/>
  <c r="S226" i="9"/>
  <c r="M226" i="9"/>
  <c r="N226" i="9" s="1"/>
  <c r="K226" i="9" a="1"/>
  <c r="K226" i="9" s="1"/>
  <c r="E226" i="9"/>
  <c r="C226" i="9"/>
  <c r="S225" i="9"/>
  <c r="M225" i="9"/>
  <c r="N225" i="9" s="1"/>
  <c r="K225" i="9"/>
  <c r="K225" i="9" a="1"/>
  <c r="E225" i="9"/>
  <c r="C225" i="9"/>
  <c r="S224" i="9"/>
  <c r="M224" i="9"/>
  <c r="N224" i="9" s="1"/>
  <c r="K224" i="9"/>
  <c r="K224" i="9" a="1"/>
  <c r="E224" i="9"/>
  <c r="C224" i="9"/>
  <c r="S223" i="9"/>
  <c r="N223" i="9"/>
  <c r="M223" i="9"/>
  <c r="K223" i="9" a="1"/>
  <c r="K223" i="9" s="1"/>
  <c r="E223" i="9"/>
  <c r="C223" i="9"/>
  <c r="M222" i="9"/>
  <c r="N222" i="9" s="1"/>
  <c r="K222" i="9" a="1"/>
  <c r="K222" i="9" s="1"/>
  <c r="E222" i="9"/>
  <c r="C222" i="9"/>
  <c r="N221" i="9"/>
  <c r="M221" i="9"/>
  <c r="K221" i="9" a="1"/>
  <c r="K221" i="9" s="1"/>
  <c r="E221" i="9"/>
  <c r="C221" i="9"/>
  <c r="S220" i="9"/>
  <c r="N220" i="9"/>
  <c r="K220" i="9" a="1"/>
  <c r="K220" i="9" s="1"/>
  <c r="E220" i="9"/>
  <c r="C220" i="9"/>
  <c r="S219" i="9"/>
  <c r="N219" i="9"/>
  <c r="M219" i="9"/>
  <c r="K219" i="9" a="1"/>
  <c r="K219" i="9" s="1"/>
  <c r="E219" i="9"/>
  <c r="C219" i="9"/>
  <c r="S218" i="9"/>
  <c r="M218" i="9"/>
  <c r="N218" i="9" s="1"/>
  <c r="K218" i="9" a="1"/>
  <c r="K218" i="9" s="1"/>
  <c r="E218" i="9"/>
  <c r="C218" i="9"/>
  <c r="S217" i="9"/>
  <c r="M217" i="9"/>
  <c r="N217" i="9" s="1"/>
  <c r="K217" i="9" a="1"/>
  <c r="K217" i="9" s="1"/>
  <c r="E217" i="9"/>
  <c r="C217" i="9"/>
  <c r="S216" i="9"/>
  <c r="N216" i="9"/>
  <c r="M216" i="9"/>
  <c r="K216" i="9"/>
  <c r="K216" i="9" a="1"/>
  <c r="E216" i="9"/>
  <c r="C216" i="9"/>
  <c r="S215" i="9"/>
  <c r="M215" i="9"/>
  <c r="N215" i="9" s="1"/>
  <c r="K215" i="9"/>
  <c r="K215" i="9" a="1"/>
  <c r="E215" i="9"/>
  <c r="C215" i="9"/>
  <c r="S214" i="9"/>
  <c r="N214" i="9"/>
  <c r="M214" i="9"/>
  <c r="K214" i="9" a="1"/>
  <c r="K214" i="9" s="1"/>
  <c r="E214" i="9"/>
  <c r="C214" i="9"/>
  <c r="S213" i="9"/>
  <c r="N213" i="9"/>
  <c r="M213" i="9"/>
  <c r="K213" i="9"/>
  <c r="K213" i="9" a="1"/>
  <c r="E213" i="9"/>
  <c r="C213" i="9"/>
  <c r="S212" i="9"/>
  <c r="M212" i="9"/>
  <c r="N212" i="9" s="1"/>
  <c r="K212" i="9" a="1"/>
  <c r="K212" i="9" s="1"/>
  <c r="E212" i="9"/>
  <c r="C212" i="9"/>
  <c r="S211" i="9"/>
  <c r="N211" i="9"/>
  <c r="M211" i="9"/>
  <c r="K211" i="9"/>
  <c r="K211" i="9" a="1"/>
  <c r="E211" i="9"/>
  <c r="C211" i="9"/>
  <c r="S210" i="9"/>
  <c r="M210" i="9"/>
  <c r="N210" i="9" s="1"/>
  <c r="K210" i="9" a="1"/>
  <c r="K210" i="9" s="1"/>
  <c r="E210" i="9"/>
  <c r="C210" i="9"/>
  <c r="S209" i="9"/>
  <c r="N209" i="9"/>
  <c r="M209" i="9"/>
  <c r="K209" i="9"/>
  <c r="K209" i="9" a="1"/>
  <c r="E209" i="9"/>
  <c r="C209" i="9"/>
  <c r="S208" i="9"/>
  <c r="M208" i="9"/>
  <c r="N208" i="9" s="1"/>
  <c r="K208" i="9" a="1"/>
  <c r="K208" i="9" s="1"/>
  <c r="E208" i="9"/>
  <c r="C208" i="9"/>
  <c r="S207" i="9"/>
  <c r="N207" i="9"/>
  <c r="M207" i="9"/>
  <c r="K207" i="9" a="1"/>
  <c r="K207" i="9" s="1"/>
  <c r="E207" i="9"/>
  <c r="C207" i="9"/>
  <c r="S206" i="9"/>
  <c r="M206" i="9"/>
  <c r="N206" i="9" s="1"/>
  <c r="K206" i="9" a="1"/>
  <c r="K206" i="9" s="1"/>
  <c r="E206" i="9"/>
  <c r="C206" i="9"/>
  <c r="S205" i="9"/>
  <c r="M205" i="9"/>
  <c r="N205" i="9" s="1"/>
  <c r="K205" i="9" a="1"/>
  <c r="K205" i="9" s="1"/>
  <c r="E205" i="9"/>
  <c r="C205" i="9"/>
  <c r="S204" i="9"/>
  <c r="N204" i="9"/>
  <c r="M204" i="9"/>
  <c r="K204" i="9"/>
  <c r="K204" i="9" a="1"/>
  <c r="E204" i="9"/>
  <c r="C204" i="9"/>
  <c r="S203" i="9"/>
  <c r="M203" i="9"/>
  <c r="N203" i="9" s="1"/>
  <c r="K203" i="9"/>
  <c r="K203" i="9" a="1"/>
  <c r="E203" i="9"/>
  <c r="C203" i="9"/>
  <c r="S202" i="9"/>
  <c r="N202" i="9"/>
  <c r="M202" i="9"/>
  <c r="K202" i="9" a="1"/>
  <c r="K202" i="9" s="1"/>
  <c r="E202" i="9"/>
  <c r="C202" i="9"/>
  <c r="S201" i="9"/>
  <c r="N201" i="9"/>
  <c r="M201" i="9"/>
  <c r="K201" i="9"/>
  <c r="K201" i="9" a="1"/>
  <c r="E201" i="9"/>
  <c r="C201" i="9"/>
  <c r="S200" i="9"/>
  <c r="M200" i="9"/>
  <c r="N200" i="9" s="1"/>
  <c r="K200" i="9" a="1"/>
  <c r="K200" i="9" s="1"/>
  <c r="E200" i="9"/>
  <c r="C200" i="9"/>
  <c r="S199" i="9"/>
  <c r="N199" i="9"/>
  <c r="M199" i="9"/>
  <c r="K199" i="9"/>
  <c r="K199" i="9" a="1"/>
  <c r="E199" i="9"/>
  <c r="C199" i="9"/>
  <c r="M198" i="9"/>
  <c r="N198" i="9" s="1"/>
  <c r="K198" i="9" a="1"/>
  <c r="K198" i="9" s="1"/>
  <c r="E198" i="9"/>
  <c r="C198" i="9"/>
  <c r="S197" i="9"/>
  <c r="M197" i="9"/>
  <c r="N197" i="9" s="1"/>
  <c r="K197" i="9"/>
  <c r="K197" i="9" a="1"/>
  <c r="E197" i="9"/>
  <c r="C197" i="9"/>
  <c r="S196" i="9"/>
  <c r="M196" i="9"/>
  <c r="N196" i="9" s="1"/>
  <c r="K196" i="9"/>
  <c r="K196" i="9" a="1"/>
  <c r="E196" i="9"/>
  <c r="C196" i="9"/>
  <c r="S195" i="9"/>
  <c r="N195" i="9"/>
  <c r="M195" i="9"/>
  <c r="K195" i="9" a="1"/>
  <c r="K195" i="9" s="1"/>
  <c r="E195" i="9"/>
  <c r="C195" i="9"/>
  <c r="S194" i="9"/>
  <c r="N194" i="9"/>
  <c r="M194" i="9"/>
  <c r="K194" i="9" a="1"/>
  <c r="K194" i="9" s="1"/>
  <c r="E194" i="9"/>
  <c r="C194" i="9"/>
  <c r="S193" i="9"/>
  <c r="M193" i="9"/>
  <c r="N193" i="9" s="1"/>
  <c r="K193" i="9" a="1"/>
  <c r="K193" i="9" s="1"/>
  <c r="E193" i="9"/>
  <c r="C193" i="9"/>
  <c r="S192" i="9"/>
  <c r="N192" i="9"/>
  <c r="M192" i="9"/>
  <c r="K192" i="9" a="1"/>
  <c r="K192" i="9" s="1"/>
  <c r="E192" i="9"/>
  <c r="C192" i="9"/>
  <c r="N191" i="9"/>
  <c r="K191" i="9" a="1"/>
  <c r="K191" i="9" s="1"/>
  <c r="E191" i="9"/>
  <c r="C191" i="9"/>
  <c r="S190" i="9"/>
  <c r="N190" i="9"/>
  <c r="M190" i="9"/>
  <c r="K190" i="9" a="1"/>
  <c r="K190" i="9" s="1"/>
  <c r="E190" i="9"/>
  <c r="C190" i="9"/>
  <c r="S189" i="9"/>
  <c r="M189" i="9"/>
  <c r="N189" i="9" s="1"/>
  <c r="K189" i="9" a="1"/>
  <c r="K189" i="9" s="1"/>
  <c r="E189" i="9"/>
  <c r="C189" i="9"/>
  <c r="M188" i="9"/>
  <c r="N188" i="9" s="1"/>
  <c r="K188" i="9"/>
  <c r="K188" i="9" a="1"/>
  <c r="E188" i="9"/>
  <c r="C188" i="9"/>
  <c r="S187" i="9"/>
  <c r="N187" i="9"/>
  <c r="M187" i="9"/>
  <c r="K187" i="9"/>
  <c r="K187" i="9" a="1"/>
  <c r="E187" i="9"/>
  <c r="C187" i="9"/>
  <c r="S186" i="9"/>
  <c r="N186" i="9"/>
  <c r="M186" i="9"/>
  <c r="K186" i="9" a="1"/>
  <c r="K186" i="9" s="1"/>
  <c r="E186" i="9"/>
  <c r="C186" i="9"/>
  <c r="S185" i="9"/>
  <c r="N185" i="9"/>
  <c r="K185" i="9" a="1"/>
  <c r="K185" i="9" s="1"/>
  <c r="E185" i="9"/>
  <c r="C185" i="9"/>
  <c r="S184" i="9"/>
  <c r="N184" i="9"/>
  <c r="M184" i="9"/>
  <c r="K184" i="9" a="1"/>
  <c r="K184" i="9" s="1"/>
  <c r="E184" i="9"/>
  <c r="C184" i="9"/>
  <c r="S183" i="9"/>
  <c r="M183" i="9"/>
  <c r="N183" i="9" s="1"/>
  <c r="K183" i="9"/>
  <c r="K183" i="9" a="1"/>
  <c r="E183" i="9"/>
  <c r="C183" i="9"/>
  <c r="S182" i="9"/>
  <c r="M182" i="9"/>
  <c r="N182" i="9" s="1"/>
  <c r="K182" i="9" a="1"/>
  <c r="K182" i="9" s="1"/>
  <c r="E182" i="9"/>
  <c r="C182" i="9"/>
  <c r="S181" i="9"/>
  <c r="M181" i="9"/>
  <c r="N181" i="9" s="1"/>
  <c r="K181" i="9"/>
  <c r="K181" i="9" a="1"/>
  <c r="E181" i="9"/>
  <c r="C181" i="9"/>
  <c r="S180" i="9"/>
  <c r="M180" i="9"/>
  <c r="N180" i="9" s="1"/>
  <c r="K180" i="9"/>
  <c r="K180" i="9" a="1"/>
  <c r="E180" i="9"/>
  <c r="C180" i="9"/>
  <c r="S179" i="9"/>
  <c r="N179" i="9"/>
  <c r="M179" i="9"/>
  <c r="K179" i="9" a="1"/>
  <c r="K179" i="9" s="1"/>
  <c r="E179" i="9"/>
  <c r="C179" i="9"/>
  <c r="S178" i="9"/>
  <c r="N178" i="9"/>
  <c r="M178" i="9"/>
  <c r="K178" i="9" a="1"/>
  <c r="K178" i="9" s="1"/>
  <c r="E178" i="9"/>
  <c r="C178" i="9"/>
  <c r="S177" i="9"/>
  <c r="M177" i="9"/>
  <c r="N177" i="9" s="1"/>
  <c r="K177" i="9" a="1"/>
  <c r="K177" i="9" s="1"/>
  <c r="E177" i="9"/>
  <c r="C177" i="9"/>
  <c r="S176" i="9"/>
  <c r="N176" i="9"/>
  <c r="M176" i="9"/>
  <c r="K176" i="9" a="1"/>
  <c r="K176" i="9" s="1"/>
  <c r="E176" i="9"/>
  <c r="C176" i="9"/>
  <c r="S175" i="9"/>
  <c r="M175" i="9"/>
  <c r="N175" i="9" s="1"/>
  <c r="K175" i="9" a="1"/>
  <c r="K175" i="9" s="1"/>
  <c r="E175" i="9"/>
  <c r="C175" i="9"/>
  <c r="M174" i="9"/>
  <c r="N174" i="9" s="1"/>
  <c r="K174" i="9"/>
  <c r="K174" i="9" a="1"/>
  <c r="E174" i="9"/>
  <c r="C174" i="9"/>
  <c r="S173" i="9"/>
  <c r="N173" i="9"/>
  <c r="M173" i="9"/>
  <c r="K173" i="9"/>
  <c r="K173" i="9" a="1"/>
  <c r="E173" i="9"/>
  <c r="C173" i="9"/>
  <c r="S172" i="9"/>
  <c r="N172" i="9"/>
  <c r="M172" i="9"/>
  <c r="K172" i="9" a="1"/>
  <c r="K172" i="9" s="1"/>
  <c r="E172" i="9"/>
  <c r="C172" i="9"/>
  <c r="S171" i="9"/>
  <c r="N171" i="9"/>
  <c r="M171" i="9"/>
  <c r="K171" i="9"/>
  <c r="K171" i="9" a="1"/>
  <c r="E171" i="9"/>
  <c r="C171" i="9"/>
  <c r="S170" i="9"/>
  <c r="M170" i="9"/>
  <c r="N170" i="9" s="1"/>
  <c r="K170" i="9" a="1"/>
  <c r="K170" i="9" s="1"/>
  <c r="E170" i="9"/>
  <c r="C170" i="9"/>
  <c r="S169" i="9"/>
  <c r="N169" i="9"/>
  <c r="M169" i="9"/>
  <c r="K169" i="9"/>
  <c r="K169" i="9" a="1"/>
  <c r="E169" i="9"/>
  <c r="C169" i="9"/>
  <c r="S168" i="9"/>
  <c r="M168" i="9"/>
  <c r="N168" i="9" s="1"/>
  <c r="K168" i="9" a="1"/>
  <c r="K168" i="9" s="1"/>
  <c r="E168" i="9"/>
  <c r="C168" i="9"/>
  <c r="S167" i="9"/>
  <c r="N167" i="9"/>
  <c r="M167" i="9"/>
  <c r="K167" i="9" a="1"/>
  <c r="K167" i="9" s="1"/>
  <c r="E167" i="9"/>
  <c r="C167" i="9"/>
  <c r="S166" i="9"/>
  <c r="M166" i="9"/>
  <c r="N166" i="9" s="1"/>
  <c r="K166" i="9" a="1"/>
  <c r="K166" i="9" s="1"/>
  <c r="E166" i="9"/>
  <c r="C166" i="9"/>
  <c r="S165" i="9"/>
  <c r="M165" i="9"/>
  <c r="N165" i="9" s="1"/>
  <c r="K165" i="9" a="1"/>
  <c r="K165" i="9" s="1"/>
  <c r="E165" i="9"/>
  <c r="C165" i="9"/>
  <c r="N164" i="9"/>
  <c r="M164" i="9"/>
  <c r="K164" i="9"/>
  <c r="K164" i="9" a="1"/>
  <c r="E164" i="9"/>
  <c r="C164" i="9"/>
  <c r="S163" i="9"/>
  <c r="M163" i="9"/>
  <c r="N163" i="9" s="1"/>
  <c r="K163" i="9" a="1"/>
  <c r="K163" i="9" s="1"/>
  <c r="E163" i="9"/>
  <c r="C163" i="9"/>
  <c r="S162" i="9"/>
  <c r="M162" i="9"/>
  <c r="N162" i="9" s="1"/>
  <c r="K162" i="9"/>
  <c r="K162" i="9" a="1"/>
  <c r="E162" i="9"/>
  <c r="C162" i="9"/>
  <c r="S161" i="9"/>
  <c r="M161" i="9"/>
  <c r="N161" i="9" s="1"/>
  <c r="K161" i="9" a="1"/>
  <c r="K161" i="9" s="1"/>
  <c r="E161" i="9"/>
  <c r="C161" i="9"/>
  <c r="S160" i="9"/>
  <c r="M160" i="9"/>
  <c r="N160" i="9" s="1"/>
  <c r="K160" i="9" a="1"/>
  <c r="K160" i="9" s="1"/>
  <c r="E160" i="9"/>
  <c r="C160" i="9"/>
  <c r="S159" i="9"/>
  <c r="M159" i="9"/>
  <c r="N159" i="9" s="1"/>
  <c r="K159" i="9" a="1"/>
  <c r="K159" i="9" s="1"/>
  <c r="E159" i="9"/>
  <c r="C159" i="9"/>
  <c r="N158" i="9"/>
  <c r="M158" i="9"/>
  <c r="K158" i="9" a="1"/>
  <c r="K158" i="9" s="1"/>
  <c r="E158" i="9"/>
  <c r="C158" i="9"/>
  <c r="S157" i="9"/>
  <c r="N157" i="9"/>
  <c r="M157" i="9"/>
  <c r="K157" i="9" a="1"/>
  <c r="K157" i="9" s="1"/>
  <c r="E157" i="9"/>
  <c r="C157" i="9"/>
  <c r="S156" i="9"/>
  <c r="M156" i="9"/>
  <c r="N156" i="9" s="1"/>
  <c r="K156" i="9" a="1"/>
  <c r="K156" i="9" s="1"/>
  <c r="E156" i="9"/>
  <c r="C156" i="9"/>
  <c r="S155" i="9"/>
  <c r="M155" i="9"/>
  <c r="N155" i="9" s="1"/>
  <c r="K155" i="9" a="1"/>
  <c r="K155" i="9" s="1"/>
  <c r="E155" i="9"/>
  <c r="C155" i="9"/>
  <c r="M154" i="9"/>
  <c r="N154" i="9" s="1"/>
  <c r="K154" i="9"/>
  <c r="K154" i="9" a="1"/>
  <c r="E154" i="9"/>
  <c r="C154" i="9"/>
  <c r="S153" i="9"/>
  <c r="M153" i="9"/>
  <c r="N153" i="9" s="1"/>
  <c r="K153" i="9"/>
  <c r="K153" i="9" a="1"/>
  <c r="E153" i="9"/>
  <c r="C153" i="9"/>
  <c r="M152" i="9"/>
  <c r="N152" i="9" s="1"/>
  <c r="K152" i="9" a="1"/>
  <c r="K152" i="9" s="1"/>
  <c r="E152" i="9"/>
  <c r="C152" i="9"/>
  <c r="N151" i="9"/>
  <c r="M151" i="9"/>
  <c r="K151" i="9"/>
  <c r="K151" i="9" a="1"/>
  <c r="E151" i="9"/>
  <c r="C151" i="9"/>
  <c r="S150" i="9"/>
  <c r="N150" i="9"/>
  <c r="M150" i="9"/>
  <c r="K150" i="9"/>
  <c r="K150" i="9" a="1"/>
  <c r="E150" i="9"/>
  <c r="C150" i="9"/>
  <c r="S149" i="9"/>
  <c r="N149" i="9"/>
  <c r="M149" i="9"/>
  <c r="K149" i="9" a="1"/>
  <c r="K149" i="9" s="1"/>
  <c r="E149" i="9"/>
  <c r="C149" i="9"/>
  <c r="S148" i="9"/>
  <c r="N148" i="9"/>
  <c r="K148" i="9" a="1"/>
  <c r="K148" i="9" s="1"/>
  <c r="E148" i="9"/>
  <c r="C148" i="9"/>
  <c r="S147" i="9"/>
  <c r="M147" i="9"/>
  <c r="N147" i="9" s="1"/>
  <c r="K147" i="9" a="1"/>
  <c r="K147" i="9" s="1"/>
  <c r="E147" i="9"/>
  <c r="C147" i="9"/>
  <c r="S146" i="9"/>
  <c r="M146" i="9"/>
  <c r="N146" i="9" s="1"/>
  <c r="K146" i="9"/>
  <c r="K146" i="9" a="1"/>
  <c r="E146" i="9"/>
  <c r="C146" i="9"/>
  <c r="S145" i="9"/>
  <c r="M145" i="9"/>
  <c r="N145" i="9" s="1"/>
  <c r="K145" i="9"/>
  <c r="K145" i="9" a="1"/>
  <c r="E145" i="9"/>
  <c r="C145" i="9"/>
  <c r="S144" i="9"/>
  <c r="M144" i="9"/>
  <c r="N144" i="9" s="1"/>
  <c r="K144" i="9"/>
  <c r="K144" i="9" a="1"/>
  <c r="E144" i="9"/>
  <c r="C144" i="9"/>
  <c r="S143" i="9"/>
  <c r="M143" i="9"/>
  <c r="N143" i="9" s="1"/>
  <c r="K143" i="9"/>
  <c r="K143" i="9" a="1"/>
  <c r="E143" i="9"/>
  <c r="C143" i="9"/>
  <c r="S142" i="9"/>
  <c r="N142" i="9"/>
  <c r="M142" i="9"/>
  <c r="K142" i="9" a="1"/>
  <c r="K142" i="9" s="1"/>
  <c r="E142" i="9"/>
  <c r="C142" i="9"/>
  <c r="S141" i="9"/>
  <c r="N141" i="9"/>
  <c r="M141" i="9"/>
  <c r="K141" i="9" a="1"/>
  <c r="K141" i="9" s="1"/>
  <c r="E141" i="9"/>
  <c r="C141" i="9"/>
  <c r="N140" i="9"/>
  <c r="M140" i="9"/>
  <c r="K140" i="9" a="1"/>
  <c r="K140" i="9" s="1"/>
  <c r="E140" i="9"/>
  <c r="C140" i="9"/>
  <c r="S139" i="9"/>
  <c r="M139" i="9"/>
  <c r="N139" i="9" s="1"/>
  <c r="K139" i="9" a="1"/>
  <c r="K139" i="9" s="1"/>
  <c r="E139" i="9"/>
  <c r="C139" i="9"/>
  <c r="S138" i="9"/>
  <c r="M138" i="9"/>
  <c r="N138" i="9" s="1"/>
  <c r="K138" i="9" a="1"/>
  <c r="K138" i="9" s="1"/>
  <c r="E138" i="9"/>
  <c r="C138" i="9"/>
  <c r="S137" i="9"/>
  <c r="N137" i="9"/>
  <c r="M137" i="9"/>
  <c r="K137" i="9"/>
  <c r="K137" i="9" a="1"/>
  <c r="E137" i="9"/>
  <c r="C137" i="9"/>
  <c r="S136" i="9"/>
  <c r="M136" i="9"/>
  <c r="N136" i="9" s="1"/>
  <c r="K136" i="9"/>
  <c r="K136" i="9" a="1"/>
  <c r="E136" i="9"/>
  <c r="C136" i="9"/>
  <c r="S135" i="9"/>
  <c r="N135" i="9"/>
  <c r="K135" i="9" a="1"/>
  <c r="K135" i="9" s="1"/>
  <c r="E135" i="9"/>
  <c r="C135" i="9"/>
  <c r="S134" i="9"/>
  <c r="M134" i="9"/>
  <c r="N134" i="9" s="1"/>
  <c r="K134" i="9" a="1"/>
  <c r="K134" i="9" s="1"/>
  <c r="E134" i="9"/>
  <c r="C134" i="9"/>
  <c r="S133" i="9"/>
  <c r="M133" i="9"/>
  <c r="N133" i="9" s="1"/>
  <c r="K133" i="9" a="1"/>
  <c r="K133" i="9" s="1"/>
  <c r="E133" i="9"/>
  <c r="C133" i="9"/>
  <c r="S132" i="9"/>
  <c r="M132" i="9"/>
  <c r="N132" i="9" s="1"/>
  <c r="K132" i="9" a="1"/>
  <c r="K132" i="9" s="1"/>
  <c r="E132" i="9"/>
  <c r="C132" i="9"/>
  <c r="S131" i="9"/>
  <c r="M131" i="9"/>
  <c r="N131" i="9" s="1"/>
  <c r="K131" i="9" a="1"/>
  <c r="K131" i="9" s="1"/>
  <c r="E131" i="9"/>
  <c r="C131" i="9"/>
  <c r="S130" i="9"/>
  <c r="M130" i="9"/>
  <c r="N130" i="9" s="1"/>
  <c r="K130" i="9"/>
  <c r="K130" i="9" a="1"/>
  <c r="E130" i="9"/>
  <c r="C130" i="9"/>
  <c r="S129" i="9"/>
  <c r="M129" i="9"/>
  <c r="N129" i="9" s="1"/>
  <c r="K129" i="9"/>
  <c r="K129" i="9" a="1"/>
  <c r="E129" i="9"/>
  <c r="C129" i="9"/>
  <c r="S128" i="9"/>
  <c r="N128" i="9"/>
  <c r="M128" i="9"/>
  <c r="K128" i="9" a="1"/>
  <c r="K128" i="9" s="1"/>
  <c r="E128" i="9"/>
  <c r="C128" i="9"/>
  <c r="S127" i="9"/>
  <c r="N127" i="9"/>
  <c r="K127" i="9" a="1"/>
  <c r="K127" i="9" s="1"/>
  <c r="E127" i="9"/>
  <c r="C127" i="9"/>
  <c r="S126" i="9"/>
  <c r="N126" i="9"/>
  <c r="K126" i="9" a="1"/>
  <c r="K126" i="9" s="1"/>
  <c r="E126" i="9"/>
  <c r="C126" i="9"/>
  <c r="M125" i="9"/>
  <c r="N125" i="9" s="1"/>
  <c r="K125" i="9" a="1"/>
  <c r="K125" i="9" s="1"/>
  <c r="E125" i="9"/>
  <c r="C125" i="9"/>
  <c r="S124" i="9"/>
  <c r="N124" i="9"/>
  <c r="M124" i="9"/>
  <c r="K124" i="9" a="1"/>
  <c r="K124" i="9" s="1"/>
  <c r="E124" i="9"/>
  <c r="C124" i="9"/>
  <c r="S123" i="9"/>
  <c r="M123" i="9"/>
  <c r="N123" i="9" s="1"/>
  <c r="K123" i="9"/>
  <c r="K123" i="9" a="1"/>
  <c r="E123" i="9"/>
  <c r="C123" i="9"/>
  <c r="M122" i="9"/>
  <c r="N122" i="9" s="1"/>
  <c r="K122" i="9"/>
  <c r="K122" i="9" a="1"/>
  <c r="E122" i="9"/>
  <c r="C122" i="9"/>
  <c r="S121" i="9"/>
  <c r="M121" i="9"/>
  <c r="N121" i="9" s="1"/>
  <c r="K121" i="9"/>
  <c r="K121" i="9" a="1"/>
  <c r="E121" i="9"/>
  <c r="C121" i="9"/>
  <c r="M120" i="9"/>
  <c r="N120" i="9" s="1"/>
  <c r="K120" i="9" a="1"/>
  <c r="K120" i="9" s="1"/>
  <c r="E120" i="9"/>
  <c r="C120" i="9"/>
  <c r="S119" i="9"/>
  <c r="M119" i="9"/>
  <c r="N119" i="9" s="1"/>
  <c r="K119" i="9"/>
  <c r="K119" i="9" a="1"/>
  <c r="E119" i="9"/>
  <c r="C119" i="9"/>
  <c r="S118" i="9"/>
  <c r="M118" i="9"/>
  <c r="N118" i="9" s="1"/>
  <c r="K118" i="9"/>
  <c r="K118" i="9" a="1"/>
  <c r="E118" i="9"/>
  <c r="C118" i="9"/>
  <c r="S117" i="9"/>
  <c r="N117" i="9"/>
  <c r="M117" i="9"/>
  <c r="K117" i="9" a="1"/>
  <c r="K117" i="9" s="1"/>
  <c r="E117" i="9"/>
  <c r="C117" i="9"/>
  <c r="M116" i="9"/>
  <c r="N116" i="9" s="1"/>
  <c r="K116" i="9" a="1"/>
  <c r="K116" i="9" s="1"/>
  <c r="E116" i="9"/>
  <c r="C116" i="9"/>
  <c r="N115" i="9"/>
  <c r="M115" i="9"/>
  <c r="K115" i="9" a="1"/>
  <c r="K115" i="9" s="1"/>
  <c r="E115" i="9"/>
  <c r="C115" i="9"/>
  <c r="S114" i="9"/>
  <c r="N114" i="9"/>
  <c r="M114" i="9"/>
  <c r="K114" i="9" a="1"/>
  <c r="K114" i="9" s="1"/>
  <c r="E114" i="9"/>
  <c r="C114" i="9"/>
  <c r="N113" i="9"/>
  <c r="M113" i="9"/>
  <c r="K113" i="9" a="1"/>
  <c r="K113" i="9" s="1"/>
  <c r="E113" i="9"/>
  <c r="C113" i="9"/>
  <c r="S112" i="9"/>
  <c r="M112" i="9"/>
  <c r="N112" i="9" s="1"/>
  <c r="K112" i="9"/>
  <c r="K112" i="9" a="1"/>
  <c r="E112" i="9"/>
  <c r="C112" i="9"/>
  <c r="S111" i="9"/>
  <c r="M111" i="9"/>
  <c r="N111" i="9" s="1"/>
  <c r="K111" i="9" a="1"/>
  <c r="K111" i="9" s="1"/>
  <c r="E111" i="9"/>
  <c r="C111" i="9"/>
  <c r="S110" i="9"/>
  <c r="M110" i="9"/>
  <c r="N110" i="9" s="1"/>
  <c r="K110" i="9"/>
  <c r="K110" i="9" a="1"/>
  <c r="E110" i="9"/>
  <c r="C110" i="9"/>
  <c r="S109" i="9"/>
  <c r="M109" i="9"/>
  <c r="N109" i="9" s="1"/>
  <c r="K109" i="9"/>
  <c r="K109" i="9" a="1"/>
  <c r="E109" i="9"/>
  <c r="C109" i="9"/>
  <c r="N108" i="9"/>
  <c r="K108" i="9"/>
  <c r="K108" i="9" a="1"/>
  <c r="E108" i="9"/>
  <c r="C108" i="9"/>
  <c r="S107" i="9"/>
  <c r="M107" i="9"/>
  <c r="N107" i="9" s="1"/>
  <c r="K107" i="9"/>
  <c r="K107" i="9" a="1"/>
  <c r="E107" i="9"/>
  <c r="C107" i="9"/>
  <c r="S106" i="9"/>
  <c r="N106" i="9"/>
  <c r="M106" i="9"/>
  <c r="K106" i="9" a="1"/>
  <c r="K106" i="9" s="1"/>
  <c r="E106" i="9"/>
  <c r="C106" i="9"/>
  <c r="S105" i="9"/>
  <c r="N105" i="9"/>
  <c r="M105" i="9"/>
  <c r="K105" i="9" a="1"/>
  <c r="K105" i="9" s="1"/>
  <c r="E105" i="9"/>
  <c r="C105" i="9"/>
  <c r="S104" i="9"/>
  <c r="M104" i="9"/>
  <c r="N104" i="9" s="1"/>
  <c r="K104" i="9"/>
  <c r="K104" i="9" a="1"/>
  <c r="E104" i="9"/>
  <c r="C104" i="9"/>
  <c r="S103" i="9"/>
  <c r="M103" i="9"/>
  <c r="N103" i="9" s="1"/>
  <c r="K103" i="9"/>
  <c r="K103" i="9" a="1"/>
  <c r="E103" i="9"/>
  <c r="C103" i="9"/>
  <c r="S102" i="9"/>
  <c r="N102" i="9"/>
  <c r="K102" i="9"/>
  <c r="K102" i="9" a="1"/>
  <c r="E102" i="9"/>
  <c r="C102" i="9"/>
  <c r="S101" i="9"/>
  <c r="M101" i="9"/>
  <c r="N101" i="9" s="1"/>
  <c r="K101" i="9"/>
  <c r="K101" i="9" a="1"/>
  <c r="E101" i="9"/>
  <c r="C101" i="9"/>
  <c r="S100" i="9"/>
  <c r="N100" i="9"/>
  <c r="M100" i="9"/>
  <c r="K100" i="9"/>
  <c r="K100" i="9" a="1"/>
  <c r="E100" i="9"/>
  <c r="C100" i="9"/>
  <c r="S99" i="9"/>
  <c r="N99" i="9"/>
  <c r="M99" i="9"/>
  <c r="K99" i="9" a="1"/>
  <c r="K99" i="9" s="1"/>
  <c r="E99" i="9"/>
  <c r="C99" i="9"/>
  <c r="S98" i="9"/>
  <c r="N98" i="9"/>
  <c r="M98" i="9"/>
  <c r="K98" i="9" a="1"/>
  <c r="K98" i="9" s="1"/>
  <c r="E98" i="9"/>
  <c r="C98" i="9"/>
  <c r="S97" i="9"/>
  <c r="M97" i="9"/>
  <c r="N97" i="9" s="1"/>
  <c r="K97" i="9" a="1"/>
  <c r="K97" i="9" s="1"/>
  <c r="E97" i="9"/>
  <c r="C97" i="9"/>
  <c r="S96" i="9"/>
  <c r="M96" i="9"/>
  <c r="N96" i="9" s="1"/>
  <c r="K96" i="9" a="1"/>
  <c r="K96" i="9" s="1"/>
  <c r="E96" i="9"/>
  <c r="C96" i="9"/>
  <c r="S95" i="9"/>
  <c r="M95" i="9"/>
  <c r="N95" i="9" s="1"/>
  <c r="K95" i="9"/>
  <c r="K95" i="9" a="1"/>
  <c r="E95" i="9"/>
  <c r="C95" i="9"/>
  <c r="S94" i="9"/>
  <c r="M94" i="9"/>
  <c r="N94" i="9" s="1"/>
  <c r="K94" i="9" a="1"/>
  <c r="K94" i="9" s="1"/>
  <c r="E94" i="9"/>
  <c r="C94" i="9"/>
  <c r="S93" i="9"/>
  <c r="N93" i="9"/>
  <c r="M93" i="9"/>
  <c r="K93" i="9" a="1"/>
  <c r="K93" i="9" s="1"/>
  <c r="E93" i="9"/>
  <c r="C93" i="9"/>
  <c r="S92" i="9"/>
  <c r="M92" i="9"/>
  <c r="N92" i="9" s="1"/>
  <c r="K92" i="9" a="1"/>
  <c r="K92" i="9" s="1"/>
  <c r="E92" i="9"/>
  <c r="C92" i="9"/>
  <c r="S91" i="9"/>
  <c r="M91" i="9"/>
  <c r="N91" i="9" s="1"/>
  <c r="K91" i="9" a="1"/>
  <c r="K91" i="9" s="1"/>
  <c r="E91" i="9"/>
  <c r="C91" i="9"/>
  <c r="N90" i="9"/>
  <c r="M90" i="9"/>
  <c r="K90" i="9" a="1"/>
  <c r="K90" i="9" s="1"/>
  <c r="E90" i="9"/>
  <c r="C90" i="9"/>
  <c r="S89" i="9"/>
  <c r="M89" i="9"/>
  <c r="N89" i="9" s="1"/>
  <c r="K89" i="9"/>
  <c r="K89" i="9" a="1"/>
  <c r="E89" i="9"/>
  <c r="C89" i="9"/>
  <c r="M88" i="9"/>
  <c r="N88" i="9" s="1"/>
  <c r="K88" i="9" a="1"/>
  <c r="K88" i="9" s="1"/>
  <c r="E88" i="9"/>
  <c r="C88" i="9"/>
  <c r="S87" i="9"/>
  <c r="M87" i="9"/>
  <c r="N87" i="9" s="1"/>
  <c r="K87" i="9"/>
  <c r="K87" i="9" a="1"/>
  <c r="E87" i="9"/>
  <c r="C87" i="9"/>
  <c r="M86" i="9"/>
  <c r="N86" i="9" s="1"/>
  <c r="K86" i="9" a="1"/>
  <c r="K86" i="9" s="1"/>
  <c r="E86" i="9"/>
  <c r="C86" i="9"/>
  <c r="S85" i="9"/>
  <c r="M85" i="9"/>
  <c r="N85" i="9" s="1"/>
  <c r="K85" i="9" a="1"/>
  <c r="K85" i="9" s="1"/>
  <c r="E85" i="9"/>
  <c r="C85" i="9"/>
  <c r="S84" i="9"/>
  <c r="M84" i="9"/>
  <c r="N84" i="9" s="1"/>
  <c r="K84" i="9" a="1"/>
  <c r="K84" i="9" s="1"/>
  <c r="E84" i="9"/>
  <c r="C84" i="9"/>
  <c r="S83" i="9"/>
  <c r="M83" i="9"/>
  <c r="N83" i="9" s="1"/>
  <c r="K83" i="9" a="1"/>
  <c r="K83" i="9" s="1"/>
  <c r="E83" i="9"/>
  <c r="C83" i="9"/>
  <c r="S82" i="9"/>
  <c r="M82" i="9"/>
  <c r="N82" i="9" s="1"/>
  <c r="K82" i="9" a="1"/>
  <c r="K82" i="9" s="1"/>
  <c r="E82" i="9"/>
  <c r="C82" i="9"/>
  <c r="N81" i="9"/>
  <c r="M81" i="9"/>
  <c r="K81" i="9" a="1"/>
  <c r="K81" i="9" s="1"/>
  <c r="E81" i="9"/>
  <c r="C81" i="9"/>
  <c r="S80" i="9"/>
  <c r="N80" i="9"/>
  <c r="K80" i="9" a="1"/>
  <c r="K80" i="9" s="1"/>
  <c r="E80" i="9"/>
  <c r="C80" i="9"/>
  <c r="N79" i="9"/>
  <c r="M79" i="9"/>
  <c r="K79" i="9" a="1"/>
  <c r="K79" i="9" s="1"/>
  <c r="E79" i="9"/>
  <c r="C79" i="9"/>
  <c r="S78" i="9"/>
  <c r="N78" i="9"/>
  <c r="M78" i="9"/>
  <c r="K78" i="9" a="1"/>
  <c r="K78" i="9" s="1"/>
  <c r="E78" i="9"/>
  <c r="C78" i="9"/>
  <c r="S77" i="9"/>
  <c r="M77" i="9"/>
  <c r="N77" i="9" s="1"/>
  <c r="K77" i="9"/>
  <c r="K77" i="9" a="1"/>
  <c r="E77" i="9"/>
  <c r="C77" i="9"/>
  <c r="M76" i="9"/>
  <c r="N76" i="9" s="1"/>
  <c r="K76" i="9"/>
  <c r="K76" i="9" a="1"/>
  <c r="E76" i="9"/>
  <c r="C76" i="9"/>
  <c r="S75" i="9"/>
  <c r="N75" i="9"/>
  <c r="K75" i="9"/>
  <c r="K75" i="9" a="1"/>
  <c r="E75" i="9"/>
  <c r="C75" i="9"/>
  <c r="S74" i="9"/>
  <c r="M74" i="9"/>
  <c r="N74" i="9" s="1"/>
  <c r="K74" i="9" a="1"/>
  <c r="K74" i="9" s="1"/>
  <c r="E74" i="9"/>
  <c r="C74" i="9"/>
  <c r="M73" i="9"/>
  <c r="N73" i="9" s="1"/>
  <c r="K73" i="9"/>
  <c r="K73" i="9" a="1"/>
  <c r="E73" i="9"/>
  <c r="C73" i="9"/>
  <c r="S72" i="9"/>
  <c r="N72" i="9"/>
  <c r="K72" i="9" a="1"/>
  <c r="K72" i="9" s="1"/>
  <c r="E72" i="9"/>
  <c r="C72" i="9"/>
  <c r="S71" i="9"/>
  <c r="M71" i="9"/>
  <c r="N71" i="9" s="1"/>
  <c r="K71" i="9" a="1"/>
  <c r="K71" i="9" s="1"/>
  <c r="E71" i="9"/>
  <c r="C71" i="9"/>
  <c r="N70" i="9"/>
  <c r="M70" i="9"/>
  <c r="K70" i="9"/>
  <c r="K70" i="9" a="1"/>
  <c r="E70" i="9"/>
  <c r="C70" i="9"/>
  <c r="M69" i="9"/>
  <c r="N69" i="9" s="1"/>
  <c r="K69" i="9" a="1"/>
  <c r="K69" i="9" s="1"/>
  <c r="E69" i="9"/>
  <c r="C69" i="9"/>
  <c r="S68" i="9"/>
  <c r="M68" i="9"/>
  <c r="N68" i="9" s="1"/>
  <c r="K68" i="9" a="1"/>
  <c r="K68" i="9" s="1"/>
  <c r="E68" i="9"/>
  <c r="C68" i="9"/>
  <c r="S67" i="9"/>
  <c r="M67" i="9"/>
  <c r="N67" i="9" s="1"/>
  <c r="K67" i="9" a="1"/>
  <c r="K67" i="9" s="1"/>
  <c r="E67" i="9"/>
  <c r="C67" i="9"/>
  <c r="S66" i="9"/>
  <c r="N66" i="9"/>
  <c r="K66" i="9"/>
  <c r="K66" i="9" a="1"/>
  <c r="E66" i="9"/>
  <c r="C66" i="9"/>
  <c r="S65" i="9"/>
  <c r="N65" i="9"/>
  <c r="M65" i="9"/>
  <c r="K65" i="9" a="1"/>
  <c r="K65" i="9" s="1"/>
  <c r="E65" i="9"/>
  <c r="C65" i="9"/>
  <c r="S64" i="9"/>
  <c r="N64" i="9"/>
  <c r="M64" i="9"/>
  <c r="K64" i="9" a="1"/>
  <c r="K64" i="9" s="1"/>
  <c r="E64" i="9"/>
  <c r="C64" i="9"/>
  <c r="M63" i="9"/>
  <c r="N63" i="9" s="1"/>
  <c r="K63" i="9"/>
  <c r="K63" i="9" a="1"/>
  <c r="E63" i="9"/>
  <c r="C63" i="9"/>
  <c r="M62" i="9"/>
  <c r="N62" i="9" s="1"/>
  <c r="K62" i="9" a="1"/>
  <c r="K62" i="9" s="1"/>
  <c r="E62" i="9"/>
  <c r="C62" i="9"/>
  <c r="S61" i="9"/>
  <c r="M61" i="9"/>
  <c r="N61" i="9" s="1"/>
  <c r="K61" i="9" a="1"/>
  <c r="K61" i="9" s="1"/>
  <c r="E61" i="9"/>
  <c r="C61" i="9"/>
  <c r="S60" i="9"/>
  <c r="M60" i="9"/>
  <c r="N60" i="9" s="1"/>
  <c r="K60" i="9" a="1"/>
  <c r="K60" i="9" s="1"/>
  <c r="E60" i="9"/>
  <c r="C60" i="9"/>
  <c r="S59" i="9"/>
  <c r="M59" i="9"/>
  <c r="N59" i="9" s="1"/>
  <c r="K59" i="9" a="1"/>
  <c r="K59" i="9" s="1"/>
  <c r="E59" i="9"/>
  <c r="C59" i="9"/>
  <c r="S58" i="9"/>
  <c r="M58" i="9"/>
  <c r="N58" i="9" s="1"/>
  <c r="K58" i="9" a="1"/>
  <c r="K58" i="9" s="1"/>
  <c r="E58" i="9"/>
  <c r="C58" i="9"/>
  <c r="S57" i="9"/>
  <c r="N57" i="9"/>
  <c r="K57" i="9" a="1"/>
  <c r="K57" i="9" s="1"/>
  <c r="E57" i="9"/>
  <c r="C57" i="9"/>
  <c r="S56" i="9"/>
  <c r="N56" i="9"/>
  <c r="M56" i="9"/>
  <c r="K56" i="9" a="1"/>
  <c r="K56" i="9" s="1"/>
  <c r="E56" i="9"/>
  <c r="C56" i="9"/>
  <c r="S55" i="9"/>
  <c r="M55" i="9"/>
  <c r="N55" i="9" s="1"/>
  <c r="K55" i="9"/>
  <c r="K55" i="9" a="1"/>
  <c r="E55" i="9"/>
  <c r="C55" i="9"/>
  <c r="S54" i="9"/>
  <c r="M54" i="9"/>
  <c r="N54" i="9" s="1"/>
  <c r="K54" i="9" a="1"/>
  <c r="K54" i="9" s="1"/>
  <c r="E54" i="9"/>
  <c r="C54" i="9"/>
  <c r="M53" i="9"/>
  <c r="N53" i="9" s="1"/>
  <c r="K53" i="9"/>
  <c r="K53" i="9" a="1"/>
  <c r="E53" i="9"/>
  <c r="C53" i="9"/>
  <c r="S52" i="9"/>
  <c r="N52" i="9"/>
  <c r="M52" i="9"/>
  <c r="K52" i="9"/>
  <c r="K52" i="9" a="1"/>
  <c r="E52" i="9"/>
  <c r="C52" i="9"/>
  <c r="S51" i="9"/>
  <c r="N51" i="9"/>
  <c r="M51" i="9"/>
  <c r="K51" i="9" a="1"/>
  <c r="K51" i="9" s="1"/>
  <c r="E51" i="9"/>
  <c r="C51" i="9"/>
  <c r="M50" i="9"/>
  <c r="N50" i="9" s="1"/>
  <c r="K50" i="9" a="1"/>
  <c r="K50" i="9" s="1"/>
  <c r="E50" i="9"/>
  <c r="C50" i="9"/>
  <c r="S49" i="9"/>
  <c r="M49" i="9"/>
  <c r="N49" i="9" s="1"/>
  <c r="K49" i="9"/>
  <c r="K49" i="9" a="1"/>
  <c r="E49" i="9"/>
  <c r="C49" i="9"/>
  <c r="S48" i="9"/>
  <c r="M48" i="9"/>
  <c r="N48" i="9" s="1"/>
  <c r="K48" i="9"/>
  <c r="K48" i="9" a="1"/>
  <c r="E48" i="9"/>
  <c r="C48" i="9"/>
  <c r="S47" i="9"/>
  <c r="N47" i="9"/>
  <c r="M47" i="9"/>
  <c r="K47" i="9"/>
  <c r="K47" i="9" a="1"/>
  <c r="E47" i="9"/>
  <c r="C47" i="9"/>
  <c r="S46" i="9"/>
  <c r="N46" i="9"/>
  <c r="M46" i="9"/>
  <c r="K46" i="9"/>
  <c r="K46" i="9" a="1"/>
  <c r="E46" i="9"/>
  <c r="C46" i="9"/>
  <c r="S45" i="9"/>
  <c r="N45" i="9"/>
  <c r="M45" i="9"/>
  <c r="K45" i="9" a="1"/>
  <c r="K45" i="9" s="1"/>
  <c r="E45" i="9"/>
  <c r="C45" i="9"/>
  <c r="N44" i="9"/>
  <c r="M44" i="9"/>
  <c r="K44" i="9" a="1"/>
  <c r="K44" i="9" s="1"/>
  <c r="E44" i="9"/>
  <c r="C44" i="9"/>
  <c r="S43" i="9"/>
  <c r="M43" i="9"/>
  <c r="N43" i="9" s="1"/>
  <c r="K43" i="9" a="1"/>
  <c r="K43" i="9" s="1"/>
  <c r="E43" i="9"/>
  <c r="C43" i="9"/>
  <c r="N42" i="9"/>
  <c r="M42" i="9"/>
  <c r="K42" i="9"/>
  <c r="K42" i="9" a="1"/>
  <c r="E42" i="9"/>
  <c r="C42" i="9"/>
  <c r="S41" i="9"/>
  <c r="M41" i="9"/>
  <c r="N41" i="9" s="1"/>
  <c r="K41" i="9"/>
  <c r="K41" i="9" a="1"/>
  <c r="E41" i="9"/>
  <c r="C41" i="9"/>
  <c r="M40" i="9"/>
  <c r="N40" i="9" s="1"/>
  <c r="K40" i="9" a="1"/>
  <c r="K40" i="9" s="1"/>
  <c r="E40" i="9"/>
  <c r="C40" i="9"/>
  <c r="S39" i="9"/>
  <c r="M39" i="9"/>
  <c r="N39" i="9" s="1"/>
  <c r="K39" i="9"/>
  <c r="K39" i="9" a="1"/>
  <c r="E39" i="9"/>
  <c r="C39" i="9"/>
  <c r="S38" i="9"/>
  <c r="M38" i="9"/>
  <c r="N38" i="9" s="1"/>
  <c r="K38" i="9"/>
  <c r="K38" i="9" a="1"/>
  <c r="E38" i="9"/>
  <c r="C38" i="9"/>
  <c r="M37" i="9"/>
  <c r="N37" i="9" s="1"/>
  <c r="K37" i="9"/>
  <c r="K37" i="9" a="1"/>
  <c r="E37" i="9"/>
  <c r="C37" i="9"/>
  <c r="S36" i="9"/>
  <c r="M36" i="9"/>
  <c r="N36" i="9" s="1"/>
  <c r="K36" i="9" a="1"/>
  <c r="K36" i="9" s="1"/>
  <c r="E36" i="9"/>
  <c r="C36" i="9"/>
  <c r="S35" i="9"/>
  <c r="N35" i="9"/>
  <c r="M35" i="9"/>
  <c r="K35" i="9" a="1"/>
  <c r="K35" i="9" s="1"/>
  <c r="E35" i="9"/>
  <c r="C35" i="9"/>
  <c r="S34" i="9"/>
  <c r="M34" i="9"/>
  <c r="N34" i="9" s="1"/>
  <c r="K34" i="9" a="1"/>
  <c r="K34" i="9" s="1"/>
  <c r="E34" i="9"/>
  <c r="C34" i="9"/>
  <c r="S33" i="9"/>
  <c r="M33" i="9"/>
  <c r="N33" i="9" s="1"/>
  <c r="K33" i="9"/>
  <c r="K33" i="9" a="1"/>
  <c r="E33" i="9"/>
  <c r="C33" i="9"/>
  <c r="N32" i="9"/>
  <c r="K32" i="9" a="1"/>
  <c r="K32" i="9" s="1"/>
  <c r="E32" i="9"/>
  <c r="C32" i="9"/>
  <c r="N31" i="9"/>
  <c r="M31" i="9"/>
  <c r="K31" i="9" a="1"/>
  <c r="K31" i="9" s="1"/>
  <c r="E31" i="9"/>
  <c r="C31" i="9"/>
  <c r="S30" i="9"/>
  <c r="M30" i="9"/>
  <c r="N30" i="9" s="1"/>
  <c r="K30" i="9" a="1"/>
  <c r="K30" i="9" s="1"/>
  <c r="E30" i="9"/>
  <c r="C30" i="9"/>
  <c r="S29" i="9"/>
  <c r="N29" i="9"/>
  <c r="K29" i="9" a="1"/>
  <c r="K29" i="9" s="1"/>
  <c r="E29" i="9"/>
  <c r="C29" i="9"/>
  <c r="S28" i="9"/>
  <c r="M28" i="9"/>
  <c r="N28" i="9" s="1"/>
  <c r="K28" i="9" a="1"/>
  <c r="K28" i="9" s="1"/>
  <c r="E28" i="9"/>
  <c r="C28" i="9"/>
  <c r="S27" i="9"/>
  <c r="M27" i="9"/>
  <c r="N27" i="9" s="1"/>
  <c r="K27" i="9"/>
  <c r="K27" i="9" a="1"/>
  <c r="E27" i="9"/>
  <c r="C27" i="9"/>
  <c r="S26" i="9"/>
  <c r="M26" i="9"/>
  <c r="N26" i="9" s="1"/>
  <c r="K26" i="9" a="1"/>
  <c r="K26" i="9" s="1"/>
  <c r="E26" i="9"/>
  <c r="C26" i="9"/>
  <c r="S25" i="9"/>
  <c r="N25" i="9"/>
  <c r="M25" i="9"/>
  <c r="K25" i="9" a="1"/>
  <c r="K25" i="9" s="1"/>
  <c r="E25" i="9"/>
  <c r="C25" i="9"/>
  <c r="N24" i="9"/>
  <c r="M24" i="9"/>
  <c r="K24" i="9"/>
  <c r="K24" i="9" a="1"/>
  <c r="E24" i="9"/>
  <c r="C24" i="9"/>
  <c r="S23" i="9"/>
  <c r="N23" i="9"/>
  <c r="K23" i="9" a="1"/>
  <c r="K23" i="9" s="1"/>
  <c r="E23" i="9"/>
  <c r="C23" i="9"/>
  <c r="S22" i="9"/>
  <c r="M22" i="9"/>
  <c r="N22" i="9" s="1"/>
  <c r="K22" i="9" a="1"/>
  <c r="K22" i="9" s="1"/>
  <c r="E22" i="9"/>
  <c r="C22" i="9"/>
  <c r="S21" i="9"/>
  <c r="M21" i="9"/>
  <c r="N21" i="9" s="1"/>
  <c r="K21" i="9" a="1"/>
  <c r="K21" i="9" s="1"/>
  <c r="E21" i="9"/>
  <c r="C21" i="9"/>
  <c r="S20" i="9"/>
  <c r="M20" i="9"/>
  <c r="N20" i="9" s="1"/>
  <c r="K20" i="9"/>
  <c r="K20" i="9" a="1"/>
  <c r="E20" i="9"/>
  <c r="C20" i="9"/>
  <c r="S19" i="9"/>
  <c r="N19" i="9"/>
  <c r="K19" i="9" a="1"/>
  <c r="K19" i="9" s="1"/>
  <c r="E19" i="9"/>
  <c r="C19" i="9"/>
  <c r="S18" i="9"/>
  <c r="M18" i="9"/>
  <c r="N18" i="9" s="1"/>
  <c r="K18" i="9"/>
  <c r="K18" i="9" a="1"/>
  <c r="E18" i="9"/>
  <c r="C18" i="9"/>
  <c r="S17" i="9"/>
  <c r="M17" i="9"/>
  <c r="N17" i="9" s="1"/>
  <c r="K17" i="9" a="1"/>
  <c r="K17" i="9" s="1"/>
  <c r="E17" i="9"/>
  <c r="C17" i="9"/>
  <c r="S16" i="9"/>
  <c r="N16" i="9"/>
  <c r="M16" i="9"/>
  <c r="K16" i="9" a="1"/>
  <c r="K16" i="9" s="1"/>
  <c r="E16" i="9"/>
  <c r="C16" i="9"/>
  <c r="S15" i="9"/>
  <c r="M15" i="9"/>
  <c r="N15" i="9" s="1"/>
  <c r="K15" i="9" a="1"/>
  <c r="K15" i="9" s="1"/>
  <c r="E15" i="9"/>
  <c r="C15" i="9"/>
  <c r="S14" i="9"/>
  <c r="N14" i="9"/>
  <c r="K14" i="9" a="1"/>
  <c r="K14" i="9" s="1"/>
  <c r="E14" i="9"/>
  <c r="C14" i="9"/>
  <c r="S13" i="9"/>
  <c r="N13" i="9"/>
  <c r="K13" i="9" a="1"/>
  <c r="K13" i="9" s="1"/>
  <c r="E13" i="9"/>
  <c r="C13" i="9"/>
  <c r="S12" i="9"/>
  <c r="M12" i="9"/>
  <c r="N12" i="9" s="1"/>
  <c r="K12" i="9" a="1"/>
  <c r="K12" i="9" s="1"/>
  <c r="E12" i="9"/>
  <c r="C12" i="9"/>
  <c r="N11" i="9"/>
  <c r="M11" i="9"/>
  <c r="K11" i="9" a="1"/>
  <c r="K11" i="9" s="1"/>
  <c r="E11" i="9"/>
  <c r="C11" i="9"/>
  <c r="S10" i="9"/>
  <c r="N10" i="9"/>
  <c r="K10" i="9" a="1"/>
  <c r="K10" i="9" s="1"/>
  <c r="E10" i="9"/>
  <c r="C10" i="9"/>
  <c r="S9" i="9"/>
  <c r="M9" i="9"/>
  <c r="N9" i="9" s="1"/>
  <c r="K9" i="9"/>
  <c r="K9" i="9" a="1"/>
  <c r="E9" i="9"/>
  <c r="C9" i="9"/>
  <c r="S8" i="9"/>
  <c r="M8" i="9"/>
  <c r="N8" i="9" s="1"/>
  <c r="K8" i="9"/>
  <c r="K8" i="9" a="1"/>
  <c r="E8" i="9"/>
  <c r="C8" i="9"/>
  <c r="M7" i="9"/>
  <c r="N7" i="9" s="1"/>
  <c r="K7" i="9"/>
  <c r="K7" i="9" a="1"/>
  <c r="E7" i="9"/>
  <c r="C7" i="9"/>
  <c r="S6" i="9"/>
  <c r="M6" i="9"/>
  <c r="N6" i="9" s="1"/>
  <c r="K6" i="9" a="1"/>
  <c r="K6" i="9" s="1"/>
  <c r="E6" i="9"/>
  <c r="C6" i="9"/>
  <c r="S5" i="9"/>
  <c r="N5" i="9"/>
  <c r="M5" i="9"/>
  <c r="K5" i="9" a="1"/>
  <c r="K5" i="9" s="1"/>
  <c r="E5" i="9"/>
  <c r="C5" i="9"/>
  <c r="S4" i="9"/>
  <c r="M4" i="9"/>
  <c r="N4" i="9" s="1"/>
  <c r="K4" i="9" a="1"/>
  <c r="K4" i="9" s="1"/>
  <c r="E4" i="9"/>
  <c r="C4" i="9"/>
  <c r="S3" i="9"/>
  <c r="M3" i="9"/>
  <c r="N3" i="9" s="1"/>
  <c r="K3" i="9" a="1"/>
  <c r="K3" i="9" s="1"/>
  <c r="E3" i="9"/>
  <c r="C3" i="9"/>
  <c r="N2" i="9"/>
  <c r="M2" i="9"/>
  <c r="K2" i="9" a="1"/>
  <c r="K2" i="9" s="1"/>
  <c r="E2" i="9"/>
  <c r="C2" i="9"/>
  <c r="K2" i="2"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N10" i="2"/>
  <c r="N13" i="2"/>
  <c r="N14" i="2"/>
  <c r="N19" i="2"/>
  <c r="N23" i="2"/>
  <c r="N29" i="2"/>
  <c r="N32" i="2"/>
  <c r="N57" i="2"/>
  <c r="N66" i="2"/>
  <c r="N72" i="2"/>
  <c r="N75" i="2"/>
  <c r="N80" i="2"/>
  <c r="N102" i="2"/>
  <c r="N108" i="2"/>
  <c r="N126" i="2"/>
  <c r="N127" i="2"/>
  <c r="N135" i="2"/>
  <c r="N148" i="2"/>
  <c r="N185" i="2"/>
  <c r="N191" i="2"/>
  <c r="N220" i="2"/>
  <c r="N232" i="2"/>
  <c r="N235" i="2"/>
  <c r="N242" i="2"/>
  <c r="N245" i="2"/>
  <c r="N249" i="2"/>
  <c r="N264" i="2"/>
  <c r="N272" i="2"/>
  <c r="N280" i="2"/>
  <c r="N292" i="2"/>
  <c r="N297" i="2"/>
  <c r="N324" i="2"/>
  <c r="N334" i="2"/>
  <c r="N346" i="2"/>
  <c r="N359" i="2"/>
  <c r="N369" i="2"/>
  <c r="N378" i="2"/>
  <c r="N382" i="2"/>
  <c r="N396" i="2"/>
  <c r="N400" i="2"/>
  <c r="N423" i="2"/>
  <c r="N429" i="2"/>
  <c r="N431" i="2"/>
  <c r="N432" i="2"/>
  <c r="N444" i="2"/>
  <c r="N462" i="2"/>
  <c r="N493" i="2"/>
  <c r="N498" i="2"/>
  <c r="N527" i="2"/>
  <c r="N531" i="2"/>
  <c r="N534" i="2"/>
  <c r="N536" i="2"/>
  <c r="N537" i="2"/>
  <c r="N553" i="2"/>
  <c r="N559" i="2"/>
  <c r="N567" i="2"/>
  <c r="N568" i="2"/>
  <c r="N572" i="2"/>
  <c r="N576" i="2"/>
  <c r="N601" i="2"/>
  <c r="N608" i="2"/>
  <c r="N615" i="2"/>
  <c r="N624" i="2"/>
  <c r="N635" i="2"/>
  <c r="N650" i="2"/>
  <c r="N669" i="2"/>
  <c r="N672" i="2"/>
  <c r="N674" i="2"/>
  <c r="N680" i="2"/>
  <c r="N690" i="2"/>
  <c r="N696" i="2"/>
  <c r="N699" i="2"/>
  <c r="N740" i="2"/>
  <c r="N741" i="2"/>
  <c r="N756" i="2"/>
  <c r="N764" i="2"/>
  <c r="N787" i="2"/>
  <c r="N791" i="2"/>
  <c r="N793" i="2"/>
  <c r="N794" i="2"/>
  <c r="N798" i="2"/>
  <c r="N799" i="2"/>
  <c r="N842" i="2"/>
  <c r="N857" i="2"/>
  <c r="N860" i="2"/>
  <c r="N877" i="2"/>
  <c r="N888" i="2"/>
  <c r="N907" i="2"/>
  <c r="N927" i="2"/>
  <c r="N936" i="2"/>
  <c r="N939" i="2"/>
  <c r="N947" i="2"/>
  <c r="N971" i="2"/>
  <c r="N976" i="2"/>
  <c r="M2" i="2"/>
  <c r="N2" i="2" s="1"/>
  <c r="M3" i="2"/>
  <c r="N3" i="2" s="1"/>
  <c r="M4" i="2"/>
  <c r="N4" i="2" s="1"/>
  <c r="M5" i="2"/>
  <c r="N5" i="2" s="1"/>
  <c r="M6" i="2"/>
  <c r="N6" i="2" s="1"/>
  <c r="M7" i="2"/>
  <c r="N7" i="2" s="1"/>
  <c r="M8" i="2"/>
  <c r="N8" i="2" s="1"/>
  <c r="M9" i="2"/>
  <c r="N9" i="2" s="1"/>
  <c r="M11" i="2"/>
  <c r="N11" i="2" s="1"/>
  <c r="M12" i="2"/>
  <c r="N12" i="2" s="1"/>
  <c r="M15" i="2"/>
  <c r="N15" i="2" s="1"/>
  <c r="M16" i="2"/>
  <c r="N16" i="2" s="1"/>
  <c r="M17" i="2"/>
  <c r="N17" i="2" s="1"/>
  <c r="M18" i="2"/>
  <c r="N18" i="2" s="1"/>
  <c r="M20" i="2"/>
  <c r="N20" i="2" s="1"/>
  <c r="M21" i="2"/>
  <c r="N21" i="2" s="1"/>
  <c r="M22" i="2"/>
  <c r="N22" i="2" s="1"/>
  <c r="M24" i="2"/>
  <c r="N24" i="2" s="1"/>
  <c r="M25" i="2"/>
  <c r="N25" i="2" s="1"/>
  <c r="M26" i="2"/>
  <c r="N26" i="2" s="1"/>
  <c r="M27" i="2"/>
  <c r="N27" i="2" s="1"/>
  <c r="M28" i="2"/>
  <c r="N28" i="2" s="1"/>
  <c r="M30" i="2"/>
  <c r="N30" i="2" s="1"/>
  <c r="M31" i="2"/>
  <c r="N31"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8" i="2"/>
  <c r="N58" i="2" s="1"/>
  <c r="M59" i="2"/>
  <c r="N59" i="2" s="1"/>
  <c r="M60" i="2"/>
  <c r="N60" i="2" s="1"/>
  <c r="M61" i="2"/>
  <c r="N61" i="2" s="1"/>
  <c r="M62" i="2"/>
  <c r="N62" i="2" s="1"/>
  <c r="M63" i="2"/>
  <c r="N63" i="2" s="1"/>
  <c r="M64" i="2"/>
  <c r="N64" i="2" s="1"/>
  <c r="M65" i="2"/>
  <c r="N65" i="2" s="1"/>
  <c r="M67" i="2"/>
  <c r="N67" i="2" s="1"/>
  <c r="M68" i="2"/>
  <c r="N68" i="2" s="1"/>
  <c r="M69" i="2"/>
  <c r="N69" i="2" s="1"/>
  <c r="M70" i="2"/>
  <c r="N70" i="2" s="1"/>
  <c r="M71" i="2"/>
  <c r="N71" i="2" s="1"/>
  <c r="M73" i="2"/>
  <c r="N73" i="2" s="1"/>
  <c r="M74" i="2"/>
  <c r="N74" i="2" s="1"/>
  <c r="M76" i="2"/>
  <c r="N76" i="2" s="1"/>
  <c r="M77" i="2"/>
  <c r="N77" i="2" s="1"/>
  <c r="M78" i="2"/>
  <c r="N78" i="2" s="1"/>
  <c r="M79" i="2"/>
  <c r="N79"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3" i="2"/>
  <c r="N103" i="2" s="1"/>
  <c r="M104" i="2"/>
  <c r="N104" i="2" s="1"/>
  <c r="M105" i="2"/>
  <c r="N105" i="2" s="1"/>
  <c r="M106" i="2"/>
  <c r="N106" i="2" s="1"/>
  <c r="M107" i="2"/>
  <c r="N107"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8" i="2"/>
  <c r="N128" i="2" s="1"/>
  <c r="M129" i="2"/>
  <c r="N129" i="2" s="1"/>
  <c r="M130" i="2"/>
  <c r="N130" i="2" s="1"/>
  <c r="M131" i="2"/>
  <c r="N131" i="2" s="1"/>
  <c r="M132" i="2"/>
  <c r="N132" i="2" s="1"/>
  <c r="M133" i="2"/>
  <c r="N133" i="2" s="1"/>
  <c r="M134" i="2"/>
  <c r="N134"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6" i="2"/>
  <c r="N186" i="2" s="1"/>
  <c r="M187" i="2"/>
  <c r="N187" i="2" s="1"/>
  <c r="M188" i="2"/>
  <c r="N188" i="2" s="1"/>
  <c r="M189" i="2"/>
  <c r="N189" i="2" s="1"/>
  <c r="M190" i="2"/>
  <c r="N190"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3" i="2"/>
  <c r="N233" i="2" s="1"/>
  <c r="M234" i="2"/>
  <c r="N234" i="2" s="1"/>
  <c r="M236" i="2"/>
  <c r="N236" i="2" s="1"/>
  <c r="M237" i="2"/>
  <c r="N237" i="2" s="1"/>
  <c r="M238" i="2"/>
  <c r="N238" i="2" s="1"/>
  <c r="M239" i="2"/>
  <c r="N239" i="2" s="1"/>
  <c r="M240" i="2"/>
  <c r="N240" i="2" s="1"/>
  <c r="M241" i="2"/>
  <c r="N241" i="2" s="1"/>
  <c r="M243" i="2"/>
  <c r="N243" i="2" s="1"/>
  <c r="M244" i="2"/>
  <c r="N244" i="2" s="1"/>
  <c r="M246" i="2"/>
  <c r="N246" i="2" s="1"/>
  <c r="M247" i="2"/>
  <c r="N247" i="2" s="1"/>
  <c r="M248" i="2"/>
  <c r="N248"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5" i="2"/>
  <c r="N265" i="2" s="1"/>
  <c r="M266" i="2"/>
  <c r="N266" i="2" s="1"/>
  <c r="M267" i="2"/>
  <c r="N267" i="2" s="1"/>
  <c r="M268" i="2"/>
  <c r="N268" i="2" s="1"/>
  <c r="M269" i="2"/>
  <c r="N269" i="2" s="1"/>
  <c r="M270" i="2"/>
  <c r="N270" i="2" s="1"/>
  <c r="M271" i="2"/>
  <c r="N271" i="2" s="1"/>
  <c r="M273" i="2"/>
  <c r="N273" i="2" s="1"/>
  <c r="M274" i="2"/>
  <c r="N274" i="2" s="1"/>
  <c r="M275" i="2"/>
  <c r="N275" i="2" s="1"/>
  <c r="M276" i="2"/>
  <c r="N276" i="2" s="1"/>
  <c r="M277" i="2"/>
  <c r="N277" i="2" s="1"/>
  <c r="M278" i="2"/>
  <c r="N278" i="2" s="1"/>
  <c r="M279" i="2"/>
  <c r="N279"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3" i="2"/>
  <c r="N293" i="2" s="1"/>
  <c r="M294" i="2"/>
  <c r="N294" i="2" s="1"/>
  <c r="M295" i="2"/>
  <c r="N295" i="2" s="1"/>
  <c r="M296" i="2"/>
  <c r="N296"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N322" i="2" s="1"/>
  <c r="M323" i="2"/>
  <c r="N323" i="2" s="1"/>
  <c r="M325" i="2"/>
  <c r="N325" i="2" s="1"/>
  <c r="M326" i="2"/>
  <c r="N326" i="2" s="1"/>
  <c r="M327" i="2"/>
  <c r="N327" i="2" s="1"/>
  <c r="M328" i="2"/>
  <c r="N328" i="2" s="1"/>
  <c r="M329" i="2"/>
  <c r="N329" i="2" s="1"/>
  <c r="M330" i="2"/>
  <c r="N330" i="2" s="1"/>
  <c r="M331" i="2"/>
  <c r="N331" i="2" s="1"/>
  <c r="M332" i="2"/>
  <c r="N332" i="2" s="1"/>
  <c r="M333" i="2"/>
  <c r="N333"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60" i="2"/>
  <c r="N360" i="2" s="1"/>
  <c r="M361" i="2"/>
  <c r="N361" i="2" s="1"/>
  <c r="M362" i="2"/>
  <c r="N362" i="2" s="1"/>
  <c r="M363" i="2"/>
  <c r="N363" i="2" s="1"/>
  <c r="M364" i="2"/>
  <c r="N364" i="2" s="1"/>
  <c r="M365" i="2"/>
  <c r="N365" i="2" s="1"/>
  <c r="M366" i="2"/>
  <c r="N366" i="2" s="1"/>
  <c r="M367" i="2"/>
  <c r="N367" i="2" s="1"/>
  <c r="M368" i="2"/>
  <c r="N368" i="2" s="1"/>
  <c r="M370" i="2"/>
  <c r="N370" i="2" s="1"/>
  <c r="M371" i="2"/>
  <c r="N371" i="2" s="1"/>
  <c r="M372" i="2"/>
  <c r="N372" i="2" s="1"/>
  <c r="M373" i="2"/>
  <c r="N373" i="2" s="1"/>
  <c r="M374" i="2"/>
  <c r="N374" i="2" s="1"/>
  <c r="M375" i="2"/>
  <c r="N375" i="2" s="1"/>
  <c r="M376" i="2"/>
  <c r="N376" i="2" s="1"/>
  <c r="M377" i="2"/>
  <c r="N377" i="2" s="1"/>
  <c r="M379" i="2"/>
  <c r="N379" i="2" s="1"/>
  <c r="M380" i="2"/>
  <c r="N380" i="2" s="1"/>
  <c r="M381" i="2"/>
  <c r="N381"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7" i="2"/>
  <c r="N397" i="2" s="1"/>
  <c r="M398" i="2"/>
  <c r="N398" i="2" s="1"/>
  <c r="M399" i="2"/>
  <c r="N399"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4" i="2"/>
  <c r="N424" i="2" s="1"/>
  <c r="M425" i="2"/>
  <c r="N425" i="2" s="1"/>
  <c r="M426" i="2"/>
  <c r="N426" i="2" s="1"/>
  <c r="M427" i="2"/>
  <c r="N427" i="2" s="1"/>
  <c r="M428" i="2"/>
  <c r="N428" i="2" s="1"/>
  <c r="M430" i="2"/>
  <c r="N430"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4" i="2"/>
  <c r="N494" i="2" s="1"/>
  <c r="M495" i="2"/>
  <c r="N495" i="2" s="1"/>
  <c r="M496" i="2"/>
  <c r="N496" i="2" s="1"/>
  <c r="M497" i="2"/>
  <c r="N497"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8" i="2"/>
  <c r="N528" i="2" s="1"/>
  <c r="M529" i="2"/>
  <c r="N529" i="2" s="1"/>
  <c r="M530" i="2"/>
  <c r="N530" i="2" s="1"/>
  <c r="M532" i="2"/>
  <c r="N532" i="2" s="1"/>
  <c r="M533" i="2"/>
  <c r="N533" i="2" s="1"/>
  <c r="M535" i="2"/>
  <c r="N535"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4" i="2"/>
  <c r="N554" i="2" s="1"/>
  <c r="M555" i="2"/>
  <c r="N555" i="2" s="1"/>
  <c r="M556" i="2"/>
  <c r="N556" i="2" s="1"/>
  <c r="M557" i="2"/>
  <c r="N557" i="2" s="1"/>
  <c r="M558" i="2"/>
  <c r="N558" i="2" s="1"/>
  <c r="M560" i="2"/>
  <c r="N560" i="2" s="1"/>
  <c r="M561" i="2"/>
  <c r="N561" i="2" s="1"/>
  <c r="M562" i="2"/>
  <c r="N562" i="2" s="1"/>
  <c r="M563" i="2"/>
  <c r="N563" i="2" s="1"/>
  <c r="M564" i="2"/>
  <c r="N564" i="2" s="1"/>
  <c r="M565" i="2"/>
  <c r="N565" i="2" s="1"/>
  <c r="M566" i="2"/>
  <c r="N566" i="2" s="1"/>
  <c r="M569" i="2"/>
  <c r="N569" i="2" s="1"/>
  <c r="M570" i="2"/>
  <c r="N570" i="2" s="1"/>
  <c r="M571" i="2"/>
  <c r="N571" i="2" s="1"/>
  <c r="M573" i="2"/>
  <c r="N573" i="2" s="1"/>
  <c r="M574" i="2"/>
  <c r="N574" i="2" s="1"/>
  <c r="M575" i="2"/>
  <c r="N575"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2" i="2"/>
  <c r="N602" i="2" s="1"/>
  <c r="M603" i="2"/>
  <c r="N603" i="2" s="1"/>
  <c r="M604" i="2"/>
  <c r="N604" i="2" s="1"/>
  <c r="M605" i="2"/>
  <c r="N605" i="2" s="1"/>
  <c r="M606" i="2"/>
  <c r="N606" i="2" s="1"/>
  <c r="M607" i="2"/>
  <c r="N607" i="2" s="1"/>
  <c r="M609" i="2"/>
  <c r="N609" i="2" s="1"/>
  <c r="M610" i="2"/>
  <c r="N610" i="2" s="1"/>
  <c r="M611" i="2"/>
  <c r="N611" i="2" s="1"/>
  <c r="M612" i="2"/>
  <c r="N612" i="2" s="1"/>
  <c r="M613" i="2"/>
  <c r="N613" i="2" s="1"/>
  <c r="M614" i="2"/>
  <c r="N614" i="2" s="1"/>
  <c r="M616" i="2"/>
  <c r="N616" i="2" s="1"/>
  <c r="M617" i="2"/>
  <c r="N617" i="2" s="1"/>
  <c r="M618" i="2"/>
  <c r="N618" i="2" s="1"/>
  <c r="M619" i="2"/>
  <c r="N619" i="2" s="1"/>
  <c r="M620" i="2"/>
  <c r="N620" i="2" s="1"/>
  <c r="M621" i="2"/>
  <c r="N621" i="2" s="1"/>
  <c r="M622" i="2"/>
  <c r="N622" i="2" s="1"/>
  <c r="M623" i="2"/>
  <c r="N623" i="2" s="1"/>
  <c r="M625" i="2"/>
  <c r="N625" i="2" s="1"/>
  <c r="M626" i="2"/>
  <c r="N626" i="2" s="1"/>
  <c r="M627" i="2"/>
  <c r="N627" i="2" s="1"/>
  <c r="M628" i="2"/>
  <c r="N628" i="2" s="1"/>
  <c r="M629" i="2"/>
  <c r="N629" i="2" s="1"/>
  <c r="M630" i="2"/>
  <c r="N630" i="2" s="1"/>
  <c r="M631" i="2"/>
  <c r="N631" i="2" s="1"/>
  <c r="M632" i="2"/>
  <c r="N632" i="2" s="1"/>
  <c r="M633" i="2"/>
  <c r="N633" i="2" s="1"/>
  <c r="M634" i="2"/>
  <c r="N634"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70" i="2"/>
  <c r="N670" i="2" s="1"/>
  <c r="M671" i="2"/>
  <c r="N671" i="2" s="1"/>
  <c r="M673" i="2"/>
  <c r="N673" i="2" s="1"/>
  <c r="M675" i="2"/>
  <c r="N675" i="2" s="1"/>
  <c r="M676" i="2"/>
  <c r="N676" i="2" s="1"/>
  <c r="M677" i="2"/>
  <c r="N677" i="2" s="1"/>
  <c r="M678" i="2"/>
  <c r="N678" i="2" s="1"/>
  <c r="M679" i="2"/>
  <c r="N679" i="2" s="1"/>
  <c r="M681" i="2"/>
  <c r="N681" i="2" s="1"/>
  <c r="M682" i="2"/>
  <c r="N682" i="2" s="1"/>
  <c r="M683" i="2"/>
  <c r="N683" i="2" s="1"/>
  <c r="M684" i="2"/>
  <c r="N684" i="2" s="1"/>
  <c r="M685" i="2"/>
  <c r="N685" i="2" s="1"/>
  <c r="M686" i="2"/>
  <c r="N686" i="2" s="1"/>
  <c r="M687" i="2"/>
  <c r="N687" i="2" s="1"/>
  <c r="M688" i="2"/>
  <c r="N688" i="2" s="1"/>
  <c r="M689" i="2"/>
  <c r="N689" i="2" s="1"/>
  <c r="M691" i="2"/>
  <c r="N691" i="2" s="1"/>
  <c r="M692" i="2"/>
  <c r="N692" i="2" s="1"/>
  <c r="M693" i="2"/>
  <c r="N693" i="2" s="1"/>
  <c r="M694" i="2"/>
  <c r="N694" i="2" s="1"/>
  <c r="M695" i="2"/>
  <c r="N695" i="2" s="1"/>
  <c r="M697" i="2"/>
  <c r="N697" i="2" s="1"/>
  <c r="M698" i="2"/>
  <c r="N698"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7" i="2"/>
  <c r="N757" i="2" s="1"/>
  <c r="M758" i="2"/>
  <c r="N758" i="2" s="1"/>
  <c r="M759" i="2"/>
  <c r="N759" i="2" s="1"/>
  <c r="M760" i="2"/>
  <c r="N760" i="2" s="1"/>
  <c r="M761" i="2"/>
  <c r="N761" i="2" s="1"/>
  <c r="M762" i="2"/>
  <c r="N762" i="2" s="1"/>
  <c r="M763" i="2"/>
  <c r="N763"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8" i="2"/>
  <c r="N788" i="2" s="1"/>
  <c r="M789" i="2"/>
  <c r="N789" i="2" s="1"/>
  <c r="M790" i="2"/>
  <c r="N790" i="2" s="1"/>
  <c r="M792" i="2"/>
  <c r="N792" i="2" s="1"/>
  <c r="M795" i="2"/>
  <c r="N795" i="2" s="1"/>
  <c r="M796" i="2"/>
  <c r="N796" i="2" s="1"/>
  <c r="M797" i="2"/>
  <c r="N797"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8" i="2"/>
  <c r="N858" i="2" s="1"/>
  <c r="M859" i="2"/>
  <c r="N859"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8" i="2"/>
  <c r="N878" i="2" s="1"/>
  <c r="M879" i="2"/>
  <c r="N879" i="2" s="1"/>
  <c r="M880" i="2"/>
  <c r="N880" i="2" s="1"/>
  <c r="M881" i="2"/>
  <c r="N881" i="2" s="1"/>
  <c r="M882" i="2"/>
  <c r="N882" i="2" s="1"/>
  <c r="M883" i="2"/>
  <c r="N883" i="2" s="1"/>
  <c r="M884" i="2"/>
  <c r="N884" i="2" s="1"/>
  <c r="M885" i="2"/>
  <c r="N885" i="2" s="1"/>
  <c r="M886" i="2"/>
  <c r="N886" i="2" s="1"/>
  <c r="M887" i="2"/>
  <c r="N887"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8" i="2"/>
  <c r="N928" i="2" s="1"/>
  <c r="M929" i="2"/>
  <c r="N929" i="2" s="1"/>
  <c r="M930" i="2"/>
  <c r="N930" i="2" s="1"/>
  <c r="M931" i="2"/>
  <c r="N931" i="2" s="1"/>
  <c r="M932" i="2"/>
  <c r="N932" i="2" s="1"/>
  <c r="M933" i="2"/>
  <c r="N933" i="2" s="1"/>
  <c r="M934" i="2"/>
  <c r="N934" i="2" s="1"/>
  <c r="M935" i="2"/>
  <c r="N935" i="2" s="1"/>
  <c r="M937" i="2"/>
  <c r="N937" i="2" s="1"/>
  <c r="M938" i="2"/>
  <c r="N938" i="2" s="1"/>
  <c r="M940" i="2"/>
  <c r="N940" i="2" s="1"/>
  <c r="M941" i="2"/>
  <c r="N941" i="2" s="1"/>
  <c r="M942" i="2"/>
  <c r="N942" i="2" s="1"/>
  <c r="M943" i="2"/>
  <c r="N943" i="2" s="1"/>
  <c r="M944" i="2"/>
  <c r="N944" i="2" s="1"/>
  <c r="M945" i="2"/>
  <c r="N945" i="2" s="1"/>
  <c r="M946" i="2"/>
  <c r="N946"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2" i="2"/>
  <c r="N972" i="2" s="1"/>
  <c r="M973" i="2"/>
  <c r="N973" i="2" s="1"/>
  <c r="M974" i="2"/>
  <c r="N974" i="2" s="1"/>
  <c r="M975" i="2"/>
  <c r="N975"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N996" i="2" s="1"/>
  <c r="M997" i="2"/>
  <c r="N997" i="2" s="1"/>
  <c r="M998" i="2"/>
  <c r="N998" i="2" s="1"/>
  <c r="M999" i="2"/>
  <c r="N999" i="2" s="1"/>
  <c r="M1000" i="2"/>
  <c r="N1000" i="2" s="1"/>
  <c r="M1001" i="2"/>
  <c r="N1001" i="2" s="1"/>
  <c r="S1001" i="2"/>
  <c r="S1000" i="2"/>
  <c r="S998" i="2"/>
  <c r="S995" i="2"/>
  <c r="S992" i="2"/>
  <c r="S990" i="2"/>
  <c r="S988" i="2"/>
  <c r="S985" i="2"/>
  <c r="S962" i="2"/>
  <c r="S956" i="2"/>
  <c r="S955" i="2"/>
  <c r="S940" i="2"/>
  <c r="S936" i="2"/>
  <c r="S928" i="2"/>
  <c r="S908" i="2"/>
  <c r="S907" i="2"/>
  <c r="S901" i="2"/>
  <c r="S896" i="2"/>
  <c r="S893" i="2"/>
  <c r="S892" i="2"/>
  <c r="S860" i="2"/>
  <c r="S852" i="2"/>
  <c r="S839" i="2"/>
  <c r="S835" i="2"/>
  <c r="S830" i="2"/>
  <c r="S825" i="2"/>
  <c r="S804" i="2"/>
  <c r="S803" i="2"/>
  <c r="S798" i="2"/>
  <c r="S790" i="2"/>
  <c r="S786" i="2"/>
  <c r="S784" i="2"/>
  <c r="S751" i="2"/>
  <c r="S750" i="2"/>
  <c r="S749" i="2"/>
  <c r="S747" i="2"/>
  <c r="S730" i="2"/>
  <c r="S727" i="2"/>
  <c r="S726" i="2"/>
  <c r="S710" i="2"/>
  <c r="S704" i="2"/>
  <c r="S703" i="2"/>
  <c r="S686" i="2"/>
  <c r="S684" i="2"/>
  <c r="S675" i="2"/>
  <c r="S670" i="2"/>
  <c r="S662" i="2"/>
  <c r="S655" i="2"/>
  <c r="S652" i="2"/>
  <c r="S651" i="2"/>
  <c r="S635" i="2"/>
  <c r="S631" i="2"/>
  <c r="S628" i="2"/>
  <c r="S627" i="2"/>
  <c r="S605" i="2"/>
  <c r="S603" i="2"/>
  <c r="S596" i="2"/>
  <c r="S595" i="2"/>
  <c r="S581" i="2"/>
  <c r="S552" i="2"/>
  <c r="S547" i="2"/>
  <c r="S539" i="2"/>
  <c r="S532" i="2"/>
  <c r="S518" i="2"/>
  <c r="S515" i="2"/>
  <c r="S482" i="2"/>
  <c r="S477" i="2"/>
  <c r="S471" i="2"/>
  <c r="S468" i="2"/>
  <c r="S467" i="2"/>
  <c r="S448" i="2"/>
  <c r="S445" i="2"/>
  <c r="S444" i="2"/>
  <c r="S419" i="2"/>
  <c r="S406" i="2"/>
  <c r="S397" i="2"/>
  <c r="S381" i="2"/>
  <c r="S378" i="2"/>
  <c r="S368" i="2"/>
  <c r="S365" i="2"/>
  <c r="S357" i="2"/>
  <c r="S351" i="2"/>
  <c r="S349" i="2"/>
  <c r="S337" i="2"/>
  <c r="S328" i="2"/>
  <c r="S313" i="2"/>
  <c r="S291" i="2"/>
  <c r="S280" i="2"/>
  <c r="S271" i="2"/>
  <c r="S261" i="2"/>
  <c r="S260" i="2"/>
  <c r="S253" i="2"/>
  <c r="S248" i="2"/>
  <c r="S247" i="2"/>
  <c r="S231" i="2"/>
  <c r="S212" i="2"/>
  <c r="S210" i="2"/>
  <c r="S206" i="2"/>
  <c r="S202" i="2"/>
  <c r="S170" i="2"/>
  <c r="S157" i="2"/>
  <c r="S146" i="2"/>
  <c r="S139" i="2"/>
  <c r="S132" i="2"/>
  <c r="S123" i="2"/>
  <c r="S111" i="2"/>
  <c r="S103" i="2"/>
  <c r="S99" i="2"/>
  <c r="S83" i="2"/>
  <c r="S78" i="2"/>
  <c r="S75" i="2"/>
  <c r="S67" i="2"/>
  <c r="S35" i="2"/>
  <c r="S26" i="2"/>
  <c r="S281" i="2"/>
  <c r="S282" i="2"/>
  <c r="S283" i="2"/>
  <c r="S284" i="2"/>
  <c r="S999" i="2"/>
  <c r="S997" i="2"/>
  <c r="S996" i="2"/>
  <c r="S994" i="2"/>
  <c r="S993" i="2"/>
  <c r="S991" i="2"/>
  <c r="S989" i="2"/>
  <c r="S987" i="2"/>
  <c r="S986" i="2"/>
  <c r="S984" i="2"/>
  <c r="S983" i="2"/>
  <c r="S981" i="2"/>
  <c r="S980" i="2"/>
  <c r="S979" i="2"/>
  <c r="S977" i="2"/>
  <c r="S976" i="2"/>
  <c r="S975" i="2"/>
  <c r="S974" i="2"/>
  <c r="S973" i="2"/>
  <c r="S972" i="2"/>
  <c r="S971" i="2"/>
  <c r="S969" i="2"/>
  <c r="S968" i="2"/>
  <c r="S967" i="2"/>
  <c r="S965" i="2"/>
  <c r="S964" i="2"/>
  <c r="S963" i="2"/>
  <c r="S960" i="2"/>
  <c r="S959" i="2"/>
  <c r="S958" i="2"/>
  <c r="S957" i="2"/>
  <c r="S954" i="2"/>
  <c r="S953" i="2"/>
  <c r="S952" i="2"/>
  <c r="S951" i="2"/>
  <c r="S950" i="2"/>
  <c r="S949" i="2"/>
  <c r="S948" i="2"/>
  <c r="S947" i="2"/>
  <c r="S946" i="2"/>
  <c r="S945" i="2"/>
  <c r="S944" i="2"/>
  <c r="S943" i="2"/>
  <c r="S941" i="2"/>
  <c r="S939" i="2"/>
  <c r="S938" i="2"/>
  <c r="S937" i="2"/>
  <c r="S935" i="2"/>
  <c r="S934" i="2"/>
  <c r="S933" i="2"/>
  <c r="S932" i="2"/>
  <c r="S931" i="2"/>
  <c r="S930" i="2"/>
  <c r="S927" i="2"/>
  <c r="S926" i="2"/>
  <c r="S923" i="2"/>
  <c r="S922" i="2"/>
  <c r="S921" i="2"/>
  <c r="S919" i="2"/>
  <c r="S918" i="2"/>
  <c r="S917" i="2"/>
  <c r="S916" i="2"/>
  <c r="S915" i="2"/>
  <c r="S914" i="2"/>
  <c r="S911" i="2"/>
  <c r="S910" i="2"/>
  <c r="S909" i="2"/>
  <c r="S906" i="2"/>
  <c r="S903" i="2"/>
  <c r="S902" i="2"/>
  <c r="S898" i="2"/>
  <c r="S897" i="2"/>
  <c r="S895" i="2"/>
  <c r="S894" i="2"/>
  <c r="S890" i="2"/>
  <c r="S889" i="2"/>
  <c r="S888" i="2"/>
  <c r="S887" i="2"/>
  <c r="S886" i="2"/>
  <c r="S885" i="2"/>
  <c r="S884" i="2"/>
  <c r="S883" i="2"/>
  <c r="S880" i="2"/>
  <c r="S878" i="2"/>
  <c r="S877" i="2"/>
  <c r="S876" i="2"/>
  <c r="S875" i="2"/>
  <c r="S873" i="2"/>
  <c r="S872" i="2"/>
  <c r="S871" i="2"/>
  <c r="S870" i="2"/>
  <c r="S868" i="2"/>
  <c r="S867" i="2"/>
  <c r="S866" i="2"/>
  <c r="S865" i="2"/>
  <c r="S864" i="2"/>
  <c r="S863" i="2"/>
  <c r="S862" i="2"/>
  <c r="S861" i="2"/>
  <c r="S859" i="2"/>
  <c r="S858" i="2"/>
  <c r="S857" i="2"/>
  <c r="S854" i="2"/>
  <c r="S851" i="2"/>
  <c r="S849" i="2"/>
  <c r="S847" i="2"/>
  <c r="S846" i="2"/>
  <c r="S845" i="2"/>
  <c r="S843" i="2"/>
  <c r="S842" i="2"/>
  <c r="S841" i="2"/>
  <c r="S840" i="2"/>
  <c r="S838" i="2"/>
  <c r="S836" i="2"/>
  <c r="S834" i="2"/>
  <c r="S833" i="2"/>
  <c r="S832" i="2"/>
  <c r="S829" i="2"/>
  <c r="S828" i="2"/>
  <c r="S827" i="2"/>
  <c r="S826" i="2"/>
  <c r="S824" i="2"/>
  <c r="S823" i="2"/>
  <c r="S822" i="2"/>
  <c r="S821" i="2"/>
  <c r="S819" i="2"/>
  <c r="S818" i="2"/>
  <c r="S817" i="2"/>
  <c r="S816" i="2"/>
  <c r="S815" i="2"/>
  <c r="S814" i="2"/>
  <c r="S813" i="2"/>
  <c r="S812" i="2"/>
  <c r="S810" i="2"/>
  <c r="S808" i="2"/>
  <c r="S807" i="2"/>
  <c r="S806" i="2"/>
  <c r="S805" i="2"/>
  <c r="S802" i="2"/>
  <c r="S801" i="2"/>
  <c r="S800" i="2"/>
  <c r="S799" i="2"/>
  <c r="S797" i="2"/>
  <c r="S795" i="2"/>
  <c r="S794" i="2"/>
  <c r="S793" i="2"/>
  <c r="S792" i="2"/>
  <c r="S791" i="2"/>
  <c r="S789" i="2"/>
  <c r="S788" i="2"/>
  <c r="S787" i="2"/>
  <c r="S785" i="2"/>
  <c r="S782" i="2"/>
  <c r="S781" i="2"/>
  <c r="S780" i="2"/>
  <c r="S779" i="2"/>
  <c r="S778" i="2"/>
  <c r="S777" i="2"/>
  <c r="S776" i="2"/>
  <c r="S775" i="2"/>
  <c r="S774" i="2"/>
  <c r="S773" i="2"/>
  <c r="S772" i="2"/>
  <c r="S771" i="2"/>
  <c r="S769" i="2"/>
  <c r="S768" i="2"/>
  <c r="S767" i="2"/>
  <c r="S766" i="2"/>
  <c r="S765" i="2"/>
  <c r="S764" i="2"/>
  <c r="S763" i="2"/>
  <c r="S762" i="2"/>
  <c r="S761" i="2"/>
  <c r="S760" i="2"/>
  <c r="S759" i="2"/>
  <c r="S757" i="2"/>
  <c r="S756" i="2"/>
  <c r="S755" i="2"/>
  <c r="S754" i="2"/>
  <c r="S753" i="2"/>
  <c r="S752" i="2"/>
  <c r="S748" i="2"/>
  <c r="S746" i="2"/>
  <c r="S745" i="2"/>
  <c r="S743" i="2"/>
  <c r="S742" i="2"/>
  <c r="S741" i="2"/>
  <c r="S740" i="2"/>
  <c r="S739" i="2"/>
  <c r="S738" i="2"/>
  <c r="S737" i="2"/>
  <c r="S736" i="2"/>
  <c r="S735" i="2"/>
  <c r="S734" i="2"/>
  <c r="S733" i="2"/>
  <c r="S732" i="2"/>
  <c r="S731" i="2"/>
  <c r="S729" i="2"/>
  <c r="S728" i="2"/>
  <c r="S725" i="2"/>
  <c r="S722" i="2"/>
  <c r="S716" i="2"/>
  <c r="S713" i="2"/>
  <c r="S712" i="2"/>
  <c r="S708" i="2"/>
  <c r="S707" i="2"/>
  <c r="S706" i="2"/>
  <c r="S705" i="2"/>
  <c r="S702" i="2"/>
  <c r="S701" i="2"/>
  <c r="S700" i="2"/>
  <c r="S699" i="2"/>
  <c r="S698" i="2"/>
  <c r="S697" i="2"/>
  <c r="S696" i="2"/>
  <c r="S694" i="2"/>
  <c r="S693" i="2"/>
  <c r="S692" i="2"/>
  <c r="S690" i="2"/>
  <c r="S689" i="2"/>
  <c r="S688" i="2"/>
  <c r="S687" i="2"/>
  <c r="S685" i="2"/>
  <c r="S683" i="2"/>
  <c r="S682" i="2"/>
  <c r="S681" i="2"/>
  <c r="S679" i="2"/>
  <c r="S678" i="2"/>
  <c r="S677" i="2"/>
  <c r="S674" i="2"/>
  <c r="S673" i="2"/>
  <c r="S672" i="2"/>
  <c r="S671" i="2"/>
  <c r="S669" i="2"/>
  <c r="S667" i="2"/>
  <c r="S666" i="2"/>
  <c r="S665" i="2"/>
  <c r="S661" i="2"/>
  <c r="S660" i="2"/>
  <c r="S659" i="2"/>
  <c r="S658" i="2"/>
  <c r="S657" i="2"/>
  <c r="S656" i="2"/>
  <c r="S654" i="2"/>
  <c r="S650" i="2"/>
  <c r="S649" i="2"/>
  <c r="S648" i="2"/>
  <c r="S647" i="2"/>
  <c r="S646" i="2"/>
  <c r="S644" i="2"/>
  <c r="S643" i="2"/>
  <c r="S642" i="2"/>
  <c r="S641" i="2"/>
  <c r="S640" i="2"/>
  <c r="S639" i="2"/>
  <c r="S638" i="2"/>
  <c r="S637" i="2"/>
  <c r="S636" i="2"/>
  <c r="S632" i="2"/>
  <c r="S630" i="2"/>
  <c r="S629" i="2"/>
  <c r="S626" i="2"/>
  <c r="S625" i="2"/>
  <c r="S624" i="2"/>
  <c r="S622" i="2"/>
  <c r="S621" i="2"/>
  <c r="S620" i="2"/>
  <c r="S619" i="2"/>
  <c r="S618" i="2"/>
  <c r="S617" i="2"/>
  <c r="S616" i="2"/>
  <c r="S614" i="2"/>
  <c r="S612" i="2"/>
  <c r="S611" i="2"/>
  <c r="S610" i="2"/>
  <c r="S608" i="2"/>
  <c r="S607" i="2"/>
  <c r="S606" i="2"/>
  <c r="S604" i="2"/>
  <c r="S602" i="2"/>
  <c r="S601" i="2"/>
  <c r="S599" i="2"/>
  <c r="S598" i="2"/>
  <c r="S597" i="2"/>
  <c r="S594" i="2"/>
  <c r="S592" i="2"/>
  <c r="S590" i="2"/>
  <c r="S587" i="2"/>
  <c r="S586" i="2"/>
  <c r="S585" i="2"/>
  <c r="S583" i="2"/>
  <c r="S582" i="2"/>
  <c r="S580" i="2"/>
  <c r="S579" i="2"/>
  <c r="S578" i="2"/>
  <c r="S577" i="2"/>
  <c r="S576" i="2"/>
  <c r="S575" i="2"/>
  <c r="S574" i="2"/>
  <c r="S572" i="2"/>
  <c r="S571" i="2"/>
  <c r="S570" i="2"/>
  <c r="S569" i="2"/>
  <c r="S568" i="2"/>
  <c r="S567" i="2"/>
  <c r="S565" i="2"/>
  <c r="S564" i="2"/>
  <c r="S563" i="2"/>
  <c r="S562" i="2"/>
  <c r="S561" i="2"/>
  <c r="S560" i="2"/>
  <c r="S558" i="2"/>
  <c r="S556" i="2"/>
  <c r="S554" i="2"/>
  <c r="S553" i="2"/>
  <c r="S551" i="2"/>
  <c r="S550" i="2"/>
  <c r="S549" i="2"/>
  <c r="S548" i="2"/>
  <c r="S546" i="2"/>
  <c r="S545" i="2"/>
  <c r="S544" i="2"/>
  <c r="S543" i="2"/>
  <c r="S541" i="2"/>
  <c r="S540" i="2"/>
  <c r="S538" i="2"/>
  <c r="S537" i="2"/>
  <c r="S536" i="2"/>
  <c r="S535" i="2"/>
  <c r="S533" i="2"/>
  <c r="S531" i="2"/>
  <c r="S530" i="2"/>
  <c r="S528" i="2"/>
  <c r="S527" i="2"/>
  <c r="S526" i="2"/>
  <c r="S525" i="2"/>
  <c r="S524" i="2"/>
  <c r="S523" i="2"/>
  <c r="S521" i="2"/>
  <c r="S520" i="2"/>
  <c r="S519" i="2"/>
  <c r="S517" i="2"/>
  <c r="S514" i="2"/>
  <c r="S513" i="2"/>
  <c r="S512" i="2"/>
  <c r="S511" i="2"/>
  <c r="S510" i="2"/>
  <c r="S508" i="2"/>
  <c r="S507" i="2"/>
  <c r="S506" i="2"/>
  <c r="S505" i="2"/>
  <c r="S504" i="2"/>
  <c r="S503" i="2"/>
  <c r="S502" i="2"/>
  <c r="S501" i="2"/>
  <c r="S500" i="2"/>
  <c r="S499" i="2"/>
  <c r="S498" i="2"/>
  <c r="S497" i="2"/>
  <c r="S496" i="2"/>
  <c r="S495" i="2"/>
  <c r="S494" i="2"/>
  <c r="S492" i="2"/>
  <c r="S491" i="2"/>
  <c r="S490" i="2"/>
  <c r="S488" i="2"/>
  <c r="S486" i="2"/>
  <c r="S485" i="2"/>
  <c r="S484" i="2"/>
  <c r="S483" i="2"/>
  <c r="S480" i="2"/>
  <c r="S476" i="2"/>
  <c r="S473" i="2"/>
  <c r="S472" i="2"/>
  <c r="S470" i="2"/>
  <c r="S469" i="2"/>
  <c r="S465" i="2"/>
  <c r="S464" i="2"/>
  <c r="S463" i="2"/>
  <c r="S462" i="2"/>
  <c r="S461" i="2"/>
  <c r="S459" i="2"/>
  <c r="S457" i="2"/>
  <c r="S455" i="2"/>
  <c r="S453" i="2"/>
  <c r="S452" i="2"/>
  <c r="S451" i="2"/>
  <c r="S450" i="2"/>
  <c r="S449" i="2"/>
  <c r="S446" i="2"/>
  <c r="S443" i="2"/>
  <c r="S442" i="2"/>
  <c r="S441" i="2"/>
  <c r="S440" i="2"/>
  <c r="S439" i="2"/>
  <c r="S438" i="2"/>
  <c r="S437" i="2"/>
  <c r="S436" i="2"/>
  <c r="S435" i="2"/>
  <c r="S434" i="2"/>
  <c r="S432" i="2"/>
  <c r="S431" i="2"/>
  <c r="S430" i="2"/>
  <c r="S429" i="2"/>
  <c r="S428" i="2"/>
  <c r="S427" i="2"/>
  <c r="S424" i="2"/>
  <c r="S423" i="2"/>
  <c r="S422" i="2"/>
  <c r="S421" i="2"/>
  <c r="S420" i="2"/>
  <c r="S418" i="2"/>
  <c r="S417" i="2"/>
  <c r="S415" i="2"/>
  <c r="S413" i="2"/>
  <c r="S412" i="2"/>
  <c r="S411" i="2"/>
  <c r="S410" i="2"/>
  <c r="S409" i="2"/>
  <c r="S408" i="2"/>
  <c r="S407" i="2"/>
  <c r="S405" i="2"/>
  <c r="S404" i="2"/>
  <c r="S403" i="2"/>
  <c r="S402" i="2"/>
  <c r="S401" i="2"/>
  <c r="S400" i="2"/>
  <c r="S399" i="2"/>
  <c r="S398" i="2"/>
  <c r="S394" i="2"/>
  <c r="S393" i="2"/>
  <c r="S391" i="2"/>
  <c r="S390" i="2"/>
  <c r="S388" i="2"/>
  <c r="S387" i="2"/>
  <c r="S386" i="2"/>
  <c r="S385" i="2"/>
  <c r="S384" i="2"/>
  <c r="S383" i="2"/>
  <c r="S382" i="2"/>
  <c r="S380" i="2"/>
  <c r="S379" i="2"/>
  <c r="S377" i="2"/>
  <c r="S376" i="2"/>
  <c r="S374" i="2"/>
  <c r="S373" i="2"/>
  <c r="S372" i="2"/>
  <c r="S370" i="2"/>
  <c r="S367" i="2"/>
  <c r="S364" i="2"/>
  <c r="S363" i="2"/>
  <c r="S362" i="2"/>
  <c r="S361" i="2"/>
  <c r="S360" i="2"/>
  <c r="S359" i="2"/>
  <c r="S358" i="2"/>
  <c r="S356" i="2"/>
  <c r="S355" i="2"/>
  <c r="S354" i="2"/>
  <c r="S353" i="2"/>
  <c r="S352" i="2"/>
  <c r="S348" i="2"/>
  <c r="S347" i="2"/>
  <c r="S346" i="2"/>
  <c r="S345" i="2"/>
  <c r="S343" i="2"/>
  <c r="S340" i="2"/>
  <c r="S339" i="2"/>
  <c r="S338" i="2"/>
  <c r="S336" i="2"/>
  <c r="S334" i="2"/>
  <c r="S333" i="2"/>
  <c r="S332" i="2"/>
  <c r="S331" i="2"/>
  <c r="S330" i="2"/>
  <c r="S327" i="2"/>
  <c r="S326" i="2"/>
  <c r="S325" i="2"/>
  <c r="S324" i="2"/>
  <c r="S321" i="2"/>
  <c r="S319" i="2"/>
  <c r="S317" i="2"/>
  <c r="S316" i="2"/>
  <c r="S315" i="2"/>
  <c r="S314" i="2"/>
  <c r="S311" i="2"/>
  <c r="S310" i="2"/>
  <c r="S309" i="2"/>
  <c r="S308" i="2"/>
  <c r="S307" i="2"/>
  <c r="S305" i="2"/>
  <c r="S304" i="2"/>
  <c r="S303" i="2"/>
  <c r="S302" i="2"/>
  <c r="S301" i="2"/>
  <c r="S300" i="2"/>
  <c r="S299" i="2"/>
  <c r="S298" i="2"/>
  <c r="S297" i="2"/>
  <c r="S296" i="2"/>
  <c r="S294" i="2"/>
  <c r="S293" i="2"/>
  <c r="S292" i="2"/>
  <c r="S290" i="2"/>
  <c r="S289" i="2"/>
  <c r="S288" i="2"/>
  <c r="S285" i="2"/>
  <c r="S279" i="2"/>
  <c r="S278" i="2"/>
  <c r="S277" i="2"/>
  <c r="S276" i="2"/>
  <c r="S275" i="2"/>
  <c r="S274" i="2"/>
  <c r="S273" i="2"/>
  <c r="S272" i="2"/>
  <c r="S270" i="2"/>
  <c r="S268" i="2"/>
  <c r="S267" i="2"/>
  <c r="S266" i="2"/>
  <c r="S265" i="2"/>
  <c r="S264" i="2"/>
  <c r="S263" i="2"/>
  <c r="S262" i="2"/>
  <c r="S259" i="2"/>
  <c r="S258" i="2"/>
  <c r="S257" i="2"/>
  <c r="S256" i="2"/>
  <c r="S254" i="2"/>
  <c r="S252" i="2"/>
  <c r="S250" i="2"/>
  <c r="S246" i="2"/>
  <c r="S245" i="2"/>
  <c r="S244" i="2"/>
  <c r="S243" i="2"/>
  <c r="S240" i="2"/>
  <c r="S239" i="2"/>
  <c r="S238" i="2"/>
  <c r="S234" i="2"/>
  <c r="S233" i="2"/>
  <c r="S230" i="2"/>
  <c r="S229" i="2"/>
  <c r="S228" i="2"/>
  <c r="S226" i="2"/>
  <c r="S225" i="2"/>
  <c r="S224" i="2"/>
  <c r="S223" i="2"/>
  <c r="S220" i="2"/>
  <c r="S219" i="2"/>
  <c r="S218" i="2"/>
  <c r="S217" i="2"/>
  <c r="S216" i="2"/>
  <c r="S215" i="2"/>
  <c r="S214" i="2"/>
  <c r="S213" i="2"/>
  <c r="S211" i="2"/>
  <c r="S209" i="2"/>
  <c r="S208" i="2"/>
  <c r="S207" i="2"/>
  <c r="S205" i="2"/>
  <c r="S204" i="2"/>
  <c r="S203" i="2"/>
  <c r="S201" i="2"/>
  <c r="S200" i="2"/>
  <c r="S199" i="2"/>
  <c r="S197" i="2"/>
  <c r="S196" i="2"/>
  <c r="S195" i="2"/>
  <c r="S194" i="2"/>
  <c r="S193" i="2"/>
  <c r="S192" i="2"/>
  <c r="S190" i="2"/>
  <c r="S189" i="2"/>
  <c r="S187" i="2"/>
  <c r="S186" i="2"/>
  <c r="S185" i="2"/>
  <c r="S184" i="2"/>
  <c r="S183" i="2"/>
  <c r="S182" i="2"/>
  <c r="S181" i="2"/>
  <c r="S180" i="2"/>
  <c r="S179" i="2"/>
  <c r="S178" i="2"/>
  <c r="S177" i="2"/>
  <c r="S176" i="2"/>
  <c r="S175" i="2"/>
  <c r="S173" i="2"/>
  <c r="S172" i="2"/>
  <c r="S171" i="2"/>
  <c r="S169" i="2"/>
  <c r="S168" i="2"/>
  <c r="S167" i="2"/>
  <c r="S166" i="2"/>
  <c r="S165" i="2"/>
  <c r="S163" i="2"/>
  <c r="S162" i="2"/>
  <c r="S161" i="2"/>
  <c r="S160" i="2"/>
  <c r="S159" i="2"/>
  <c r="S156" i="2"/>
  <c r="S155" i="2"/>
  <c r="S153" i="2"/>
  <c r="S150" i="2"/>
  <c r="S149" i="2"/>
  <c r="S148" i="2"/>
  <c r="S147" i="2"/>
  <c r="S145" i="2"/>
  <c r="S144" i="2"/>
  <c r="S143" i="2"/>
  <c r="S142" i="2"/>
  <c r="S141" i="2"/>
  <c r="S138" i="2"/>
  <c r="S137" i="2"/>
  <c r="S136" i="2"/>
  <c r="S135" i="2"/>
  <c r="S134" i="2"/>
  <c r="S133" i="2"/>
  <c r="S131" i="2"/>
  <c r="S130" i="2"/>
  <c r="S129" i="2"/>
  <c r="S128" i="2"/>
  <c r="S127" i="2"/>
  <c r="S126" i="2"/>
  <c r="S124" i="2"/>
  <c r="S121" i="2"/>
  <c r="S119" i="2"/>
  <c r="S118" i="2"/>
  <c r="S117" i="2"/>
  <c r="S114" i="2"/>
  <c r="S112" i="2"/>
  <c r="S110" i="2"/>
  <c r="S109" i="2"/>
  <c r="S107" i="2"/>
  <c r="S106" i="2"/>
  <c r="S105" i="2"/>
  <c r="S104" i="2"/>
  <c r="S102" i="2"/>
  <c r="S101" i="2"/>
  <c r="S100" i="2"/>
  <c r="S98" i="2"/>
  <c r="S97" i="2"/>
  <c r="S96" i="2"/>
  <c r="S95" i="2"/>
  <c r="S94" i="2"/>
  <c r="S93" i="2"/>
  <c r="S92" i="2"/>
  <c r="S91" i="2"/>
  <c r="S89" i="2"/>
  <c r="S87" i="2"/>
  <c r="S85" i="2"/>
  <c r="S84" i="2"/>
  <c r="S82" i="2"/>
  <c r="S80" i="2"/>
  <c r="S77" i="2"/>
  <c r="S74" i="2"/>
  <c r="S72" i="2"/>
  <c r="S71" i="2"/>
  <c r="S68" i="2"/>
  <c r="S66" i="2"/>
  <c r="S65" i="2"/>
  <c r="S64" i="2"/>
  <c r="S61" i="2"/>
  <c r="S60" i="2"/>
  <c r="S59" i="2"/>
  <c r="S58" i="2"/>
  <c r="S57" i="2"/>
  <c r="S56" i="2"/>
  <c r="S55" i="2"/>
  <c r="S54" i="2"/>
  <c r="S52" i="2"/>
  <c r="S51" i="2"/>
  <c r="S49" i="2"/>
  <c r="S48" i="2"/>
  <c r="S47" i="2"/>
  <c r="S46" i="2"/>
  <c r="S45" i="2"/>
  <c r="S43" i="2"/>
  <c r="S41" i="2"/>
  <c r="S39" i="2"/>
  <c r="S38" i="2"/>
  <c r="S36" i="2"/>
  <c r="S34" i="2"/>
  <c r="S33" i="2"/>
  <c r="S30" i="2"/>
  <c r="S29" i="2"/>
  <c r="S28" i="2"/>
  <c r="S27" i="2"/>
  <c r="S25" i="2"/>
  <c r="S23" i="2"/>
  <c r="S22" i="2"/>
  <c r="S21" i="2"/>
  <c r="S20" i="2"/>
  <c r="S19" i="2"/>
  <c r="S18" i="2"/>
  <c r="S17" i="2"/>
  <c r="S16" i="2"/>
  <c r="S15" i="2"/>
  <c r="S14" i="2"/>
  <c r="S13" i="2"/>
  <c r="S12" i="2"/>
  <c r="S10" i="2"/>
  <c r="S9" i="2"/>
  <c r="S8" i="2"/>
  <c r="S6" i="2"/>
  <c r="S5" i="2"/>
  <c r="S4" i="2"/>
  <c r="S3" i="2"/>
  <c r="C48" i="2"/>
  <c r="C3"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3" i="2"/>
  <c r="E4" i="2"/>
  <c r="E5" i="2"/>
  <c r="E6" i="2"/>
  <c r="E7" i="2"/>
  <c r="E8" i="2"/>
  <c r="E9" i="2"/>
  <c r="E10" i="2"/>
  <c r="E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0" i="2"/>
  <c r="C879"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2" i="2"/>
  <c r="C461" i="2"/>
  <c r="C460" i="2"/>
  <c r="C459" i="2"/>
  <c r="C458" i="2"/>
  <c r="C457" i="2"/>
  <c r="C456" i="2"/>
  <c r="C455" i="2"/>
  <c r="C453" i="2"/>
  <c r="C452" i="2"/>
  <c r="C451" i="2"/>
  <c r="C450" i="2"/>
  <c r="C449" i="2"/>
  <c r="C448" i="2"/>
  <c r="C447" i="2"/>
  <c r="C446" i="2"/>
  <c r="C445" i="2"/>
  <c r="C444" i="2"/>
  <c r="C443" i="2"/>
  <c r="C442" i="2"/>
  <c r="C441" i="2"/>
  <c r="C440" i="2"/>
  <c r="C439" i="2"/>
  <c r="C438" i="2"/>
  <c r="C437" i="2"/>
  <c r="C436" i="2"/>
  <c r="C435" i="2"/>
  <c r="C434"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0"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3" i="2"/>
  <c r="C282" i="2"/>
  <c r="C281" i="2"/>
  <c r="C280" i="2"/>
  <c r="C279" i="2"/>
  <c r="C278" i="2"/>
  <c r="C277" i="2"/>
  <c r="C276"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3" i="2"/>
  <c r="C232" i="2"/>
  <c r="C231" i="2"/>
  <c r="C230" i="2"/>
  <c r="C229" i="2"/>
  <c r="C228" i="2"/>
  <c r="C227" i="2"/>
  <c r="C226" i="2"/>
  <c r="C225" i="2"/>
  <c r="C224" i="2"/>
  <c r="C223" i="2"/>
  <c r="C222" i="2"/>
  <c r="C221" i="2"/>
  <c r="C220" i="2"/>
  <c r="C219" i="2"/>
  <c r="C218" i="2"/>
  <c r="C217" i="2"/>
  <c r="C216" i="2"/>
  <c r="C215" i="2"/>
  <c r="C214" i="2"/>
  <c r="C213" i="2"/>
  <c r="C212" i="2"/>
  <c r="C211"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965" i="2"/>
  <c r="C924" i="2"/>
  <c r="C881" i="2"/>
  <c r="C878" i="2"/>
  <c r="C810" i="2"/>
  <c r="C602" i="2"/>
  <c r="C463" i="2"/>
  <c r="C454" i="2"/>
  <c r="C433" i="2"/>
  <c r="C401" i="2"/>
  <c r="C399" i="2"/>
  <c r="C348" i="2"/>
  <c r="C311" i="2"/>
  <c r="C284" i="2"/>
  <c r="C275" i="2"/>
  <c r="C234" i="2"/>
  <c r="C210" i="2"/>
  <c r="C146"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A5E538-EB12-4F41-B9BF-05EA441EB2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0CA45C-B4DB-4CE8-90F1-EE0EF2AE700F}" name="WorksheetConnection_Data!$A:$S" type="102" refreshedVersion="8" minRefreshableVersion="5">
    <extLst>
      <ext xmlns:x15="http://schemas.microsoft.com/office/spreadsheetml/2010/11/main" uri="{DE250136-89BD-433C-8126-D09CA5730AF9}">
        <x15:connection id="Range" autoDelete="1">
          <x15:rangePr sourceName="_xlcn.WorksheetConnection_DataA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<sst xmlns="http://schemas.openxmlformats.org/spreadsheetml/2006/main" count="15618" uniqueCount="2101">
  <si>
    <t>name</t>
  </si>
  <si>
    <t>hourly_rate (USD)</t>
  </si>
  <si>
    <t>is_active</t>
  </si>
  <si>
    <t>client_satisfaction</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</si>
  <si>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</si>
  <si>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</si>
  <si>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</si>
  <si>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</si>
  <si>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</si>
  <si>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</si>
  <si>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</si>
  <si>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</si>
  <si>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</si>
  <si>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</si>
  <si>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</si>
  <si>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</si>
  <si>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</si>
  <si>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</si>
  <si>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</si>
  <si>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</si>
  <si>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</si>
  <si>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</si>
  <si>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</si>
  <si>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</si>
  <si>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</si>
  <si>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</si>
  <si>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</si>
  <si>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</si>
  <si>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$40</t>
  </si>
  <si>
    <t>FL250005</t>
  </si>
  <si>
    <t>Lynn Curtis DDS</t>
  </si>
  <si>
    <t>female</t>
  </si>
  <si>
    <t>FL250006</t>
  </si>
  <si>
    <t>Lisa Johnson</t>
  </si>
  <si>
    <t>Netherlands</t>
  </si>
  <si>
    <t>Dutch</t>
  </si>
  <si>
    <t>AI</t>
  </si>
  <si>
    <t>$30</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</si>
  <si>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</si>
  <si>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</si>
  <si>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</si>
  <si>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</si>
  <si>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</si>
  <si>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</si>
  <si>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</si>
  <si>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</si>
  <si>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</si>
  <si>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</si>
  <si>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</si>
  <si>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</si>
  <si>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</si>
  <si>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</si>
  <si>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</si>
  <si>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</si>
  <si>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</si>
  <si>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</si>
  <si>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$50</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</si>
  <si>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</si>
  <si>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</si>
  <si>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</si>
  <si>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</si>
  <si>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</si>
  <si>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</si>
  <si>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</si>
  <si>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</si>
  <si>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</si>
  <si>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</si>
  <si>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</si>
  <si>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</si>
  <si>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</si>
  <si>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</si>
  <si>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</si>
  <si>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</si>
  <si>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</si>
  <si>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</si>
  <si>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</si>
  <si>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</si>
  <si>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</si>
  <si>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</si>
  <si>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</si>
  <si>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</si>
  <si>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</si>
  <si>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</si>
  <si>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</si>
  <si>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</si>
  <si>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</si>
  <si>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</si>
  <si>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</si>
  <si>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</si>
  <si>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</si>
  <si>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</si>
  <si>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</si>
  <si>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</si>
  <si>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</si>
  <si>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</si>
  <si>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</si>
  <si>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</si>
  <si>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</si>
  <si>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</si>
  <si>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</si>
  <si>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</si>
  <si>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</si>
  <si>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</si>
  <si>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</si>
  <si>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</si>
  <si>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</si>
  <si>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</si>
  <si>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</si>
  <si>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</si>
  <si>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</si>
  <si>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</si>
  <si>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</si>
  <si>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</si>
  <si>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</si>
  <si>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</si>
  <si>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</si>
  <si>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</si>
  <si>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</si>
  <si>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</si>
  <si>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</si>
  <si>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</si>
  <si>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</si>
  <si>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</si>
  <si>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</si>
  <si>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</si>
  <si>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</si>
  <si>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</si>
  <si>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</si>
  <si>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</si>
  <si>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</si>
  <si>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</si>
  <si>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</si>
  <si>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</si>
  <si>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</si>
  <si>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</si>
  <si>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</si>
  <si>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</si>
  <si>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</si>
  <si>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</si>
  <si>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</si>
  <si>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</si>
  <si>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</si>
  <si>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</si>
  <si>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</si>
  <si>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</si>
  <si>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</si>
  <si>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</si>
  <si>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</si>
  <si>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</si>
  <si>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</si>
  <si>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</si>
  <si>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</si>
  <si>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</si>
  <si>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</si>
  <si>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</si>
  <si>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</si>
  <si>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</si>
  <si>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</si>
  <si>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</si>
  <si>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</si>
  <si>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</si>
  <si>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</si>
  <si>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</si>
  <si>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</si>
  <si>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</si>
  <si>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</si>
  <si>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</si>
  <si>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</si>
  <si>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</si>
  <si>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</si>
  <si>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</si>
  <si>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</si>
  <si>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</si>
  <si>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</si>
  <si>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</si>
  <si>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</si>
  <si>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</si>
  <si>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</si>
  <si>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</si>
  <si>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</si>
  <si>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</si>
  <si>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</si>
  <si>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</si>
  <si>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</si>
  <si>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</si>
  <si>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</si>
  <si>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</si>
  <si>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</si>
  <si>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</si>
  <si>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</si>
  <si>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</si>
  <si>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</si>
  <si>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</si>
  <si>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</si>
  <si>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</si>
  <si>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</si>
  <si>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</si>
  <si>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</si>
  <si>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</si>
  <si>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</si>
  <si>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</si>
  <si>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</si>
  <si>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</si>
  <si>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</si>
  <si>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</si>
  <si>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</si>
  <si>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</si>
  <si>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</si>
  <si>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</si>
  <si>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</si>
  <si>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</si>
  <si>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</si>
  <si>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</si>
  <si>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</si>
  <si>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</si>
  <si>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</si>
  <si>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</si>
  <si>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</si>
  <si>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</si>
  <si>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</si>
  <si>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</si>
  <si>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</si>
  <si>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</si>
  <si>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</si>
  <si>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</si>
  <si>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</si>
  <si>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</si>
  <si>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</si>
  <si>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</si>
  <si>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</si>
  <si>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</si>
  <si>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</si>
  <si>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</si>
  <si>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</si>
  <si>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</si>
  <si>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</si>
  <si>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</si>
  <si>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</si>
  <si>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</si>
  <si>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</si>
  <si>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</si>
  <si>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</si>
  <si>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</si>
  <si>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</si>
  <si>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</si>
  <si>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</si>
  <si>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</si>
  <si>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</si>
  <si>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</si>
  <si>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</si>
  <si>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</si>
  <si>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</si>
  <si>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</si>
  <si>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</si>
  <si>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</si>
  <si>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</si>
  <si>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</si>
  <si>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</si>
  <si>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</si>
  <si>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</si>
  <si>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</si>
  <si>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</si>
  <si>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</si>
  <si>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</si>
  <si>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</si>
  <si>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</si>
  <si>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</si>
  <si>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</si>
  <si>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</si>
  <si>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</si>
  <si>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</si>
  <si>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</si>
  <si>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</si>
  <si>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</si>
  <si>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</si>
  <si>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</si>
  <si>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</si>
  <si>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</si>
  <si>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</si>
  <si>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</si>
  <si>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</si>
  <si>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</si>
  <si>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</si>
  <si>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</si>
  <si>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</si>
  <si>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</si>
  <si>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</si>
  <si>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</si>
  <si>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</si>
  <si>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</si>
  <si>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</si>
  <si>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</si>
  <si>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</si>
  <si>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</si>
  <si>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</si>
  <si>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</si>
  <si>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</si>
  <si>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</si>
  <si>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</si>
  <si>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</si>
  <si>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</si>
  <si>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</si>
  <si>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</si>
  <si>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</si>
  <si>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</si>
  <si>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</si>
  <si>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</si>
  <si>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</si>
  <si>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</si>
  <si>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</si>
  <si>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</si>
  <si>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</si>
  <si>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</si>
  <si>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</si>
  <si>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</si>
  <si>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</si>
  <si>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</si>
  <si>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</si>
  <si>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</si>
  <si>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</si>
  <si>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</si>
  <si>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</si>
  <si>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</si>
  <si>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</si>
  <si>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</si>
  <si>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</si>
  <si>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</si>
  <si>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</si>
  <si>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</si>
  <si>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</si>
  <si>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</si>
  <si>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</si>
  <si>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</si>
  <si>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</si>
  <si>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</si>
  <si>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</si>
  <si>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</si>
  <si>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</si>
  <si>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</si>
  <si>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</si>
  <si>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</si>
  <si>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</si>
  <si>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</si>
  <si>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</si>
  <si>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</si>
  <si>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</si>
  <si>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</si>
  <si>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</si>
  <si>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</si>
  <si>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</si>
  <si>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</si>
  <si>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</si>
  <si>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</si>
  <si>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</si>
  <si>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</si>
  <si>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</si>
  <si>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</si>
  <si>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</si>
  <si>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</si>
  <si>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</si>
  <si>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</si>
  <si>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</si>
  <si>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</si>
  <si>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</si>
  <si>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</si>
  <si>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</si>
  <si>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</si>
  <si>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</si>
  <si>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</si>
  <si>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</si>
  <si>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</si>
  <si>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</si>
  <si>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</si>
  <si>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</si>
  <si>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</si>
  <si>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</si>
  <si>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</si>
  <si>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</si>
  <si>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</si>
  <si>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</si>
  <si>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</si>
  <si>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</si>
  <si>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</si>
  <si>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</si>
  <si>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</si>
  <si>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</si>
  <si>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</si>
  <si>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</si>
  <si>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</si>
  <si>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</si>
  <si>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</si>
  <si>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</si>
  <si>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</si>
  <si>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</si>
  <si>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</si>
  <si>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</si>
  <si>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</si>
  <si>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</si>
  <si>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</si>
  <si>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</si>
  <si>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</si>
  <si>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</si>
  <si>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</si>
  <si>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</si>
  <si>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</si>
  <si>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</si>
  <si>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</si>
  <si>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</si>
  <si>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</si>
  <si>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</si>
  <si>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</si>
  <si>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</si>
  <si>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</si>
  <si>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</si>
  <si>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</si>
  <si>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</si>
  <si>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</si>
  <si>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</si>
  <si>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</si>
  <si>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</si>
  <si>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</si>
  <si>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</si>
  <si>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</si>
  <si>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</si>
  <si>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</si>
  <si>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</si>
  <si>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</si>
  <si>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</si>
  <si>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</si>
  <si>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</si>
  <si>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</si>
  <si>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</si>
  <si>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</si>
  <si>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</si>
  <si>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</si>
  <si>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</si>
  <si>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</si>
  <si>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</si>
  <si>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</si>
  <si>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</si>
  <si>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</si>
  <si>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</si>
  <si>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</si>
  <si>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</si>
  <si>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</si>
  <si>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</si>
  <si>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</si>
  <si>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</si>
  <si>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</si>
  <si>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</si>
  <si>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</si>
  <si>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</si>
  <si>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</si>
  <si>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</si>
  <si>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</si>
  <si>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</si>
  <si>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</si>
  <si>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</si>
  <si>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</si>
  <si>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</si>
  <si>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</si>
  <si>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</si>
  <si>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</si>
  <si>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</si>
  <si>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</si>
  <si>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</si>
  <si>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</si>
  <si>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</si>
  <si>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</si>
  <si>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</si>
  <si>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</si>
  <si>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</si>
  <si>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</si>
  <si>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</si>
  <si>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</si>
  <si>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</si>
  <si>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</si>
  <si>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</si>
  <si>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</si>
  <si>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</si>
  <si>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</si>
  <si>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</si>
  <si>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</si>
  <si>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</si>
  <si>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</si>
  <si>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</si>
  <si>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</si>
  <si>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</si>
  <si>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</si>
  <si>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</si>
  <si>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</si>
  <si>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</si>
  <si>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</si>
  <si>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</si>
  <si>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</si>
  <si>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</si>
  <si>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</si>
  <si>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</si>
  <si>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</si>
  <si>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</si>
  <si>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</si>
  <si>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</si>
  <si>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</si>
  <si>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</si>
  <si>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</si>
  <si>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</si>
  <si>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</si>
  <si>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</si>
  <si>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</si>
  <si>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</si>
  <si>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</si>
  <si>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</si>
  <si>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</si>
  <si>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</si>
  <si>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</si>
  <si>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</si>
  <si>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</si>
  <si>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</si>
  <si>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</si>
  <si>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</si>
  <si>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</si>
  <si>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</si>
  <si>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</si>
  <si>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</si>
  <si>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</si>
  <si>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</si>
  <si>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</si>
  <si>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</si>
  <si>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</si>
  <si>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</si>
  <si>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</si>
  <si>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</si>
  <si>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</si>
  <si>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</si>
  <si>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</si>
  <si>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</si>
  <si>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</si>
  <si>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</si>
  <si>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</si>
  <si>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</si>
  <si>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</si>
  <si>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</si>
  <si>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</si>
  <si>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</si>
  <si>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</si>
  <si>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</si>
  <si>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</si>
  <si>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</si>
  <si>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</si>
  <si>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</si>
  <si>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</si>
  <si>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</si>
  <si>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</si>
  <si>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</si>
  <si>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</si>
  <si>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</si>
  <si>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</si>
  <si>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</si>
  <si>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</si>
  <si>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</si>
  <si>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</si>
  <si>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</si>
  <si>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</si>
  <si>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</si>
  <si>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</si>
  <si>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</si>
  <si>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</si>
  <si>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</si>
  <si>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</si>
  <si>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</si>
  <si>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</si>
  <si>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</si>
  <si>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</si>
  <si>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</si>
  <si>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</si>
  <si>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</si>
  <si>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</si>
  <si>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</si>
  <si>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</si>
  <si>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</si>
  <si>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</si>
  <si>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</si>
  <si>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</si>
  <si>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</si>
  <si>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</si>
  <si>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</si>
  <si>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</si>
  <si>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</si>
  <si>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</si>
  <si>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</si>
  <si>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</si>
  <si>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</si>
  <si>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</si>
  <si>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</si>
  <si>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</si>
  <si>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</si>
  <si>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</si>
  <si>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</si>
  <si>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</si>
  <si>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</si>
  <si>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</si>
  <si>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</si>
  <si>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</si>
  <si>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</si>
  <si>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</si>
  <si>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</si>
  <si>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</si>
  <si>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</si>
  <si>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</si>
  <si>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</si>
  <si>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</si>
  <si>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</si>
  <si>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</si>
  <si>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</si>
  <si>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</si>
  <si>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</si>
  <si>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</si>
  <si>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</si>
  <si>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</si>
  <si>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</si>
  <si>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</si>
  <si>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</si>
  <si>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</si>
  <si>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</si>
  <si>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</si>
  <si>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</si>
  <si>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</si>
  <si>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</si>
  <si>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</si>
  <si>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</si>
  <si>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</si>
  <si>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</si>
  <si>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</si>
  <si>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</si>
  <si>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</si>
  <si>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</si>
  <si>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</si>
  <si>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</si>
  <si>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</si>
  <si>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</si>
  <si>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</si>
  <si>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</si>
  <si>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</si>
  <si>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</si>
  <si>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</si>
  <si>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</si>
  <si>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</si>
  <si>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</si>
  <si>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</si>
  <si>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</si>
  <si>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</si>
  <si>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</si>
  <si>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</si>
  <si>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</si>
  <si>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</si>
  <si>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</si>
  <si>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</si>
  <si>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</si>
  <si>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</si>
  <si>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</si>
  <si>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</si>
  <si>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</si>
  <si>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</si>
  <si>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</si>
  <si>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</si>
  <si>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</si>
  <si>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</si>
  <si>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</si>
  <si>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</si>
  <si>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</si>
  <si>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</si>
  <si>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</si>
  <si>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</si>
  <si>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</si>
  <si>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</si>
  <si>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</si>
  <si>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</si>
  <si>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</si>
  <si>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</si>
  <si>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</si>
  <si>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</si>
  <si>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</si>
  <si>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</si>
  <si>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</si>
  <si>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</si>
  <si>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</si>
  <si>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</si>
  <si>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</si>
  <si>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</si>
  <si>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</si>
  <si>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</si>
  <si>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</si>
  <si>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</si>
  <si>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</si>
  <si>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</si>
  <si>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</si>
  <si>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</si>
  <si>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</si>
  <si>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</si>
  <si>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</si>
  <si>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</si>
  <si>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</si>
  <si>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</si>
  <si>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</si>
  <si>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</si>
  <si>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</si>
  <si>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</si>
  <si>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</si>
  <si>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</si>
  <si>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</si>
  <si>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</si>
  <si>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</si>
  <si>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</si>
  <si>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</si>
  <si>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</si>
  <si>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</si>
  <si>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</si>
  <si>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</si>
  <si>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</si>
  <si>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</si>
  <si>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</si>
  <si>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</si>
  <si>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</si>
  <si>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</si>
  <si>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</si>
  <si>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</si>
  <si>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</si>
  <si>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</si>
  <si>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</si>
  <si>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</si>
  <si>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</si>
  <si>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</si>
  <si>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</si>
  <si>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</si>
  <si>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</si>
  <si>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</si>
  <si>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</si>
  <si>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</si>
  <si>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</si>
  <si>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</si>
  <si>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</si>
  <si>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</si>
  <si>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</si>
  <si>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</si>
  <si>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</si>
  <si>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</si>
  <si>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</si>
  <si>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</si>
  <si>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</si>
  <si>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</si>
  <si>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</si>
  <si>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</si>
  <si>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</si>
  <si>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</si>
  <si>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</si>
  <si>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</si>
  <si>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</si>
  <si>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</si>
  <si>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</si>
  <si>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</si>
  <si>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</si>
  <si>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</si>
  <si>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</si>
  <si>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</si>
  <si>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</si>
  <si>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</si>
  <si>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</si>
  <si>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</si>
  <si>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</si>
  <si>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</si>
  <si>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</si>
  <si>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</si>
  <si>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</si>
  <si>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</si>
  <si>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</si>
  <si>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</si>
  <si>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</si>
  <si>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</si>
  <si>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</si>
  <si>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</si>
  <si>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</si>
  <si>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</si>
  <si>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</si>
  <si>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</si>
  <si>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</si>
  <si>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</si>
  <si>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</si>
  <si>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</si>
  <si>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</si>
  <si>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</si>
  <si>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</si>
  <si>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</si>
  <si>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</si>
  <si>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</si>
  <si>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</si>
  <si>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</si>
  <si>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</si>
  <si>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</si>
  <si>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</si>
  <si>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</si>
  <si>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</si>
  <si>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</si>
  <si>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</si>
  <si>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</si>
  <si>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</si>
  <si>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</si>
  <si>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</si>
  <si>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</si>
  <si>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</si>
  <si>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</si>
  <si>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</si>
  <si>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</si>
  <si>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</si>
  <si>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</si>
  <si>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</si>
  <si>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</si>
  <si>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</si>
  <si>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</si>
  <si>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</si>
  <si>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</si>
  <si>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</si>
  <si>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</si>
  <si>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</si>
  <si>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</si>
  <si>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</si>
  <si>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</si>
  <si>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</si>
  <si>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</si>
  <si>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</si>
  <si>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</si>
  <si>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</si>
  <si>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</si>
  <si>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</si>
  <si>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</si>
  <si>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</si>
  <si>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</si>
  <si>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</si>
  <si>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</si>
  <si>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</si>
  <si>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</si>
  <si>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</si>
  <si>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</si>
  <si>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</si>
  <si>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</si>
  <si>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</si>
  <si>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</si>
  <si>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</si>
  <si>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</si>
  <si>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</si>
  <si>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</si>
  <si>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</si>
  <si>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</si>
  <si>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</si>
  <si>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</si>
  <si>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</si>
  <si>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</si>
  <si>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</si>
  <si>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</si>
  <si>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</si>
  <si>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</si>
  <si>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</si>
  <si>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</si>
  <si>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</si>
  <si>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</si>
  <si>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</si>
  <si>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</si>
  <si>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</si>
  <si>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</si>
  <si>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</si>
  <si>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</si>
  <si>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</si>
  <si>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</si>
  <si>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</si>
  <si>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</si>
  <si>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</si>
  <si>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</si>
  <si>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</si>
  <si>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</si>
  <si>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</si>
  <si>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</si>
  <si>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</si>
  <si>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</si>
  <si>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</si>
  <si>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</si>
  <si>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</si>
  <si>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</si>
  <si>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</si>
  <si>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</si>
  <si>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</si>
  <si>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</si>
  <si>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</si>
  <si>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</si>
  <si>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</si>
  <si>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</si>
  <si>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</si>
  <si>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</si>
  <si>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</si>
  <si>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</si>
  <si>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</si>
  <si>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</si>
  <si>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</si>
  <si>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</si>
  <si>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</si>
  <si>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</si>
  <si>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</si>
  <si>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</si>
  <si>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</si>
  <si>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</si>
  <si>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</si>
  <si>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</si>
  <si>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</si>
  <si>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</si>
  <si>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</si>
  <si>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</si>
  <si>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</si>
  <si>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</si>
  <si>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</si>
  <si>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</si>
  <si>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</si>
  <si>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</si>
  <si>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</si>
  <si>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</si>
  <si>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</si>
  <si>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</si>
  <si>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</si>
  <si>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</si>
  <si>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</si>
  <si>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</si>
  <si>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</si>
  <si>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</si>
  <si>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</si>
  <si>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</si>
  <si>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</si>
  <si>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</si>
  <si>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</si>
  <si>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</si>
  <si>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</si>
  <si>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</si>
  <si>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</si>
  <si>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</si>
  <si>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</si>
  <si>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</si>
  <si>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</si>
  <si>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</si>
  <si>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</si>
  <si>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</si>
  <si>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</si>
  <si>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</si>
  <si>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</si>
  <si>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</si>
  <si>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</si>
  <si>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</si>
  <si>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</si>
  <si>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</si>
  <si>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</si>
  <si>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</si>
  <si>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</si>
  <si>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</si>
  <si>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</si>
  <si>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</si>
  <si>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</si>
  <si>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</si>
  <si>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</si>
  <si>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</si>
  <si>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</si>
  <si>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</si>
  <si>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</si>
  <si>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</si>
  <si>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</si>
  <si>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</si>
  <si>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</si>
  <si>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</si>
  <si>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</si>
  <si>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</si>
  <si>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</si>
  <si>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</si>
  <si>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</si>
  <si>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</si>
  <si>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</si>
  <si>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</si>
  <si>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</si>
  <si>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</si>
  <si>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</si>
  <si>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</si>
  <si>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</si>
  <si>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</si>
  <si>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</si>
  <si>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</si>
  <si>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</si>
  <si>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</si>
  <si>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</si>
  <si>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</si>
  <si>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</si>
  <si>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</si>
  <si>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</si>
  <si>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</si>
  <si>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</si>
  <si>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</si>
  <si>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</si>
  <si>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</si>
  <si>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</si>
  <si>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</si>
  <si>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</si>
  <si>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</si>
  <si>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</si>
  <si>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</si>
  <si>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</si>
  <si>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</si>
  <si>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</si>
  <si>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</si>
  <si>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</si>
  <si>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</si>
  <si>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</si>
  <si>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</si>
  <si>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</si>
  <si>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</si>
  <si>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</si>
  <si>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</si>
  <si>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</si>
  <si>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</si>
  <si>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</si>
  <si>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</si>
  <si>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</si>
  <si>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</si>
  <si>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</si>
  <si>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</si>
  <si>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</si>
  <si>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</si>
  <si>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</si>
  <si>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</si>
  <si>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</si>
  <si>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</si>
  <si>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</si>
  <si>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</si>
  <si>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</si>
  <si>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</si>
  <si>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</si>
  <si>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</si>
  <si>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</si>
  <si>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</si>
  <si>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</si>
  <si>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</si>
  <si>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</si>
  <si>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</si>
  <si>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</si>
  <si>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</si>
  <si>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</si>
  <si>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</si>
  <si>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</si>
  <si>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</si>
  <si>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</si>
  <si>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</si>
  <si>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</si>
  <si>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</si>
  <si>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</si>
  <si>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</si>
  <si>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</si>
  <si>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</si>
  <si>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</si>
  <si>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</si>
  <si>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</si>
  <si>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</si>
  <si>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</si>
  <si>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</si>
  <si>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</si>
  <si>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</si>
  <si>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</si>
  <si>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</si>
  <si>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</si>
  <si>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</si>
  <si>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</si>
  <si>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</si>
  <si>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</si>
  <si>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</si>
  <si>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</si>
  <si>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</si>
  <si>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</si>
  <si>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</si>
  <si>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</si>
  <si>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</si>
  <si>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</si>
  <si>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</si>
  <si>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</si>
  <si>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</si>
  <si>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</si>
  <si>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</si>
  <si>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</si>
  <si>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</si>
  <si>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</si>
  <si>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</si>
  <si>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</si>
  <si>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</si>
  <si>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</si>
  <si>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</si>
  <si>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</si>
  <si>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</si>
  <si>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</si>
  <si>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</si>
  <si>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</si>
  <si>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</si>
  <si>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</si>
  <si>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</si>
  <si>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</si>
  <si>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</si>
  <si>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</si>
  <si>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</si>
  <si>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</si>
  <si>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</si>
  <si>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</si>
  <si>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</si>
  <si>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</si>
  <si>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</si>
  <si>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</si>
  <si>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</si>
  <si>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</si>
  <si>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</si>
  <si>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</si>
  <si>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</si>
  <si>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</si>
  <si>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</si>
  <si>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</si>
  <si>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</si>
  <si>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</si>
  <si>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</si>
  <si>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</si>
  <si>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</si>
  <si>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</si>
  <si>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</si>
  <si>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</si>
  <si>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</si>
  <si>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</si>
  <si>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</si>
  <si>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</si>
  <si>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</si>
  <si>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</si>
  <si>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</si>
  <si>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</si>
  <si>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</si>
  <si>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</si>
  <si>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</si>
  <si>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</si>
  <si>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</si>
  <si>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</si>
  <si>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</si>
  <si>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</si>
  <si>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</si>
  <si>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</si>
  <si>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</si>
  <si>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</si>
  <si>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</si>
  <si>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</si>
  <si>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</si>
  <si>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</si>
  <si>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</si>
  <si>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</si>
  <si>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</si>
  <si>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</si>
  <si>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</si>
  <si>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</si>
  <si>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</si>
  <si>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</si>
  <si>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</si>
  <si>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</si>
  <si>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</si>
  <si>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</si>
  <si>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</si>
  <si>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</si>
  <si>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</si>
  <si>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</si>
  <si>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</si>
  <si>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</si>
  <si>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</si>
  <si>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</si>
  <si>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</si>
  <si>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</si>
  <si>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</si>
  <si>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</si>
  <si>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</si>
  <si>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</si>
  <si>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</si>
  <si>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</si>
  <si>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</si>
  <si>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</si>
  <si>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</si>
  <si>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</si>
  <si>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</si>
  <si>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</si>
  <si>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</si>
  <si>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</si>
  <si>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</si>
  <si>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</si>
  <si>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</si>
  <si>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</si>
  <si>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</si>
  <si>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</si>
  <si>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</si>
  <si>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</si>
  <si>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</si>
  <si>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</si>
  <si>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</si>
  <si>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</si>
  <si>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</si>
  <si>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</si>
  <si>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</si>
  <si>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</si>
  <si>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</si>
  <si>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</si>
  <si>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</si>
  <si>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</si>
  <si>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</si>
  <si>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</si>
  <si>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</si>
  <si>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</si>
  <si>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</si>
  <si>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</si>
  <si>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</si>
  <si>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</si>
  <si>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</si>
  <si>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</si>
  <si>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</si>
  <si>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</si>
  <si>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</si>
  <si>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</si>
  <si>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</si>
  <si>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</si>
  <si>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</si>
  <si>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</si>
  <si>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</si>
  <si>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</si>
  <si>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</si>
  <si>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</si>
  <si>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</si>
  <si>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</si>
  <si>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</si>
  <si>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</si>
  <si>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</si>
  <si>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</si>
  <si>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</si>
  <si>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</si>
  <si>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</si>
  <si>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</si>
  <si>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</si>
  <si>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</si>
  <si>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</si>
  <si>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</si>
  <si>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</si>
  <si>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</si>
  <si>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</si>
  <si>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</si>
  <si>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</si>
  <si>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</si>
  <si>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</si>
  <si>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</si>
  <si>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</si>
  <si>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</si>
  <si>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</si>
  <si>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</si>
  <si>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</si>
  <si>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</si>
  <si>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</si>
  <si>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</si>
  <si>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</si>
  <si>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</si>
  <si>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</si>
  <si>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</si>
  <si>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</si>
  <si>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</si>
  <si>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</si>
  <si>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</si>
  <si>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</si>
  <si>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</si>
  <si>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</si>
  <si>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</si>
  <si>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</si>
  <si>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</si>
  <si>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</si>
  <si>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</si>
  <si>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</si>
  <si>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</si>
  <si>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</si>
  <si>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</si>
  <si>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</si>
  <si>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</si>
  <si>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</si>
  <si>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</si>
  <si>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</si>
  <si>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</si>
  <si>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</si>
  <si>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</si>
  <si>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</si>
  <si>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</si>
  <si>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</si>
  <si>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</si>
  <si>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</si>
  <si>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</si>
  <si>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</si>
  <si>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</si>
  <si>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</si>
  <si>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</si>
  <si>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</si>
  <si>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</si>
  <si>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</si>
  <si>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</si>
  <si>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</si>
  <si>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</si>
  <si>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</si>
  <si>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</si>
  <si>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</si>
  <si>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</si>
  <si>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</si>
  <si>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</si>
  <si>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</si>
  <si>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</si>
  <si>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</si>
  <si>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</si>
  <si>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</si>
  <si>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</si>
  <si>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</si>
  <si>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</si>
  <si>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</si>
  <si>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</si>
  <si>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</si>
  <si>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</si>
  <si>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</si>
  <si>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</si>
  <si>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</si>
  <si>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</si>
  <si>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</si>
  <si>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</si>
  <si>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</si>
  <si>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</si>
  <si>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</si>
  <si>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</si>
  <si>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</si>
  <si>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</si>
  <si>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</si>
  <si>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</si>
  <si>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</si>
  <si>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</si>
  <si>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</si>
  <si>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</si>
  <si>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</si>
  <si>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</si>
  <si>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</si>
  <si>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</si>
  <si>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</si>
  <si>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</si>
  <si>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</si>
  <si>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</si>
  <si>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</si>
  <si>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</si>
  <si>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</si>
  <si>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</si>
  <si>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</si>
  <si>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</si>
  <si>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</si>
  <si>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</si>
  <si>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</si>
  <si>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</si>
  <si>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</si>
  <si>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</si>
  <si>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</si>
  <si>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</si>
  <si>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</si>
  <si>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</si>
  <si>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</si>
  <si>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</si>
  <si>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</si>
  <si>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</si>
  <si>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</si>
  <si>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</si>
  <si>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</si>
  <si>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</si>
  <si>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</si>
  <si>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</si>
  <si>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</si>
  <si>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</si>
  <si>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</si>
  <si>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</si>
  <si>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</si>
  <si>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</si>
  <si>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</si>
  <si>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</si>
  <si>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</si>
  <si>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</si>
  <si>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</si>
  <si>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</si>
  <si>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</si>
  <si>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</si>
  <si>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</si>
  <si>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</si>
  <si>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</si>
  <si>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</si>
  <si>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</si>
  <si>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</si>
  <si>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</si>
  <si>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</si>
  <si>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</si>
  <si>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</si>
  <si>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</si>
  <si>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</si>
  <si>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</si>
  <si>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</si>
  <si>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</si>
  <si>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</si>
  <si>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</si>
  <si>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</si>
  <si>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</si>
  <si>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</si>
  <si>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</si>
  <si>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</si>
  <si>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</si>
  <si>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</si>
  <si>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</si>
  <si>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</si>
  <si>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</si>
  <si>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</si>
  <si>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</si>
  <si>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</si>
  <si>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</si>
  <si>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</si>
  <si>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</si>
  <si>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</si>
  <si>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</si>
  <si>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</si>
  <si>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</si>
  <si>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</si>
  <si>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</si>
  <si>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</si>
  <si>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</si>
  <si>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</si>
  <si>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</si>
  <si>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</si>
  <si>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</si>
  <si>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</si>
  <si>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</si>
  <si>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</si>
  <si>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</si>
  <si>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</si>
  <si>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</si>
  <si>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</si>
  <si>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</si>
  <si>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</si>
  <si>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</si>
  <si>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</si>
  <si>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</si>
  <si>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</si>
  <si>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</si>
  <si>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</si>
  <si>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</si>
  <si>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</si>
  <si>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</si>
  <si>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</si>
  <si>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</si>
  <si>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</si>
  <si>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</si>
  <si>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</si>
  <si>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</si>
  <si>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</si>
  <si>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</si>
  <si>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</si>
  <si>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</si>
  <si>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</si>
  <si>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</si>
  <si>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</si>
  <si>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</si>
  <si>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</si>
  <si>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</si>
  <si>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</si>
  <si>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</si>
  <si>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</si>
  <si>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</si>
  <si>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</si>
  <si>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</si>
  <si>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</si>
  <si>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</si>
  <si>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</si>
  <si>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</si>
  <si>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</si>
  <si>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</si>
  <si>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</si>
  <si>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</si>
  <si>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</si>
  <si>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</si>
  <si>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</si>
  <si>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</si>
  <si>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</si>
  <si>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</si>
  <si>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</si>
  <si>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</si>
  <si>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</si>
  <si>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</si>
  <si>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</si>
  <si>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</si>
  <si>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</si>
  <si>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</si>
  <si>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</si>
  <si>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</si>
  <si>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</si>
  <si>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</si>
  <si>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</si>
  <si>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</si>
  <si>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</si>
  <si>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</si>
  <si>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</si>
  <si>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</si>
  <si>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</si>
  <si>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</si>
  <si>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</si>
  <si>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</si>
  <si>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</si>
  <si>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</si>
  <si>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</si>
  <si>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</si>
  <si>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</si>
  <si>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</si>
  <si>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</si>
  <si>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</si>
  <si>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</si>
  <si>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</si>
  <si>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</si>
  <si>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</si>
  <si>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</si>
  <si>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</si>
  <si>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</si>
  <si>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</si>
  <si>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</si>
  <si>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</si>
  <si>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</si>
  <si>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</si>
  <si>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</si>
  <si>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</si>
  <si>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</si>
  <si>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</si>
  <si>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</si>
  <si>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</si>
  <si>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</si>
  <si>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</si>
  <si>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</si>
  <si>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</si>
  <si>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</si>
  <si>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</si>
  <si>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</si>
  <si>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</si>
  <si>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</si>
  <si>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</si>
  <si>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</si>
  <si>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</si>
  <si>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</si>
  <si>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</si>
  <si>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</si>
  <si>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</si>
  <si>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</si>
  <si>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</si>
  <si>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</si>
  <si>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</si>
  <si>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</si>
  <si>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</si>
  <si>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</si>
  <si>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</si>
  <si>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</si>
  <si>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</si>
  <si>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</si>
  <si>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</si>
  <si>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</si>
  <si>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</si>
  <si>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</si>
  <si>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</si>
  <si>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</si>
  <si>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</si>
  <si>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</si>
  <si>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</si>
  <si>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</si>
  <si>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</si>
  <si>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</si>
  <si>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</si>
  <si>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</si>
  <si>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</si>
  <si>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</si>
  <si>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</si>
  <si>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</si>
  <si>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</si>
  <si>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</si>
  <si>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</si>
  <si>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</si>
  <si>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</si>
  <si>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</si>
  <si>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</si>
  <si>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</si>
  <si>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</si>
  <si>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</si>
  <si>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</si>
  <si>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</si>
  <si>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</si>
  <si>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</si>
  <si>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</si>
  <si>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</si>
  <si>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</si>
  <si>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</si>
  <si>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</si>
  <si>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</si>
  <si>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</si>
  <si>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</si>
  <si>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</si>
  <si>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</si>
  <si>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</si>
  <si>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</si>
  <si>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</si>
  <si>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</si>
  <si>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</si>
  <si>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</si>
  <si>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</si>
  <si>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</si>
  <si>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</si>
  <si>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</si>
  <si>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</si>
  <si>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</si>
  <si>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</si>
  <si>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</si>
  <si>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</si>
  <si>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</si>
  <si>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</si>
  <si>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</si>
  <si>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</si>
  <si>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</si>
  <si>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</si>
  <si>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</si>
  <si>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</si>
  <si>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</si>
  <si>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</si>
  <si>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</si>
  <si>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</si>
  <si>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</si>
  <si>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</si>
  <si>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</si>
  <si>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</si>
  <si>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</si>
  <si>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</si>
  <si>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</si>
  <si>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</si>
  <si>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</si>
  <si>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</si>
  <si>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</si>
  <si>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</si>
  <si>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</si>
  <si>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</si>
  <si>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</si>
  <si>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</si>
  <si>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</si>
  <si>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</si>
  <si>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</si>
  <si>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</si>
  <si>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</si>
  <si>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</si>
  <si>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</si>
  <si>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</si>
  <si>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</si>
  <si>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</si>
  <si>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</si>
  <si>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</si>
  <si>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</si>
  <si>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</si>
  <si>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</si>
  <si>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</si>
  <si>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</si>
  <si>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</si>
  <si>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</si>
  <si>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</si>
  <si>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</si>
  <si>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</si>
  <si>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</si>
  <si>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</si>
  <si>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</si>
  <si>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</si>
  <si>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</si>
  <si>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</si>
  <si>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</si>
  <si>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</si>
  <si>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</si>
  <si>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</si>
  <si>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</si>
  <si>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</si>
  <si>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</si>
  <si>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</si>
  <si>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</si>
  <si>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</si>
  <si>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</si>
  <si>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</si>
  <si>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</si>
  <si>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</si>
  <si>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</si>
  <si>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</si>
  <si>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</si>
  <si>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</si>
  <si>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</si>
  <si>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</si>
  <si>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</si>
  <si>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</si>
  <si>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</si>
  <si>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</si>
  <si>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</si>
  <si>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</si>
  <si>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</si>
  <si>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</si>
  <si>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</si>
  <si>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</si>
  <si>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</si>
  <si>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</si>
  <si>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</si>
  <si>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</si>
  <si>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</si>
  <si>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</si>
  <si>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</si>
  <si>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</si>
  <si>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</si>
  <si>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</si>
  <si>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</si>
  <si>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</si>
  <si>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</si>
  <si>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</si>
  <si>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</si>
  <si>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</si>
  <si>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</si>
  <si>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</si>
  <si>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</si>
  <si>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</si>
  <si>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</si>
  <si>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</si>
  <si>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</si>
  <si>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</si>
  <si>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</si>
  <si>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</si>
  <si>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</si>
  <si>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</si>
  <si>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</si>
  <si>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</si>
  <si>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</si>
  <si>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</si>
  <si>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</si>
  <si>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</si>
  <si>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</si>
  <si>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</si>
  <si>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</si>
  <si>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</si>
  <si>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</si>
  <si>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</si>
  <si>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</si>
  <si>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</si>
  <si>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</si>
  <si>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</si>
  <si>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</si>
  <si>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</si>
  <si>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</si>
  <si>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</si>
  <si>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</si>
  <si>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</si>
  <si>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</si>
  <si>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</si>
  <si>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</si>
  <si>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</si>
  <si>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</si>
  <si>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</si>
  <si>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</si>
  <si>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</si>
  <si>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</si>
  <si>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</si>
  <si>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</si>
  <si>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</si>
  <si>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</si>
  <si>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</si>
  <si>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</si>
  <si>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</si>
  <si>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</si>
  <si>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</si>
  <si>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</si>
  <si>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</si>
  <si>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</si>
  <si>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</si>
  <si>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</si>
  <si>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</si>
  <si>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</si>
  <si>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</si>
  <si>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</si>
  <si>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</si>
  <si>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</si>
  <si>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</si>
  <si>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</si>
  <si>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</si>
  <si>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</si>
  <si>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</si>
  <si>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</si>
  <si>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</si>
  <si>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</si>
  <si>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</si>
  <si>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</si>
  <si>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</si>
  <si>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</si>
  <si>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</si>
  <si>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</si>
  <si>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</si>
  <si>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</si>
  <si>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</si>
  <si>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</si>
  <si>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</si>
  <si>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</si>
  <si>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</si>
  <si>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</si>
  <si>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</si>
  <si>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</si>
  <si>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</si>
  <si>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</si>
  <si>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</si>
  <si>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</si>
  <si>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</si>
  <si>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</si>
  <si>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</si>
  <si>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</si>
  <si>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</si>
  <si>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</si>
  <si>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</si>
  <si>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</si>
  <si>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</si>
  <si>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</si>
  <si>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</si>
  <si>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</si>
  <si>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</si>
  <si>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</si>
  <si>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</si>
  <si>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</si>
  <si>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</si>
  <si>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</si>
  <si>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</si>
  <si>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</si>
  <si>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</si>
  <si>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</si>
  <si>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</si>
  <si>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</si>
  <si>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</si>
  <si>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</si>
  <si>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</si>
  <si>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</si>
  <si>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</si>
  <si>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</si>
  <si>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</si>
  <si>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</si>
  <si>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</si>
  <si>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</si>
  <si>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</si>
  <si>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</si>
  <si>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</si>
  <si>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</si>
  <si>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</si>
  <si>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</si>
  <si>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</si>
  <si>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</si>
  <si>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</si>
  <si>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</si>
  <si>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</si>
  <si>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</si>
  <si>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</si>
  <si>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</si>
  <si>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</si>
  <si>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</si>
  <si>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</si>
  <si>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</si>
  <si>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</si>
  <si>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</si>
  <si>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</si>
  <si>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</si>
  <si>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</si>
  <si>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</si>
  <si>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</si>
  <si>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</si>
  <si>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</si>
  <si>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</si>
  <si>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</si>
  <si>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</si>
  <si>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</si>
  <si>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</si>
  <si>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</si>
  <si>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</si>
  <si>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</si>
  <si>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</si>
  <si>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</si>
  <si>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</si>
  <si>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</si>
  <si>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</si>
  <si>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</si>
  <si>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</si>
  <si>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</si>
  <si>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</si>
  <si>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</si>
  <si>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</si>
  <si>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</si>
  <si>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</si>
  <si>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</si>
  <si>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</si>
  <si>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</si>
  <si>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</si>
  <si>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</si>
  <si>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</si>
  <si>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</si>
  <si>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</si>
  <si>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</si>
  <si>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</si>
  <si>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</si>
  <si>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</si>
  <si>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</si>
  <si>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</si>
  <si>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</si>
  <si>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</si>
  <si>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</si>
  <si>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</si>
  <si>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</si>
  <si>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</si>
  <si>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</si>
  <si>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</si>
  <si>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</si>
  <si>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</si>
  <si>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</si>
  <si>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</si>
  <si>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</si>
  <si>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</si>
  <si>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</si>
  <si>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</si>
  <si>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</si>
  <si>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</si>
  <si>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</si>
  <si>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</si>
  <si>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</si>
  <si>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</si>
  <si>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</si>
  <si>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</si>
  <si>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</si>
  <si>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</si>
  <si>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</si>
  <si>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</si>
  <si>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</si>
  <si>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</si>
  <si>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</si>
  <si>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</si>
  <si>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</si>
  <si>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</si>
  <si>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</si>
  <si>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</si>
  <si>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</si>
  <si>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</si>
  <si>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</si>
  <si>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</si>
  <si>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</si>
  <si>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</si>
  <si>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</si>
  <si>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</si>
  <si>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</si>
  <si>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</si>
  <si>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</si>
  <si>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</si>
  <si>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</si>
  <si>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</si>
  <si>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</si>
  <si>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</si>
  <si>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</si>
  <si>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</si>
  <si>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</si>
  <si>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</si>
  <si>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</si>
  <si>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</si>
  <si>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</si>
  <si>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</si>
  <si>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</si>
  <si>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</si>
  <si>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</si>
  <si>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</si>
  <si>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</si>
  <si>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</si>
  <si>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</si>
  <si>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</si>
  <si>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</si>
  <si>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</si>
  <si>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</si>
  <si>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</si>
  <si>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</si>
  <si>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</si>
  <si>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</si>
  <si>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</si>
  <si>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</si>
  <si>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</si>
  <si>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</si>
  <si>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</si>
  <si>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</si>
  <si>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</si>
  <si>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</si>
  <si>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</si>
  <si>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</si>
  <si>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</si>
  <si>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</si>
  <si>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</si>
  <si>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</si>
  <si>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</si>
  <si>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</si>
  <si>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</si>
  <si>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</si>
  <si>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</si>
  <si>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</si>
  <si>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</si>
  <si>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</si>
  <si>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</si>
  <si>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</si>
  <si>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</si>
  <si>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</si>
  <si>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</si>
  <si>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</si>
  <si>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</si>
  <si>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</si>
  <si>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</si>
  <si>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</si>
  <si>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</si>
  <si>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</si>
  <si>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</si>
  <si>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</si>
  <si>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</si>
  <si>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</si>
  <si>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</si>
  <si>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</si>
  <si>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</si>
  <si>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</si>
  <si>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</si>
  <si>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</si>
  <si>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</si>
  <si>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</si>
  <si>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</si>
  <si>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</si>
  <si>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</si>
  <si>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</si>
  <si>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</si>
  <si>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</si>
  <si>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</si>
  <si>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</si>
  <si>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</si>
  <si>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</si>
  <si>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</si>
  <si>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</si>
  <si>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</si>
  <si>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</si>
  <si>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</si>
  <si>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</si>
  <si>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</si>
  <si>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</si>
  <si>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</si>
  <si>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</si>
  <si>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</si>
  <si>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</si>
  <si>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</si>
  <si>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</si>
  <si>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</si>
  <si>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</si>
  <si>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</si>
  <si>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</si>
  <si>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</si>
  <si>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</si>
  <si>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</si>
  <si>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</si>
  <si>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</si>
  <si>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</si>
  <si>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</si>
  <si>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</si>
  <si>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</si>
  <si>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</si>
  <si>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</si>
  <si>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Gender</t>
  </si>
  <si>
    <t>Experience (bucket)</t>
  </si>
  <si>
    <t>Hourly Rate</t>
  </si>
  <si>
    <t>Not Active</t>
  </si>
  <si>
    <t xml:space="preserve"> Active</t>
  </si>
  <si>
    <t>Status</t>
  </si>
  <si>
    <t>Primary Skill</t>
  </si>
  <si>
    <t>Country</t>
  </si>
  <si>
    <t>Full Name</t>
  </si>
  <si>
    <t>Freelancer_ID</t>
  </si>
  <si>
    <t>Age</t>
  </si>
  <si>
    <t>Language</t>
  </si>
  <si>
    <t>Years of Experience</t>
  </si>
  <si>
    <t>Rating</t>
  </si>
  <si>
    <t xml:space="preserve">Customer Satisfaction </t>
  </si>
  <si>
    <t>Count of Freelancer_ID</t>
  </si>
  <si>
    <t>Row Labels</t>
  </si>
  <si>
    <t>Grand Total</t>
  </si>
  <si>
    <t>gender-raw</t>
  </si>
  <si>
    <t>Average of Rating</t>
  </si>
  <si>
    <t>0-5</t>
  </si>
  <si>
    <t>11-15</t>
  </si>
  <si>
    <t>16-20</t>
  </si>
  <si>
    <t>21+</t>
  </si>
  <si>
    <t>6-10</t>
  </si>
  <si>
    <t>100</t>
  </si>
  <si>
    <t>20</t>
  </si>
  <si>
    <t>30</t>
  </si>
  <si>
    <t>40</t>
  </si>
  <si>
    <t>50</t>
  </si>
  <si>
    <t>75</t>
  </si>
  <si>
    <t>Hourly Rate 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</si>
</sst>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9.9978637043366805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2" fontId="0" fillId="0" borderId="0" xfId="0" applyNumberFormat="1"/>
    <xf numFmtId="9" fontId="0" fillId="0" borderId="0" xfId="1" applyFont="1"/>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18" fillId="33" borderId="0" xfId="0" applyFont="1" applyFill="1"/>
    <xf numFmtId="0" fontId="16" fillId="0" borderId="0" xfId="0" applyFont="1"/>
    <xf numFmtId="49" fontId="16" fillId="0" borderId="0" xfId="0" applyNumberFormat="1" applyFont="1"/>
    <xf numFmtId="2" fontId="16" fillId="0" borderId="0" xfId="0" applyNumberFormat="1" applyFont="1"/>
    <xf numFmtId="1" fontId="16" fillId="0" borderId="0" xfId="0" applyNumberFormat="1" applyFont="1"/>
    <xf numFmtId="9" fontId="16"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0">
    <dxf>
      <numFmt numFmtId="1" formatCode="0"/>
    </dxf>
    <dxf>
      <numFmt numFmtId="1" formatCode="0"/>
    </dxf>
    <dxf>
      <numFmt numFmtId="2" formatCode="0.00"/>
    </dxf>
    <dxf>
      <numFmt numFmtId="2" formatCode="0.00"/>
    </dxf>
    <dxf>
      <numFmt numFmtId="14" formatCode="0.00%"/>
    </dxf>
    <dxf>
      <numFmt numFmtId="13" formatCode="0%"/>
    </dxf>
    <dxf>
      <numFmt numFmtId="13" formatCode="0%"/>
    </dxf>
    <dxf>
      <numFmt numFmtId="13" formatCode="0%"/>
    </dxf>
    <dxf>
      <numFmt numFmtId="13" formatCode="0%"/>
    </dxf>
    <dxf>
      <numFmt numFmtId="13" formatCode="0%"/>
    </dxf>
    <dxf>
      <numFmt numFmtId="2" formatCode="0.00"/>
    </dxf>
    <dxf>
      <numFmt numFmtId="14" formatCode="0.00%"/>
    </dxf>
    <dxf>
      <numFmt numFmtId="13" formatCode="0%"/>
    </dxf>
    <dxf>
      <numFmt numFmtId="13" formatCode="0%"/>
    </dxf>
    <dxf>
      <font>
        <color rgb="FF9C0006"/>
      </font>
      <fill>
        <patternFill>
          <bgColor rgb="FFFFC7CE"/>
        </patternFill>
      </fill>
    </dxf>
    <dxf>
      <font>
        <color rgb="FF9C0006"/>
      </font>
      <fill>
        <patternFill>
          <bgColor rgb="FFFFC7CE"/>
        </patternFill>
      </fill>
    </dxf>
    <dxf>
      <numFmt numFmtId="13" formatCode="0%"/>
    </dxf>
    <dxf>
      <numFmt numFmtId="13" formatCode="0%"/>
    </dxf>
    <dxf>
      <numFmt numFmtId="14"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2" formatCode="0.0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Rating</a:t>
            </a:r>
          </a:p>
        </c:rich>
      </c:tx>
      <c:layout>
        <c:manualLayout>
          <c:xMode val="edge"/>
          <c:yMode val="edge"/>
          <c:x val="0.38205229867467977"/>
          <c:y val="3.7048253583686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Pivot_Tablee!$B$4:$B$14</c:f>
              <c:numCache>
                <c:formatCode>0.00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BD1D-4BCE-A947-4CCB4E6D478C}"/>
            </c:ext>
          </c:extLst>
        </c:ser>
        <c:dLbls>
          <c:dLblPos val="outEnd"/>
          <c:showLegendKey val="0"/>
          <c:showVal val="1"/>
          <c:showCatName val="0"/>
          <c:showSerName val="0"/>
          <c:showPercent val="0"/>
          <c:showBubbleSize val="0"/>
        </c:dLbls>
        <c:gapWidth val="219"/>
        <c:overlap val="-27"/>
        <c:axId val="902079408"/>
        <c:axId val="902092368"/>
      </c:barChart>
      <c:catAx>
        <c:axId val="9020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92368"/>
        <c:crosses val="autoZero"/>
        <c:auto val="1"/>
        <c:lblAlgn val="ctr"/>
        <c:lblOffset val="100"/>
        <c:noMultiLvlLbl val="0"/>
      </c:catAx>
      <c:valAx>
        <c:axId val="90209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 of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Pivot_Tablee!$E$3</c:f>
              <c:strCache>
                <c:ptCount val="1"/>
                <c:pt idx="0">
                  <c:v>Total</c:v>
                </c:pt>
              </c:strCache>
            </c:strRef>
          </c:tx>
          <c:spPr>
            <a:solidFill>
              <a:schemeClr val="accent6"/>
            </a:solidFill>
            <a:ln>
              <a:noFill/>
            </a:ln>
            <a:effectLst/>
          </c:spPr>
          <c:invertIfNegative val="0"/>
          <c:cat>
            <c:strRef>
              <c:f>Pivot_Tablee!$D$4:$D$9</c:f>
              <c:strCache>
                <c:ptCount val="5"/>
                <c:pt idx="0">
                  <c:v>0-5</c:v>
                </c:pt>
                <c:pt idx="1">
                  <c:v>6-10</c:v>
                </c:pt>
                <c:pt idx="2">
                  <c:v>11-15</c:v>
                </c:pt>
                <c:pt idx="3">
                  <c:v>16-20</c:v>
                </c:pt>
                <c:pt idx="4">
                  <c:v>21+</c:v>
                </c:pt>
              </c:strCache>
            </c:strRef>
          </c:cat>
          <c:val>
            <c:numRef>
              <c:f>Pivot_Tablee!$E$4:$E$9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F039-488C-9901-250203FA81BF}"/>
            </c:ext>
          </c:extLst>
        </c:ser>
        <c:dLbls>
          <c:showLegendKey val="0"/>
          <c:showVal val="0"/>
          <c:showCatName val="0"/>
          <c:showSerName val="0"/>
          <c:showPercent val="0"/>
          <c:showBubbleSize val="0"/>
        </c:dLbls>
        <c:gapWidth val="219"/>
        <c:overlap val="-27"/>
        <c:axId val="902081808"/>
        <c:axId val="902105328"/>
      </c:barChart>
      <c:catAx>
        <c:axId val="902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05328"/>
        <c:crosses val="autoZero"/>
        <c:auto val="1"/>
        <c:lblAlgn val="ctr"/>
        <c:lblOffset val="100"/>
        <c:noMultiLvlLbl val="0"/>
      </c:catAx>
      <c:valAx>
        <c:axId val="90210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8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[global_freelancers_pivot_table.xlsx]Pivot_Tablee!PivotTable4</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Hourly Rate</a:t>
            </a:r>
          </a:p>
        </c:rich>
      </c:tx>
      <c:layout>
        <c:manualLayout>
          <c:xMode val="edge"/>
          <c:yMode val="edge"/>
          <c:x val="0.38679941002949858"/>
          <c:y val="2.903600464576074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Pivot_Tablee!$H$3</c:f>
              <c:strCache>
                <c:ptCount val="1"/>
                <c:pt idx="0">
                  <c:v>Total</c:v>
                </c:pt>
              </c:strCache>
            </c:strRef>
          </c:tx>
          <c:spPr>
            <a:solidFill>
              <a:schemeClr val="accent6"/>
            </a:solidFill>
            <a:ln>
              <a:noFill/>
            </a:ln>
            <a:effectLst/>
          </c:spPr>
          <c:invertIfNegative val="0"/>
          <c:cat>
            <c:strRef>
              <c:f>Pivot_Tablee!$G$4:$G$11</c:f>
              <c:strCache>
                <c:ptCount val="7"/>
                <c:pt idx="0">
                  <c:v>100</c:v>
                </c:pt>
                <c:pt idx="1">
                  <c:v>75</c:v>
                </c:pt>
                <c:pt idx="2">
                  <c:v>40</c:v>
                </c:pt>
                <c:pt idx="3">
                  <c:v>30</c:v>
                </c:pt>
                <c:pt idx="4">
                  <c:v>20</c:v>
                </c:pt>
                <c:pt idx="6">
                  <c:v>50</c:v>
                </c:pt>
              </c:strCache>
            </c:strRef>
          </c:cat>
          <c:val>
            <c:numRef>
              <c:f>Pivot_Tablee!$H$4:$H$11</c:f>
              <c:numCache>
                <c:formatCode>0%</c:formatCode>
                <c:ptCount val="7"/>
                <c:pt idx="0">
                  <c:v>0.157</c:v>
                </c:pt>
                <c:pt idx="1">
                  <c:v>0.13400000000000001</c:v>
                </c:pt>
                <c:pt idx="2">
                  <c:v>0.17100000000000001</c:v>
                </c:pt>
                <c:pt idx="3">
                  <c:v>0.15</c:v>
                </c:pt>
                <c:pt idx="4">
                  <c:v>0.14199999999999999</c:v>
                </c:pt>
                <c:pt idx="5">
                  <c:v>9.4E-2</c:v>
                </c:pt>
                <c:pt idx="6">
                  <c:v>0.152</c:v>
                </c:pt>
              </c:numCache>
            </c:numRef>
          </c:val>
          <c:extLst>
            <c:ext xmlns:c16="http://schemas.microsoft.com/office/drawing/2014/chart" uri="{C3380CC4-5D6E-409C-BE32-E72D297353CC}">
              <c16:uniqueId val="{00000000-050B-4299-A1B1-837FA33C72DE}"/>
            </c:ext>
          </c:extLst>
        </c:ser>
        <c:dLbls>
          <c:showLegendKey val="0"/>
          <c:showVal val="0"/>
          <c:showCatName val="0"/>
          <c:showSerName val="0"/>
          <c:showPercent val="0"/>
          <c:showBubbleSize val="0"/>
        </c:dLbls>
        <c:gapWidth val="219"/>
        <c:overlap val="-27"/>
        <c:axId val="902047248"/>
        <c:axId val="902050608"/>
      </c:barChart>
      <c:catAx>
        <c:axId val="9020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50608"/>
        <c:crosses val="autoZero"/>
        <c:auto val="1"/>
        <c:lblAlgn val="ctr"/>
        <c:lblOffset val="100"/>
        <c:noMultiLvlLbl val="0"/>
      </c:catAx>
      <c:valAx>
        <c:axId val="90205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[global_freelancers_pivot_table.xlsx]Pivot_Tablee!PivotTable7</c:name>
    <c:fmtId val="1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Count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Pivot_Tablee!$N$4:$N$25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072E-4DFF-AFB2-0AC43A95373C}"/>
            </c:ext>
          </c:extLst>
        </c:ser>
        <c:dLbls>
          <c:dLblPos val="outEnd"/>
          <c:showLegendKey val="0"/>
          <c:showVal val="1"/>
          <c:showCatName val="0"/>
          <c:showSerName val="0"/>
          <c:showPercent val="0"/>
          <c:showBubbleSize val="0"/>
        </c:dLbls>
        <c:gapWidth val="182"/>
        <c:axId val="1574149872"/>
        <c:axId val="1574144112"/>
      </c:barChart>
      <c:catAx>
        <c:axId val="157414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4112"/>
        <c:crosses val="autoZero"/>
        <c:auto val="1"/>
        <c:lblAlgn val="ctr"/>
        <c:lblOffset val="100"/>
        <c:noMultiLvlLbl val="0"/>
      </c:catAx>
      <c:valAx>
        <c:axId val="15741441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[global_freelancers_pivot_table.xlsx]Pivot_Tablee!PivotTable6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by Langauge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Pivot_Tablee!$K$4:$K$20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9ABB-4622-B662-C702DBD79338}"/>
            </c:ext>
          </c:extLst>
        </c:ser>
        <c:dLbls>
          <c:dLblPos val="outEnd"/>
          <c:showLegendKey val="0"/>
          <c:showVal val="1"/>
          <c:showCatName val="0"/>
          <c:showSerName val="0"/>
          <c:showPercent val="0"/>
          <c:showBubbleSize val="0"/>
        </c:dLbls>
        <c:gapWidth val="182"/>
        <c:axId val="1574144592"/>
        <c:axId val="1574149392"/>
      </c:barChart>
      <c:catAx>
        <c:axId val="157414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9392"/>
        <c:crosses val="autoZero"/>
        <c:auto val="1"/>
        <c:lblAlgn val="ctr"/>
        <c:lblOffset val="100"/>
        <c:noMultiLvlLbl val="0"/>
      </c:catAx>
      <c:valAx>
        <c:axId val="1574149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Rating</a:t>
            </a:r>
          </a:p>
        </c:rich>
      </c:tx>
      <c:layout>
        <c:manualLayout>
          <c:xMode val="edge"/>
          <c:yMode val="edge"/>
          <c:x val="0.38205229867467977"/>
          <c:y val="3.7048253583686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Pivot_Table!$B$4:$B$14</c:f>
              <c:numCache>
                <c:formatCode>0.00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3-F3A6-478E-B1FC-29898E85C4D8}"/>
            </c:ext>
          </c:extLst>
        </c:ser>
        <c:dLbls>
          <c:dLblPos val="outEnd"/>
          <c:showLegendKey val="0"/>
          <c:showVal val="1"/>
          <c:showCatName val="0"/>
          <c:showSerName val="0"/>
          <c:showPercent val="0"/>
          <c:showBubbleSize val="0"/>
        </c:dLbls>
        <c:gapWidth val="219"/>
        <c:overlap val="-27"/>
        <c:axId val="902079408"/>
        <c:axId val="902092368"/>
      </c:barChart>
      <c:catAx>
        <c:axId val="9020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92368"/>
        <c:crosses val="autoZero"/>
        <c:auto val="1"/>
        <c:lblAlgn val="ctr"/>
        <c:lblOffset val="100"/>
        <c:noMultiLvlLbl val="0"/>
      </c:catAx>
      <c:valAx>
        <c:axId val="90209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 of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6"/>
            </a:solidFill>
            <a:ln>
              <a:noFill/>
            </a:ln>
            <a:effectLst/>
          </c:spPr>
          <c:invertIfNegative val="0"/>
          <c:cat>
            <c:strRef>
              <c:f>Pivot_Table!$D$4:$D$9</c:f>
              <c:strCache>
                <c:ptCount val="5"/>
                <c:pt idx="0">
                  <c:v>0-5</c:v>
                </c:pt>
                <c:pt idx="1">
                  <c:v>6-10</c:v>
                </c:pt>
                <c:pt idx="2">
                  <c:v>11-15</c:v>
                </c:pt>
                <c:pt idx="3">
                  <c:v>16-20</c:v>
                </c:pt>
                <c:pt idx="4">
                  <c:v>21+</c:v>
                </c:pt>
              </c:strCache>
            </c:strRef>
          </c:cat>
          <c:val>
            <c:numRef>
              <c:f>Pivot_Table!$E$4:$E$9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1-FF7D-486A-ADEE-E653CC220BA9}"/>
            </c:ext>
          </c:extLst>
        </c:ser>
        <c:dLbls>
          <c:showLegendKey val="0"/>
          <c:showVal val="0"/>
          <c:showCatName val="0"/>
          <c:showSerName val="0"/>
          <c:showPercent val="0"/>
          <c:showBubbleSize val="0"/>
        </c:dLbls>
        <c:gapWidth val="219"/>
        <c:overlap val="-27"/>
        <c:axId val="902081808"/>
        <c:axId val="902105328"/>
      </c:barChart>
      <c:catAx>
        <c:axId val="902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05328"/>
        <c:crosses val="autoZero"/>
        <c:auto val="1"/>
        <c:lblAlgn val="ctr"/>
        <c:lblOffset val="100"/>
        <c:noMultiLvlLbl val="0"/>
      </c:catAx>
      <c:valAx>
        <c:axId val="90210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8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[global_freelancers_pivot_table.xlsx]Pivot_Table!PivotTable4</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Hourly Rate</a:t>
            </a:r>
          </a:p>
        </c:rich>
      </c:tx>
      <c:layout>
        <c:manualLayout>
          <c:xMode val="edge"/>
          <c:yMode val="edge"/>
          <c:x val="0.38679941002949858"/>
          <c:y val="2.903600464576074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6"/>
            </a:solidFill>
            <a:ln>
              <a:noFill/>
            </a:ln>
            <a:effectLst/>
          </c:spPr>
          <c:invertIfNegative val="0"/>
          <c:cat>
            <c:strRef>
              <c:f>Pivot_Table!$G$4:$G$11</c:f>
              <c:strCache>
                <c:ptCount val="7"/>
                <c:pt idx="0">
                  <c:v>100</c:v>
                </c:pt>
                <c:pt idx="1">
                  <c:v>75</c:v>
                </c:pt>
                <c:pt idx="2">
                  <c:v>40</c:v>
                </c:pt>
                <c:pt idx="3">
                  <c:v>30</c:v>
                </c:pt>
                <c:pt idx="4">
                  <c:v>20</c:v>
                </c:pt>
                <c:pt idx="6">
                  <c:v>50</c:v>
                </c:pt>
              </c:strCache>
            </c:strRef>
          </c:cat>
          <c:val>
            <c:numRef>
              <c:f>Pivot_Table!$H$4:$H$11</c:f>
              <c:numCache>
                <c:formatCode>0%</c:formatCode>
                <c:ptCount val="7"/>
                <c:pt idx="0">
                  <c:v>0.157</c:v>
                </c:pt>
                <c:pt idx="1">
                  <c:v>0.13400000000000001</c:v>
                </c:pt>
                <c:pt idx="2">
                  <c:v>0.17100000000000001</c:v>
                </c:pt>
                <c:pt idx="3">
                  <c:v>0.15</c:v>
                </c:pt>
                <c:pt idx="4">
                  <c:v>0.14199999999999999</c:v>
                </c:pt>
                <c:pt idx="5">
                  <c:v>9.4E-2</c:v>
                </c:pt>
                <c:pt idx="6">
                  <c:v>0.152</c:v>
                </c:pt>
              </c:numCache>
            </c:numRef>
          </c:val>
          <c:extLst>
            <c:ext xmlns:c16="http://schemas.microsoft.com/office/drawing/2014/chart" uri="{C3380CC4-5D6E-409C-BE32-E72D297353CC}">
              <c16:uniqueId val="{00000005-7B81-463E-A7B5-81A4499D8E70}"/>
            </c:ext>
          </c:extLst>
        </c:ser>
        <c:dLbls>
          <c:showLegendKey val="0"/>
          <c:showVal val="0"/>
          <c:showCatName val="0"/>
          <c:showSerName val="0"/>
          <c:showPercent val="0"/>
          <c:showBubbleSize val="0"/>
        </c:dLbls>
        <c:gapWidth val="219"/>
        <c:overlap val="-27"/>
        <c:axId val="902047248"/>
        <c:axId val="902050608"/>
      </c:barChart>
      <c:catAx>
        <c:axId val="9020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50608"/>
        <c:crosses val="autoZero"/>
        <c:auto val="1"/>
        <c:lblAlgn val="ctr"/>
        <c:lblOffset val="100"/>
        <c:noMultiLvlLbl val="0"/>
      </c:catAx>
      <c:valAx>
        <c:axId val="90205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[global_freelancers_pivot_table.xlsx]Pivot_Table!PivotTable7</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Count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Pivot_Table!$N$4:$N$25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D560-487C-AAA0-D29196951E68}"/>
            </c:ext>
          </c:extLst>
        </c:ser>
        <c:dLbls>
          <c:dLblPos val="outEnd"/>
          <c:showLegendKey val="0"/>
          <c:showVal val="1"/>
          <c:showCatName val="0"/>
          <c:showSerName val="0"/>
          <c:showPercent val="0"/>
          <c:showBubbleSize val="0"/>
        </c:dLbls>
        <c:gapWidth val="182"/>
        <c:axId val="1574149872"/>
        <c:axId val="1574144112"/>
      </c:barChart>
      <c:catAx>
        <c:axId val="157414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4112"/>
        <c:crosses val="autoZero"/>
        <c:auto val="1"/>
        <c:lblAlgn val="ctr"/>
        <c:lblOffset val="100"/>
        <c:noMultiLvlLbl val="0"/>
      </c:catAx>
      <c:valAx>
        <c:axId val="15741441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[global_freelancers_pivot_table.xlsx]Pivot_Table!PivotTable6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by Langauge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Pivot_Table!$K$4:$K$20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B7ED-49CE-BF8D-F98155C96645}"/>
            </c:ext>
          </c:extLst>
        </c:ser>
        <c:dLbls>
          <c:dLblPos val="outEnd"/>
          <c:showLegendKey val="0"/>
          <c:showVal val="1"/>
          <c:showCatName val="0"/>
          <c:showSerName val="0"/>
          <c:showPercent val="0"/>
          <c:showBubbleSize val="0"/>
        </c:dLbls>
        <c:gapWidth val="182"/>
        <c:axId val="1574144592"/>
        <c:axId val="1574149392"/>
      </c:barChart>
      <c:catAx>
        <c:axId val="157414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9392"/>
        <c:crosses val="autoZero"/>
        <c:auto val="1"/>
        <c:lblAlgn val="ctr"/>
        <c:lblOffset val="100"/>
        <c:noMultiLvlLbl val="0"/>
      </c:catAx>
      <c:valAx>
        <c:axId val="1574149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68580</xdr:colOff>
      <xdr:row>0</xdr:row>
      <xdr:rowOff>99060</xdr:rowOff>
    </xdr:from>
    <xdr:to>
      <xdr:col>13</xdr:col>
      <xdr:colOff>114300</xdr:colOff>
      <xdr:row>11</xdr:row>
      <xdr:rowOff>68580</xdr:rowOff>
    </xdr:to>
    <xdr:graphicFrame macro="">
      <xdr:nvGraphicFramePr>
        <xdr:cNvPr id="2" name="Chart 1">
          <a:extLst>
            <a:ext uri="{FF2B5EF4-FFF2-40B4-BE49-F238E27FC236}">
              <a16:creationId xmlns:a16="http://schemas.microsoft.com/office/drawing/2014/main" id="{E206D9C7-1DAD-4207-93FD-C151AFF86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11</xdr:row>
      <xdr:rowOff>160020</xdr:rowOff>
    </xdr:from>
    <xdr:to>
      <xdr:col>7</xdr:col>
      <xdr:colOff>251460</xdr:colOff>
      <xdr:row>23</xdr:row>
      <xdr:rowOff>175260</xdr:rowOff>
    </xdr:to>
    <xdr:graphicFrame macro="">
      <xdr:nvGraphicFramePr>
        <xdr:cNvPr id="3" name="Chart 2">
          <a:extLst>
            <a:ext uri="{FF2B5EF4-FFF2-40B4-BE49-F238E27FC236}">
              <a16:creationId xmlns:a16="http://schemas.microsoft.com/office/drawing/2014/main" id="{B937E581-7DD1-4A9D-BE81-BAA79C51C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11</xdr:row>
      <xdr:rowOff>160020</xdr:rowOff>
    </xdr:from>
    <xdr:to>
      <xdr:col>13</xdr:col>
      <xdr:colOff>106680</xdr:colOff>
      <xdr:row>23</xdr:row>
      <xdr:rowOff>152400</xdr:rowOff>
    </xdr:to>
    <xdr:graphicFrame macro="">
      <xdr:nvGraphicFramePr>
        <xdr:cNvPr id="4" name="Chart 3">
          <a:extLst>
            <a:ext uri="{FF2B5EF4-FFF2-40B4-BE49-F238E27FC236}">
              <a16:creationId xmlns:a16="http://schemas.microsoft.com/office/drawing/2014/main" id="{7DA71747-57C7-47CE-B44F-7DFF6CF02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83820</xdr:rowOff>
    </xdr:from>
    <xdr:to>
      <xdr:col>2</xdr:col>
      <xdr:colOff>601980</xdr:colOff>
      <xdr:row>11</xdr:row>
      <xdr:rowOff>83820</xdr:rowOff>
    </xdr:to>
    <mc:AlternateContent xmlns:mc="http://schemas.openxmlformats.org/markup-compatibility/2006">
      <mc:Choice xmlns:a14="http://schemas.microsoft.com/office/drawing/2010/main" Requires="a14">
        <xdr:graphicFrame macro="">
          <xdr:nvGraphicFramePr>
            <xdr:cNvPr id="5" name="Primary Skill 1">
              <a:extLst>
                <a:ext uri="{FF2B5EF4-FFF2-40B4-BE49-F238E27FC236}">
                  <a16:creationId xmlns:a16="http://schemas.microsoft.com/office/drawing/2014/main" id="{B4192895-A866-4801-9FDF-835717F79114}"/>
                </a:ext>
              </a:extLst>
            </xdr:cNvPr>
            <xdr:cNvGraphicFramePr/>
          </xdr:nvGraphicFramePr>
          <xdr:xfrm>
            <a:off x="0" y="0"/>
            <a:ext cx="0" cy="0"/>
          </xdr:xfrm>
          <a:graphic>
            <a:graphicData uri="http://schemas.microsoft.com/office/drawing/2010/slicer">
              <sle:slicer xmlns:sle="http://schemas.microsoft.com/office/drawing/2010/slicer" name="Primary Skill 1"/>
            </a:graphicData>
          </a:graphic>
        </xdr:graphicFrame>
      </mc:Choice>
      <mc:Fallback>
        <xdr:sp macro="" textlink="">
          <xdr:nvSpPr>
            <xdr:cNvPr id="0" name=""/>
            <xdr:cNvSpPr>
              <a:spLocks noTextEdit="1"/>
            </xdr:cNvSpPr>
          </xdr:nvSpPr>
          <xdr:spPr>
            <a:xfrm>
              <a:off x="76200" y="83820"/>
              <a:ext cx="174498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0</xdr:row>
      <xdr:rowOff>83820</xdr:rowOff>
    </xdr:from>
    <xdr:to>
      <xdr:col>5</xdr:col>
      <xdr:colOff>594360</xdr:colOff>
      <xdr:row>11</xdr:row>
      <xdr:rowOff>68580</xdr:rowOff>
    </xdr:to>
    <mc:AlternateContent xmlns:mc="http://schemas.openxmlformats.org/markup-compatibility/2006">
      <mc:Choice xmlns:a14="http://schemas.microsoft.com/office/drawing/2010/main" Requires="a14">
        <xdr:graphicFrame macro="">
          <xdr:nvGraphicFramePr>
            <xdr:cNvPr id="6" name="Status 1">
              <a:extLst>
                <a:ext uri="{FF2B5EF4-FFF2-40B4-BE49-F238E27FC236}">
                  <a16:creationId xmlns:a16="http://schemas.microsoft.com/office/drawing/2014/main" id="{736254A5-0B22-41AB-9372-ED4187FB6899}"/>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889760" y="83820"/>
              <a:ext cx="17526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182880</xdr:colOff>
      <xdr:row>0</xdr:row>
      <xdr:rowOff>91440</xdr:rowOff>
    </xdr:from>
    <xdr:to>
      <xdr:col>18</xdr:col>
      <xdr:colOff>22860</xdr:colOff>
      <xdr:row>23</xdr:row>
      <xdr:rowOff>129540</xdr:rowOff>
    </xdr:to>
    <xdr:graphicFrame macro="">
      <xdr:nvGraphicFramePr>
        <xdr:cNvPr id="7" name="Chart 6">
          <a:extLst>
            <a:ext uri="{FF2B5EF4-FFF2-40B4-BE49-F238E27FC236}">
              <a16:creationId xmlns:a16="http://schemas.microsoft.com/office/drawing/2014/main" id="{CE77C4CA-4FED-4582-BAA9-9EAF10010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99060</xdr:colOff>
      <xdr:row>0</xdr:row>
      <xdr:rowOff>91440</xdr:rowOff>
    </xdr:from>
    <xdr:to>
      <xdr:col>22</xdr:col>
      <xdr:colOff>495300</xdr:colOff>
      <xdr:row>23</xdr:row>
      <xdr:rowOff>106680</xdr:rowOff>
    </xdr:to>
    <xdr:graphicFrame macro="">
      <xdr:nvGraphicFramePr>
        <xdr:cNvPr id="8" name="Chart 7">
          <a:extLst>
            <a:ext uri="{FF2B5EF4-FFF2-40B4-BE49-F238E27FC236}">
              <a16:creationId xmlns:a16="http://schemas.microsoft.com/office/drawing/2014/main" id="{E01195FB-1B9C-450D-85CE-EB5C56B75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68580</xdr:colOff>
      <xdr:row>0</xdr:row>
      <xdr:rowOff>99060</xdr:rowOff>
    </xdr:from>
    <xdr:to>
      <xdr:col>13</xdr:col>
      <xdr:colOff>114300</xdr:colOff>
      <xdr:row>11</xdr:row>
      <xdr:rowOff>68580</xdr:rowOff>
    </xdr:to>
    <xdr:graphicFrame macro="">
      <xdr:nvGraphicFramePr>
        <xdr:cNvPr id="2" name="Chart 1">
          <a:extLst>
            <a:ext uri="{FF2B5EF4-FFF2-40B4-BE49-F238E27FC236}">
              <a16:creationId xmlns:a16="http://schemas.microsoft.com/office/drawing/2014/main" id="{2509C521-13DB-49F8-B852-F0ACFE6F5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11</xdr:row>
      <xdr:rowOff>160020</xdr:rowOff>
    </xdr:from>
    <xdr:to>
      <xdr:col>7</xdr:col>
      <xdr:colOff>251460</xdr:colOff>
      <xdr:row>23</xdr:row>
      <xdr:rowOff>175260</xdr:rowOff>
    </xdr:to>
    <xdr:graphicFrame macro="">
      <xdr:nvGraphicFramePr>
        <xdr:cNvPr id="3" name="Chart 2">
          <a:extLst>
            <a:ext uri="{FF2B5EF4-FFF2-40B4-BE49-F238E27FC236}">
              <a16:creationId xmlns:a16="http://schemas.microsoft.com/office/drawing/2014/main" id="{E5219189-09FA-4CFA-A4D0-075ADD948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11</xdr:row>
      <xdr:rowOff>160020</xdr:rowOff>
    </xdr:from>
    <xdr:to>
      <xdr:col>13</xdr:col>
      <xdr:colOff>106680</xdr:colOff>
      <xdr:row>23</xdr:row>
      <xdr:rowOff>152400</xdr:rowOff>
    </xdr:to>
    <xdr:graphicFrame macro="">
      <xdr:nvGraphicFramePr>
        <xdr:cNvPr id="4" name="Chart 3">
          <a:extLst>
            <a:ext uri="{FF2B5EF4-FFF2-40B4-BE49-F238E27FC236}">
              <a16:creationId xmlns:a16="http://schemas.microsoft.com/office/drawing/2014/main" id="{B0456D8F-AAC5-4B15-BCF8-B43BCC240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83820</xdr:rowOff>
    </xdr:from>
    <xdr:to>
      <xdr:col>2</xdr:col>
      <xdr:colOff>601980</xdr:colOff>
      <xdr:row>11</xdr:row>
      <xdr:rowOff>83820</xdr:rowOff>
    </xdr:to>
    <mc:AlternateContent xmlns:mc="http://schemas.openxmlformats.org/markup-compatibility/2006" xmlns:a14="http://schemas.microsoft.com/office/drawing/2010/main">
      <mc:Choice Requires="a14">
        <xdr:graphicFrame macro="">
          <xdr:nvGraphicFramePr>
            <xdr:cNvPr id="7" name="Primary Skill">
              <a:extLst>
                <a:ext uri="{FF2B5EF4-FFF2-40B4-BE49-F238E27FC236}">
                  <a16:creationId xmlns:a16="http://schemas.microsoft.com/office/drawing/2014/main" id="{729A6942-C5FF-1588-4354-CBE707096F42}"/>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76200" y="83820"/>
              <a:ext cx="174498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0</xdr:row>
      <xdr:rowOff>83820</xdr:rowOff>
    </xdr:from>
    <xdr:to>
      <xdr:col>5</xdr:col>
      <xdr:colOff>594360</xdr:colOff>
      <xdr:row>11</xdr:row>
      <xdr:rowOff>68580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76016207-9379-2BEB-E5DE-6810F27D6C4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889760" y="83820"/>
              <a:ext cx="17526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182880</xdr:colOff>
      <xdr:row>0</xdr:row>
      <xdr:rowOff>91440</xdr:rowOff>
    </xdr:from>
    <xdr:to>
      <xdr:col>18</xdr:col>
      <xdr:colOff>22860</xdr:colOff>
      <xdr:row>23</xdr:row>
      <xdr:rowOff>129540</xdr:rowOff>
    </xdr:to>
    <xdr:graphicFrame macro="">
      <xdr:nvGraphicFramePr>
        <xdr:cNvPr id="9" name="Chart 8">
          <a:extLst>
            <a:ext uri="{FF2B5EF4-FFF2-40B4-BE49-F238E27FC236}">
              <a16:creationId xmlns:a16="http://schemas.microsoft.com/office/drawing/2014/main" id="{3B366363-D3ED-49F3-94EA-FADFBF8FF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99060</xdr:colOff>
      <xdr:row>0</xdr:row>
      <xdr:rowOff>91440</xdr:rowOff>
    </xdr:from>
    <xdr:to>
      <xdr:col>22</xdr:col>
      <xdr:colOff>495300</xdr:colOff>
      <xdr:row>23</xdr:row>
      <xdr:rowOff>106680</xdr:rowOff>
    </xdr:to>
    <xdr:graphicFrame macro="">
      <xdr:nvGraphicFramePr>
        <xdr:cNvPr id="10" name="Chart 9">
          <a:extLst>
            <a:ext uri="{FF2B5EF4-FFF2-40B4-BE49-F238E27FC236}">
              <a16:creationId xmlns:a16="http://schemas.microsoft.com/office/drawing/2014/main" id="{B984B534-9907-4B9A-8488-38ED5948B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53241" backgroundQuery="1" createdVersion="8" refreshedVersion="8" minRefreshableVersion="3" recordCount="0" supportSubquery="1" supportAdvancedDrill="1" xr:uid="{69F44ACF-9A10-4FDF-90F5-91F7F710A86B}">
  <cacheSource type="external" connectionId="1"/>
  <cacheFields count="3">
    <cacheField name="[Measures].[Average of Rating]" caption="Average of Rating" numFmtId="0" hierarchy="23" level="32767"/>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1"/>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995371" backgroundQuery="1" createdVersion="8" refreshedVersion="8" minRefreshableVersion="3" recordCount="0" supportSubquery="1" supportAdvancedDrill="1" xr:uid="{C0305BAF-D58D-48ED-9C76-63E0DDEB158F}">
  <cacheSource type="external" connectionId="1"/>
  <cacheFields count="3">
    <cacheField name="[Measures].[Count of Freelancer_ID]" caption="Count of Freelancer_ID" numFmtId="0" hierarchy="21" level="32767"/>
    <cacheField name="[Range].[Experience (bucket)].[Experience (bucket)]" caption="Experience (bucket)" numFmtId="0" hierarchy="10" level="1">
      <sharedItems count="5">
        <s v="0-5"/>
        <s v="11-15"/>
        <s v="16-20"/>
        <s v="21+"/>
        <s v="6-10"/>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2" memberValueDatatype="130" unbalanced="0">
      <fieldsUsage count="2">
        <fieldUsage x="-1"/>
        <fieldUsage x="1"/>
      </fieldsUsage>
    </cacheHierarchy>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6574072" backgroundQuery="1" createdVersion="8" refreshedVersion="8" minRefreshableVersion="3" recordCount="0" supportSubquery="1" supportAdvancedDrill="1" xr:uid="{FC5C1E5F-2B5E-42A7-8A49-0ED020679935}">
  <cacheSource type="external" connectionId="1"/>
  <cacheFields count="3">
    <cacheField name="[Measures].[Count of Freelancer_ID]" caption="Count of Freelancer_ID" numFmtId="0" hierarchy="21" level="32767"/>
    <cacheField name="[Range].[Hourly Rate].[Hourly Rate]" caption="Hourly Rate" numFmtId="0" hierarchy="13" level="1">
      <sharedItems count="7">
        <s v=""/>
        <s v="100"/>
        <s v="20"/>
        <s v="30"/>
        <s v="40"/>
        <s v="50"/>
        <s v="75"/>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15278" backgroundQuery="1" createdVersion="8" refreshedVersion="8" minRefreshableVersion="3" recordCount="0" supportSubquery="1" supportAdvancedDrill="1" xr:uid="{E799038A-A8EA-4E1C-AD9C-8D64B5852858}">
  <cacheSource type="external" connectionId="1"/>
  <cacheFields count="4">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73148" backgroundQuery="1" createdVersion="8" refreshedVersion="8" minRefreshableVersion="3" recordCount="0" supportSubquery="1" supportAdvancedDrill="1" xr:uid="{C024BFC3-C759-47D5-94DF-34096BEE15FE}">
  <cacheSource type="external" connectionId="1"/>
  <cacheFields count="5">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Country].[Country]" caption="Country" numFmtId="0" hierarchy="6"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3"/>
      </fieldsUsage>
    </cacheHierarchy>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6574072" backgroundQuery="1" createdVersion="8" refreshedVersion="8" minRefreshableVersion="3" recordCount="0" supportSubquery="1" supportAdvancedDrill="1" xr:uid="{75EB5F33-2C59-4A41-800C-B448C0774D42}">
  <cacheSource type="external" connectionId="1"/>
  <cacheFields count="3">
    <cacheField name="[Measures].[Count of Freelancer_ID]" caption="Count of Freelancer_ID" numFmtId="0" hierarchy="21" level="32767"/>
    <cacheField name="[Range].[Hourly Rate].[Hourly Rate]" caption="Hourly Rate" numFmtId="0" hierarchy="13" level="1">
      <sharedItems count="7">
        <s v=""/>
        <s v="100"/>
        <s v="20"/>
        <s v="30"/>
        <s v="40"/>
        <s v="50"/>
        <s v="75"/>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995371" backgroundQuery="1" createdVersion="8" refreshedVersion="8" minRefreshableVersion="3" recordCount="0" supportSubquery="1" supportAdvancedDrill="1" xr:uid="{BCFFF87B-2F5B-499E-89F9-5061149435A1}">
  <cacheSource type="external" connectionId="1"/>
  <cacheFields count="3">
    <cacheField name="[Measures].[Count of Freelancer_ID]" caption="Count of Freelancer_ID" numFmtId="0" hierarchy="21" level="32767"/>
    <cacheField name="[Range].[Experience (bucket)].[Experience (bucket)]" caption="Experience (bucket)" numFmtId="0" hierarchy="10" level="1">
      <sharedItems count="5">
        <s v="0-5"/>
        <s v="11-15"/>
        <s v="16-20"/>
        <s v="21+"/>
        <s v="6-10"/>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2" memberValueDatatype="130" unbalanced="0">
      <fieldsUsage count="2">
        <fieldUsage x="-1"/>
        <fieldUsage x="1"/>
      </fieldsUsage>
    </cacheHierarchy>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53241" backgroundQuery="1" createdVersion="8" refreshedVersion="8" minRefreshableVersion="3" recordCount="0" supportSubquery="1" supportAdvancedDrill="1" xr:uid="{693A3991-F96A-4E3B-B92A-1F810EE0F097}">
  <cacheSource type="external" connectionId="1"/>
  <cacheFields count="3">
    <cacheField name="[Measures].[Average of Rating]" caption="Average of Rating" numFmtId="0" hierarchy="23" level="32767"/>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1"/>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73148" backgroundQuery="1" createdVersion="8" refreshedVersion="8" minRefreshableVersion="3" recordCount="0" supportSubquery="1" supportAdvancedDrill="1" xr:uid="{DBE04986-F87E-4185-BD5F-741A0D9D0FFD}">
  <cacheSource type="external" connectionId="1"/>
  <cacheFields count="5">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Country].[Country]" caption="Country" numFmtId="0" hierarchy="6"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3"/>
      </fieldsUsage>
    </cacheHierarchy>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15278" backgroundQuery="1" createdVersion="8" refreshedVersion="8" minRefreshableVersion="3" recordCount="0" supportSubquery="1" supportAdvancedDrill="1" xr:uid="{D277D2D1-F873-46F4-BD79-C27D7D07BFF8}">
  <cacheSource type="external" connectionId="1"/>
  <cacheFields count="4">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19959837965" backgroundQuery="1" createdVersion="3" refreshedVersion="8" minRefreshableVersion="3" recordCount="0" supportSubquery="1" supportAdvancedDrill="1" xr:uid="{E8BE1FB3-E684-4635-B847-BDA0E21BA0A0}">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5384281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3A9EF5-F044-4B92-82FE-8E1A85E6B727}"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20" firstHeaderRow="1" firstDataRow="1" firstDataCol="1"/>
  <pivotFields count="4">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1" subtotal="count" baseField="0" baseItem="0"/>
  </dataFields>
  <formats count="1">
    <format dxfId="0">
      <pivotArea outline="0" collapsedLevelsAreSubtotals="1" fieldPosition="0"/>
    </format>
  </formats>
  <chartFormats count="5">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7D7AE6-FBD9-4948-939A-38ECDE5931F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N25" firstHeaderRow="1" firstDataRow="1" firstDataCol="1"/>
  <pivotFields count="5">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_ID" fld="1" subtotal="count" baseField="0" baseItem="0" numFmtId="1"/>
  </dataFields>
  <formats count="1">
    <format dxfId="1">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6431D-94D1-452D-B78D-FDE2FEA9FCC4}" name="PivotTable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B14"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6"/>
    </i>
    <i>
      <x v="7"/>
    </i>
    <i>
      <x v="8"/>
    </i>
    <i>
      <x v="5"/>
    </i>
    <i>
      <x v="2"/>
    </i>
    <i>
      <x v="9"/>
    </i>
    <i>
      <x v="3"/>
    </i>
    <i>
      <x/>
    </i>
    <i>
      <x v="1"/>
    </i>
    <i t="grand">
      <x/>
    </i>
  </rowItems>
  <colItems count="1">
    <i/>
  </colItems>
  <dataFields count="1">
    <dataField name="Average of Rating" fld="0" subtotal="average" baseField="0" baseItem="0" numFmtId="2"/>
  </dataFields>
  <formats count="1">
    <format dxfId="2">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5DAB81-1D74-418A-BC5F-0548B122627B}"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9" firstHeaderRow="1" firstDataRow="1" firstDataCol="1"/>
  <pivotFields count="3">
    <pivotField dataField="1" subtotalTop="0" showAll="0" defaultSubtotal="0"/>
    <pivotField axis="axisRow" allDrilled="1" subtotalTop="0" showAll="0" defaultSubtotal="0" defaultAttributeDrillState="1">
      <items count="5">
        <item x="0"/>
        <item x="4"/>
        <item x="1"/>
        <item x="2"/>
        <item x="3"/>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Freelancer_ID" fld="0" subtotal="count" showDataAs="percentOfTotal" baseField="1" baseItem="0" numFmtId="10"/>
  </dataFields>
  <formats count="7">
    <format dxfId="3">
      <pivotArea outline="0" collapsedLevelsAreSubtotals="1" fieldPosition="0"/>
    </format>
    <format dxfId="4">
      <pivotArea outline="0" fieldPosition="0">
        <references count="1">
          <reference field="4294967294" count="1">
            <x v="0"/>
          </reference>
        </references>
      </pivotArea>
    </format>
    <format dxfId="5">
      <pivotArea collapsedLevelsAreSubtotals="1" fieldPosition="0">
        <references count="1">
          <reference field="1" count="1">
            <x v="0"/>
          </reference>
        </references>
      </pivotArea>
    </format>
    <format dxfId="6">
      <pivotArea collapsedLevelsAreSubtotals="1" fieldPosition="0">
        <references count="1">
          <reference field="1" count="1">
            <x v="2"/>
          </reference>
        </references>
      </pivotArea>
    </format>
    <format dxfId="7">
      <pivotArea collapsedLevelsAreSubtotals="1" fieldPosition="0">
        <references count="1">
          <reference field="1" count="1">
            <x v="3"/>
          </reference>
        </references>
      </pivotArea>
    </format>
    <format dxfId="8">
      <pivotArea collapsedLevelsAreSubtotals="1" fieldPosition="0">
        <references count="1">
          <reference field="1" count="1">
            <x v="4"/>
          </reference>
        </references>
      </pivotArea>
    </format>
    <format dxfId="9">
      <pivotArea collapsedLevelsAreSubtotals="1" fieldPosition="0">
        <references count="1">
          <reference field="1" count="1">
            <x v="1"/>
          </reference>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ADAC6E-41FF-4CCB-9613-D2EA36D83E9C}"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1" firstHeaderRow="1" firstDataRow="1" firstDataCol="1"/>
  <pivotFields count="3">
    <pivotField dataField="1" subtotalTop="0" showAll="0" defaultSubtotal="0"/>
    <pivotField axis="axisRow" allDrilled="1" subtotalTop="0" showAll="0" defaultSubtotal="0" defaultAttributeDrillState="1">
      <items count="7">
        <item x="1"/>
        <item x="6"/>
        <item x="4"/>
        <item x="3"/>
        <item x="2"/>
        <item x="0"/>
        <item x="5"/>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Freelancer_ID" fld="0" subtotal="count" showDataAs="percentOfTotal" baseField="0" baseItem="0" numFmtId="10"/>
  </dataFields>
  <formats count="4">
    <format dxfId="10">
      <pivotArea outline="0" collapsedLevelsAreSubtotals="1" fieldPosition="0"/>
    </format>
    <format dxfId="11">
      <pivotArea outline="0" fieldPosition="0">
        <references count="1">
          <reference field="4294967294" count="1">
            <x v="0"/>
          </reference>
        </references>
      </pivotArea>
    </format>
    <format dxfId="12">
      <pivotArea grandRow="1" outline="0" collapsedLevelsAreSubtotals="1" fieldPosition="0"/>
    </format>
    <format dxfId="13">
      <pivotArea collapsedLevelsAreSubtotals="1" fieldPosition="0">
        <references count="1">
          <reference field="1" count="0"/>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69F7F3-B6ED-421F-912F-D663232AE0F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1" firstHeaderRow="1" firstDataRow="1" firstDataCol="1"/>
  <pivotFields count="3">
    <pivotField dataField="1" subtotalTop="0" showAll="0" defaultSubtotal="0"/>
    <pivotField axis="axisRow" allDrilled="1" subtotalTop="0" showAll="0" defaultSubtotal="0" defaultAttributeDrillState="1">
      <items count="7">
        <item x="1"/>
        <item x="6"/>
        <item x="4"/>
        <item x="3"/>
        <item x="2"/>
        <item x="0"/>
        <item x="5"/>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Freelancer_ID" fld="0" subtotal="count" showDataAs="percentOfTotal" baseField="0" baseItem="0" numFmtId="10"/>
  </dataFields>
  <formats count="4">
    <format dxfId="19">
      <pivotArea outline="0" collapsedLevelsAreSubtotals="1" fieldPosition="0"/>
    </format>
    <format dxfId="18">
      <pivotArea outline="0" fieldPosition="0">
        <references count="1">
          <reference field="4294967294" count="1">
            <x v="0"/>
          </reference>
        </references>
      </pivotArea>
    </format>
    <format dxfId="17">
      <pivotArea grandRow="1" outline="0" collapsedLevelsAreSubtotals="1" fieldPosition="0"/>
    </format>
    <format dxfId="16">
      <pivotArea collapsedLevelsAreSubtotals="1" fieldPosition="0">
        <references count="1">
          <reference field="1" count="0"/>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6CB3F4-7679-4C2F-8979-025EAED6D27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9" firstHeaderRow="1" firstDataRow="1" firstDataCol="1"/>
  <pivotFields count="3">
    <pivotField dataField="1" subtotalTop="0" showAll="0" defaultSubtotal="0"/>
    <pivotField axis="axisRow" allDrilled="1" subtotalTop="0" showAll="0" defaultSubtotal="0" defaultAttributeDrillState="1">
      <items count="5">
        <item x="0"/>
        <item x="4"/>
        <item x="1"/>
        <item x="2"/>
        <item x="3"/>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Freelancer_ID" fld="0" subtotal="count" showDataAs="percentOfTotal" baseField="1" baseItem="0" numFmtId="10"/>
  </dataFields>
  <formats count="7">
    <format dxfId="26">
      <pivotArea outline="0" collapsedLevelsAreSubtotals="1" fieldPosition="0"/>
    </format>
    <format dxfId="25">
      <pivotArea outline="0" fieldPosition="0">
        <references count="1">
          <reference field="4294967294" count="1">
            <x v="0"/>
          </reference>
        </references>
      </pivotArea>
    </format>
    <format dxfId="24">
      <pivotArea collapsedLevelsAreSubtotals="1" fieldPosition="0">
        <references count="1">
          <reference field="1" count="1">
            <x v="0"/>
          </reference>
        </references>
      </pivotArea>
    </format>
    <format dxfId="23">
      <pivotArea collapsedLevelsAreSubtotals="1" fieldPosition="0">
        <references count="1">
          <reference field="1" count="1">
            <x v="2"/>
          </reference>
        </references>
      </pivotArea>
    </format>
    <format dxfId="22">
      <pivotArea collapsedLevelsAreSubtotals="1" fieldPosition="0">
        <references count="1">
          <reference field="1" count="1">
            <x v="3"/>
          </reference>
        </references>
      </pivotArea>
    </format>
    <format dxfId="21">
      <pivotArea collapsedLevelsAreSubtotals="1" fieldPosition="0">
        <references count="1">
          <reference field="1" count="1">
            <x v="4"/>
          </reference>
        </references>
      </pivotArea>
    </format>
    <format dxfId="20">
      <pivotArea collapsedLevelsAreSubtotals="1" fieldPosition="0">
        <references count="1">
          <reference field="1" count="1">
            <x v="1"/>
          </reference>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EE0173-F2AE-4D3F-ADF6-2F787CD0CE02}"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B14"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6"/>
    </i>
    <i>
      <x v="7"/>
    </i>
    <i>
      <x v="8"/>
    </i>
    <i>
      <x v="5"/>
    </i>
    <i>
      <x v="2"/>
    </i>
    <i>
      <x v="9"/>
    </i>
    <i>
      <x v="3"/>
    </i>
    <i>
      <x/>
    </i>
    <i>
      <x v="1"/>
    </i>
    <i t="grand">
      <x/>
    </i>
  </rowItems>
  <colItems count="1">
    <i/>
  </colItems>
  <dataFields count="1">
    <dataField name="Average of Rating" fld="0" subtotal="average" baseField="0" baseItem="0" numFmtId="2"/>
  </dataFields>
  <formats count="1">
    <format dxfId="27">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8B0E9C-31A2-45FB-ABD2-363F8354966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N25" firstHeaderRow="1" firstDataRow="1" firstDataCol="1"/>
  <pivotFields count="5">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_ID" fld="1" subtotal="count" baseField="0" baseItem="0" numFmtId="1"/>
  </dataFields>
  <formats count="1">
    <format dxfId="28">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B45913-1E48-46A3-93B4-6C92AEF55E0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20" firstHeaderRow="1" firstDataRow="1" firstDataCol="1"/>
  <pivotFields count="4">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1" subtotal="count" baseField="0" baseItem="0"/>
  </dataFields>
  <formats count="1">
    <format dxfId="29">
      <pivotArea outline="0" collapsedLevelsAreSubtotals="1" fieldPosition="0"/>
    </format>
  </formats>
  <chartFormats count="5">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9177AA6D-16F8-48C3-8EA6-A68642E195AF}" sourceName="[Range].[Primary Skill]">
  <pivotTables>
    <pivotTable tabId="4" name="PivotTable2"/>
    <pivotTable tabId="4" name="PivotTable3"/>
    <pivotTable tabId="4" name="PivotTable4"/>
    <pivotTable tabId="4" name="PivotTable6"/>
    <pivotTable tabId="4" name="PivotTable7"/>
    <pivotTable tabId="11" name="PivotTable4"/>
    <pivotTable tabId="11" name="PivotTable3"/>
    <pivotTable tabId="11" name="PivotTable2"/>
    <pivotTable tabId="11" name="PivotTable7"/>
    <pivotTable tabId="11" name="PivotTable6"/>
  </pivotTables>
  <data>
    <olap pivotCacheId="1538428109">
      <levels count="2">
        <level uniqueName="[Range].[Primary Skill].[(All)]" sourceCaption="(All)" count="0"/>
        <level uniqueName="[Range].[Primary Skill].[Primary Skill]" sourceCaption="Primary Skill" count="11">
          <ranges>
            <range startItem="0">
              <i n="[Range].[Primary Skill].&amp;[AI]" c="AI"/>
              <i n="[Range].[Primary Skill].&amp;[Blockchain Development]" c="Blockchain Development"/>
              <i n="[Range].[Primary Skill].&amp;[Cybersecurity]" c="Cybersecurity"/>
              <i n="[Range].[Primary Skill].&amp;[Data Analysis]" c="Data Analysis"/>
              <i n="[Range].[Primary Skill].&amp;[DevOps]" c="DevOps"/>
              <i n="[Range].[Primary Skill].&amp;[Graphic Design]" c="Graphic Design"/>
              <i n="[Range].[Primary Skill].&amp;[Machine Learning]" c="Machine Learning"/>
              <i n="[Range].[Primary Skill].&amp;[Mobile Apps]" c="Mobile Apps"/>
              <i n="[Range].[Primary Skill].&amp;[UI/UX Design]" c="UI/UX Design"/>
              <i n="[Range].[Primary Skill].&amp;[Web Development]" c="Web Development"/>
              <i n="[Range].[Primary Skill].&amp;" c="(blank)" nd="1"/>
            </range>
          </ranges>
        </level>
      </levels>
      <selections count="1">
        <selection n="[Range].[Primary 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DBD55FA-9783-45B5-B29C-D150AB4B905E}" sourceName="[Range].[Status]">
  <pivotTables>
    <pivotTable tabId="4" name="PivotTable2"/>
    <pivotTable tabId="4" name="PivotTable3"/>
    <pivotTable tabId="4" name="PivotTable4"/>
    <pivotTable tabId="4" name="PivotTable6"/>
    <pivotTable tabId="4" name="PivotTable7"/>
    <pivotTable tabId="11" name="PivotTable4"/>
    <pivotTable tabId="11" name="PivotTable3"/>
    <pivotTable tabId="11" name="PivotTable2"/>
    <pivotTable tabId="11" name="PivotTable7"/>
    <pivotTable tabId="11" name="PivotTable6"/>
  </pivotTables>
  <data>
    <olap pivotCacheId="1538428109">
      <levels count="2">
        <level uniqueName="[Range].[Status].[(All)]" sourceCaption="(All)" count="0"/>
        <level uniqueName="[Range].[Status].[Status]" sourceCaption="Status" count="3">
          <ranges>
            <range startItem="0">
              <i n="[Range].[Status].&amp;" c="(blank)"/>
              <i n="[Range].[Status].&amp;[ Active]" c=" Active"/>
              <i n="[Range].[Status].&amp;[Not Active]" c="Not Active"/>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1" xr10:uid="{523DD1BD-F39F-4CF7-BFF8-17530FC838C6}" cache="Slicer_Primary_Skill" caption="Primary Skill" level="1" rowHeight="234950"/>
  <slicer name="Status 1" xr10:uid="{9796A5D9-DA5A-4092-830B-9930EAB6F775}" cache="Slicer_Status" caption="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6CF1C22B-6CC6-4C1C-97A1-2795E493FE61}" cache="Slicer_Primary_Skill" caption="Primary Skill" level="1" rowHeight="234950"/>
  <slicer name="Status" xr10:uid="{4E098D41-81A9-48F8-923D-FED8EC9C2929}" cache="Slicer_Status" caption="Statu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03156-4613-4AB4-B76D-61CD0B2377A9}">
  <dimension ref="A3:N25"/>
  <sheetViews>
    <sheetView tabSelected="1" workbookViewId="0">
      <selection activeCell="K4" sqref="K4"/>
    </sheetView>
  </sheetViews>
  <sheetFormatPr defaultRowHeight="14.4" x14ac:dyDescent="0.3"/>
  <cols>
    <col min="1" max="1" width="21.44140625" bestFit="1" customWidth="1"/>
    <col min="2" max="2" width="16" bestFit="1" customWidth="1"/>
    <col min="4" max="4" width="12.5546875" bestFit="1" customWidth="1"/>
    <col min="5" max="5" width="20.44140625" bestFit="1" customWidth="1"/>
    <col min="7" max="7" width="12.5546875" bestFit="1" customWidth="1"/>
    <col min="8" max="8" width="20.44140625" bestFit="1" customWidth="1"/>
    <col min="10" max="10" width="12.5546875" bestFit="1" customWidth="1"/>
    <col min="11" max="11" width="20.44140625" bestFit="1" customWidth="1"/>
    <col min="13" max="13" width="14" bestFit="1" customWidth="1"/>
    <col min="14" max="14" width="20.44140625" bestFit="1" customWidth="1"/>
  </cols>
  <sheetData>
    <row r="3" spans="1:14" x14ac:dyDescent="0.3">
      <c r="A3" t="s">
        <v>2085</v>
      </c>
      <c r="B3" t="s">
        <v>2088</v>
      </c>
      <c r="D3" t="s">
        <v>2085</v>
      </c>
      <c r="E3" t="s">
        <v>2084</v>
      </c>
      <c r="G3" t="s">
        <v>2085</v>
      </c>
      <c r="H3" t="s">
        <v>2084</v>
      </c>
      <c r="J3" t="s">
        <v>2085</v>
      </c>
      <c r="K3" t="s">
        <v>2084</v>
      </c>
      <c r="M3" t="s">
        <v>2085</v>
      </c>
      <c r="N3" t="s">
        <v>2084</v>
      </c>
    </row>
    <row r="4" spans="1:14" x14ac:dyDescent="0.3">
      <c r="A4" s="6" t="s">
        <v>81</v>
      </c>
      <c r="B4" s="2">
        <v>2.8106796116504866</v>
      </c>
      <c r="D4" s="6" t="s">
        <v>2089</v>
      </c>
      <c r="E4" s="1">
        <v>0.39100000000000001</v>
      </c>
      <c r="G4" s="6" t="s">
        <v>2094</v>
      </c>
      <c r="H4" s="1">
        <v>0.157</v>
      </c>
      <c r="J4" s="6" t="s">
        <v>14</v>
      </c>
      <c r="K4" s="8">
        <v>215</v>
      </c>
      <c r="M4" s="6" t="s">
        <v>104</v>
      </c>
      <c r="N4" s="8">
        <v>68</v>
      </c>
    </row>
    <row r="5" spans="1:14" x14ac:dyDescent="0.3">
      <c r="A5" s="6" t="s">
        <v>106</v>
      </c>
      <c r="B5" s="2">
        <v>2.5741176470588236</v>
      </c>
      <c r="D5" s="6" t="s">
        <v>2093</v>
      </c>
      <c r="E5" s="1">
        <v>0.18</v>
      </c>
      <c r="G5" s="6" t="s">
        <v>2099</v>
      </c>
      <c r="H5" s="1">
        <v>0.13400000000000001</v>
      </c>
      <c r="J5" s="6" t="s">
        <v>64</v>
      </c>
      <c r="K5" s="8">
        <v>142</v>
      </c>
      <c r="M5" s="6" t="s">
        <v>120</v>
      </c>
      <c r="N5" s="8">
        <v>65</v>
      </c>
    </row>
    <row r="6" spans="1:14" x14ac:dyDescent="0.3">
      <c r="A6" s="6" t="s">
        <v>15</v>
      </c>
      <c r="B6" s="2">
        <v>2.5476744186046507</v>
      </c>
      <c r="D6" s="6" t="s">
        <v>2090</v>
      </c>
      <c r="E6" s="1">
        <v>0.158</v>
      </c>
      <c r="G6" s="6" t="s">
        <v>2097</v>
      </c>
      <c r="H6" s="1">
        <v>0.17100000000000001</v>
      </c>
      <c r="J6" s="6" t="s">
        <v>105</v>
      </c>
      <c r="K6" s="8">
        <v>68</v>
      </c>
      <c r="M6" s="6" t="s">
        <v>20</v>
      </c>
      <c r="N6" s="8">
        <v>52</v>
      </c>
    </row>
    <row r="7" spans="1:14" x14ac:dyDescent="0.3">
      <c r="A7" s="6" t="s">
        <v>65</v>
      </c>
      <c r="B7" s="2">
        <v>2.5237623762376242</v>
      </c>
      <c r="D7" s="6" t="s">
        <v>2091</v>
      </c>
      <c r="E7" s="1">
        <v>9.4E-2</v>
      </c>
      <c r="G7" s="6" t="s">
        <v>2096</v>
      </c>
      <c r="H7" s="1">
        <v>0.15</v>
      </c>
      <c r="J7" s="6" t="s">
        <v>21</v>
      </c>
      <c r="K7" s="8">
        <v>52</v>
      </c>
      <c r="M7" s="6" t="s">
        <v>13</v>
      </c>
      <c r="N7" s="8">
        <v>51</v>
      </c>
    </row>
    <row r="8" spans="1:14" x14ac:dyDescent="0.3">
      <c r="A8" s="6" t="s">
        <v>22</v>
      </c>
      <c r="B8" s="2">
        <v>2.5105882352941169</v>
      </c>
      <c r="D8" s="6" t="s">
        <v>2092</v>
      </c>
      <c r="E8" s="1">
        <v>0.17699999999999999</v>
      </c>
      <c r="G8" s="6" t="s">
        <v>2095</v>
      </c>
      <c r="H8" s="1">
        <v>0.14199999999999999</v>
      </c>
      <c r="J8" s="6" t="s">
        <v>35</v>
      </c>
      <c r="K8" s="8">
        <v>51</v>
      </c>
      <c r="M8" s="6" t="s">
        <v>34</v>
      </c>
      <c r="N8" s="8">
        <v>51</v>
      </c>
    </row>
    <row r="9" spans="1:14" x14ac:dyDescent="0.3">
      <c r="A9" s="6" t="s">
        <v>70</v>
      </c>
      <c r="B9" s="2">
        <v>2.4714285714285711</v>
      </c>
      <c r="D9" s="6" t="s">
        <v>2086</v>
      </c>
      <c r="E9" s="7">
        <v>1</v>
      </c>
      <c r="G9" s="6"/>
      <c r="H9" s="1">
        <v>9.4E-2</v>
      </c>
      <c r="J9" s="6" t="s">
        <v>168</v>
      </c>
      <c r="K9" s="8">
        <v>49</v>
      </c>
      <c r="M9" s="6" t="s">
        <v>171</v>
      </c>
      <c r="N9" s="8">
        <v>50</v>
      </c>
    </row>
    <row r="10" spans="1:14" x14ac:dyDescent="0.3">
      <c r="A10" s="6" t="s">
        <v>27</v>
      </c>
      <c r="B10" s="2">
        <v>2.4361702127659566</v>
      </c>
      <c r="G10" s="6" t="s">
        <v>2098</v>
      </c>
      <c r="H10" s="1">
        <v>0.152</v>
      </c>
      <c r="J10" s="6" t="s">
        <v>117</v>
      </c>
      <c r="K10" s="8">
        <v>47</v>
      </c>
      <c r="M10" s="6" t="s">
        <v>59</v>
      </c>
      <c r="N10" s="8">
        <v>50</v>
      </c>
    </row>
    <row r="11" spans="1:14" x14ac:dyDescent="0.3">
      <c r="A11" s="6" t="s">
        <v>43</v>
      </c>
      <c r="B11" s="2">
        <v>2.4267441860465122</v>
      </c>
      <c r="G11" s="6" t="s">
        <v>2086</v>
      </c>
      <c r="H11" s="1">
        <v>1</v>
      </c>
      <c r="J11" s="6" t="s">
        <v>42</v>
      </c>
      <c r="K11" s="8">
        <v>46</v>
      </c>
      <c r="M11" s="6" t="s">
        <v>167</v>
      </c>
      <c r="N11" s="8">
        <v>49</v>
      </c>
    </row>
    <row r="12" spans="1:14" x14ac:dyDescent="0.3">
      <c r="A12" s="6" t="s">
        <v>36</v>
      </c>
      <c r="B12" s="2">
        <v>2.4168539325842695</v>
      </c>
      <c r="J12" s="6" t="s">
        <v>86</v>
      </c>
      <c r="K12" s="8">
        <v>45</v>
      </c>
      <c r="M12" s="6" t="s">
        <v>50</v>
      </c>
      <c r="N12" s="8">
        <v>49</v>
      </c>
    </row>
    <row r="13" spans="1:14" x14ac:dyDescent="0.3">
      <c r="A13" s="6" t="s">
        <v>9</v>
      </c>
      <c r="B13" s="2">
        <v>2.3655913978494625</v>
      </c>
      <c r="J13" s="6" t="s">
        <v>55</v>
      </c>
      <c r="K13" s="8">
        <v>45</v>
      </c>
      <c r="M13" s="6" t="s">
        <v>63</v>
      </c>
      <c r="N13" s="8">
        <v>47</v>
      </c>
    </row>
    <row r="14" spans="1:14" x14ac:dyDescent="0.3">
      <c r="A14" s="6" t="s">
        <v>2086</v>
      </c>
      <c r="B14" s="2">
        <v>2.5125695216907653</v>
      </c>
      <c r="J14" s="6" t="s">
        <v>146</v>
      </c>
      <c r="K14" s="8">
        <v>44</v>
      </c>
      <c r="M14" s="6" t="s">
        <v>116</v>
      </c>
      <c r="N14" s="8">
        <v>47</v>
      </c>
    </row>
    <row r="15" spans="1:14" x14ac:dyDescent="0.3">
      <c r="J15" s="6" t="s">
        <v>128</v>
      </c>
      <c r="K15" s="8">
        <v>44</v>
      </c>
      <c r="M15" s="6" t="s">
        <v>41</v>
      </c>
      <c r="N15" s="8">
        <v>46</v>
      </c>
    </row>
    <row r="16" spans="1:14" x14ac:dyDescent="0.3">
      <c r="J16" s="6" t="s">
        <v>8</v>
      </c>
      <c r="K16" s="8">
        <v>42</v>
      </c>
      <c r="M16" s="6" t="s">
        <v>182</v>
      </c>
      <c r="N16" s="8">
        <v>45</v>
      </c>
    </row>
    <row r="17" spans="10:14" x14ac:dyDescent="0.3">
      <c r="J17" s="6" t="s">
        <v>132</v>
      </c>
      <c r="K17" s="8">
        <v>42</v>
      </c>
      <c r="M17" s="6" t="s">
        <v>54</v>
      </c>
      <c r="N17" s="8">
        <v>45</v>
      </c>
    </row>
    <row r="18" spans="10:14" x14ac:dyDescent="0.3">
      <c r="J18" s="6" t="s">
        <v>78</v>
      </c>
      <c r="K18" s="8">
        <v>37</v>
      </c>
      <c r="M18" s="6" t="s">
        <v>85</v>
      </c>
      <c r="N18" s="8">
        <v>45</v>
      </c>
    </row>
    <row r="19" spans="10:14" x14ac:dyDescent="0.3">
      <c r="J19" s="6" t="s">
        <v>100</v>
      </c>
      <c r="K19" s="8">
        <v>31</v>
      </c>
      <c r="M19" s="6" t="s">
        <v>145</v>
      </c>
      <c r="N19" s="8">
        <v>44</v>
      </c>
    </row>
    <row r="20" spans="10:14" x14ac:dyDescent="0.3">
      <c r="J20" s="6" t="s">
        <v>2086</v>
      </c>
      <c r="K20" s="8">
        <v>1000</v>
      </c>
      <c r="M20" s="6" t="s">
        <v>127</v>
      </c>
      <c r="N20" s="8">
        <v>44</v>
      </c>
    </row>
    <row r="21" spans="10:14" x14ac:dyDescent="0.3">
      <c r="M21" s="6" t="s">
        <v>131</v>
      </c>
      <c r="N21" s="8">
        <v>42</v>
      </c>
    </row>
    <row r="22" spans="10:14" x14ac:dyDescent="0.3">
      <c r="M22" s="6" t="s">
        <v>7</v>
      </c>
      <c r="N22" s="8">
        <v>42</v>
      </c>
    </row>
    <row r="23" spans="10:14" x14ac:dyDescent="0.3">
      <c r="M23" s="6" t="s">
        <v>77</v>
      </c>
      <c r="N23" s="8">
        <v>37</v>
      </c>
    </row>
    <row r="24" spans="10:14" x14ac:dyDescent="0.3">
      <c r="M24" s="6" t="s">
        <v>99</v>
      </c>
      <c r="N24" s="8">
        <v>31</v>
      </c>
    </row>
    <row r="25" spans="10:14" x14ac:dyDescent="0.3">
      <c r="M25" s="6" t="s">
        <v>2086</v>
      </c>
      <c r="N25" s="8">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5976C-DF4A-4C96-81AC-E637602F9C55}">
  <sheetPr>
    <tabColor theme="5"/>
  </sheetPr>
  <dimension ref="A1"/>
  <sheetViews>
    <sheetView showGridLines="0" workbookViewId="0">
      <selection activeCell="I26" sqref="I2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BDDD-8E68-4936-BF1C-2DB06267FA39}">
  <dimension ref="A1:S1001"/>
  <sheetViews>
    <sheetView workbookViewId="0">
      <selection activeCell="J3" sqref="J3"/>
    </sheetView>
  </sheetViews>
  <sheetFormatPr defaultRowHeight="14.4" x14ac:dyDescent="0.3"/>
  <cols>
    <col min="1" max="1" width="14.5546875" bestFit="1" customWidth="1"/>
    <col min="2" max="2" width="22.77734375" hidden="1" customWidth="1"/>
    <col min="3" max="3" width="22.77734375" customWidth="1"/>
    <col min="4" max="4" width="8.77734375" hidden="1" customWidth="1"/>
    <col min="5" max="5" width="14.6640625" customWidth="1"/>
    <col min="6" max="6" width="8.6640625" customWidth="1"/>
    <col min="7" max="7" width="14" bestFit="1" customWidth="1"/>
    <col min="8" max="8" width="10.44140625" bestFit="1" customWidth="1"/>
    <col min="9" max="9" width="21.44140625" bestFit="1" customWidth="1"/>
    <col min="10" max="10" width="20.44140625" customWidth="1"/>
    <col min="11" max="11" width="20.44140625" style="4" customWidth="1"/>
    <col min="12" max="12" width="17.77734375" hidden="1" customWidth="1"/>
    <col min="13" max="13" width="17.77734375" style="2" hidden="1" customWidth="1"/>
    <col min="14" max="14" width="17.77734375" style="8" customWidth="1"/>
    <col min="15" max="15" width="9.88671875" customWidth="1"/>
    <col min="16" max="16" width="13.44140625" hidden="1" customWidth="1"/>
    <col min="17" max="17" width="13.44140625" customWidth="1"/>
    <col min="18" max="18" width="18.21875" hidden="1" customWidth="1"/>
    <col min="19" max="19" width="20.44140625" style="3" customWidth="1"/>
  </cols>
  <sheetData>
    <row r="1" spans="1:19" x14ac:dyDescent="0.3">
      <c r="A1" s="10" t="s">
        <v>2078</v>
      </c>
      <c r="B1" s="10" t="s">
        <v>0</v>
      </c>
      <c r="C1" s="10" t="s">
        <v>2077</v>
      </c>
      <c r="D1" s="10" t="s">
        <v>2087</v>
      </c>
      <c r="E1" s="10" t="s">
        <v>2069</v>
      </c>
      <c r="F1" s="10" t="s">
        <v>2079</v>
      </c>
      <c r="G1" s="10" t="s">
        <v>2076</v>
      </c>
      <c r="H1" s="10" t="s">
        <v>2080</v>
      </c>
      <c r="I1" s="10" t="s">
        <v>2075</v>
      </c>
      <c r="J1" s="10" t="s">
        <v>2081</v>
      </c>
      <c r="K1" s="11" t="s">
        <v>2070</v>
      </c>
      <c r="L1" s="10" t="s">
        <v>1</v>
      </c>
      <c r="M1" s="12" t="s">
        <v>2100</v>
      </c>
      <c r="N1" s="13" t="s">
        <v>2071</v>
      </c>
      <c r="O1" s="10" t="s">
        <v>2082</v>
      </c>
      <c r="P1" s="10" t="s">
        <v>2</v>
      </c>
      <c r="Q1" s="10" t="s">
        <v>2074</v>
      </c>
      <c r="R1" s="10" t="s">
        <v>3</v>
      </c>
      <c r="S1" s="14" t="s">
        <v>2083</v>
      </c>
    </row>
    <row r="2" spans="1:19" x14ac:dyDescent="0.3">
      <c r="A2" t="s">
        <v>4</v>
      </c>
      <c r="B2" t="s">
        <v>5</v>
      </c>
      <c r="C2" t="str">
        <f>TRIM(MID(B2,FIND(" ",B2)+1,LEN(B2)))</f>
        <v>Nicole Kidd</v>
      </c>
      <c r="D2" t="s">
        <v>6</v>
      </c>
      <c r="E2" t="str">
        <f t="shared" ref="E2:E65" si="0">IF(LOWER(LEFT(D2,1))="f","Female","Male")</f>
        <v>Female</v>
      </c>
      <c r="F2">
        <v>52</v>
      </c>
      <c r="G2" t="s">
        <v>7</v>
      </c>
      <c r="H2" t="s">
        <v>8</v>
      </c>
      <c r="I2" t="s">
        <v>9</v>
      </c>
      <c r="J2">
        <v>11</v>
      </c>
      <c r="K2" s="4" t="str" cm="1">
        <f t="array" ref="K2">_xlfn.IFS(J2&lt;=5,"0-5",J2&lt;=10,"6-10",J2&lt;=15,"11-15",J2&lt;=20,"16-20",J2&gt;20,"21+")</f>
        <v>11-15</v>
      </c>
      <c r="L2">
        <v>100</v>
      </c>
      <c r="M2" s="2">
        <f>L2</f>
        <v>100</v>
      </c>
      <c r="N2" s="8">
        <f>IF(M2="", "", VALUE(M2))</f>
        <v>100</v>
      </c>
      <c r="P2">
        <v>0</v>
      </c>
      <c r="Q2" t="s">
        <v>2072</v>
      </c>
    </row>
    <row r="3" spans="1:19" x14ac:dyDescent="0.3">
      <c r="A3" t="s">
        <v>10</v>
      </c>
      <c r="B3" t="s">
        <v>11</v>
      </c>
      <c r="C3" t="str">
        <f>B3</f>
        <v>Vanessa Garcia</v>
      </c>
      <c r="D3" t="s">
        <v>12</v>
      </c>
      <c r="E3" t="str">
        <f t="shared" si="0"/>
        <v>Female</v>
      </c>
      <c r="F3">
        <v>52</v>
      </c>
      <c r="G3" t="s">
        <v>13</v>
      </c>
      <c r="H3" t="s">
        <v>14</v>
      </c>
      <c r="I3" t="s">
        <v>15</v>
      </c>
      <c r="J3">
        <v>34</v>
      </c>
      <c r="K3" s="4" t="str" cm="1">
        <f t="array" ref="K3">_xlfn.IFS(J3&lt;=5,"0-5",J3&lt;=10,"6-10",J3&lt;=15,"11-15",J3&lt;=20,"16-20",J3&gt;20,"21+")</f>
        <v>21+</v>
      </c>
      <c r="L3" t="s">
        <v>16</v>
      </c>
      <c r="M3" s="2" t="str">
        <f>TRIM(MID(L3,FIND(" ",L3)+1,LEN(L3)))</f>
        <v>100</v>
      </c>
      <c r="N3" s="8">
        <f t="shared" ref="N3:N66" si="1">IF(M3="", "", VALUE(M3))</f>
        <v>100</v>
      </c>
      <c r="O3">
        <v>3.3</v>
      </c>
      <c r="P3">
        <v>1</v>
      </c>
      <c r="Q3" t="s">
        <v>2073</v>
      </c>
      <c r="R3" s="1">
        <v>0.84</v>
      </c>
      <c r="S3" s="3">
        <f>R3</f>
        <v>0.84</v>
      </c>
    </row>
    <row r="4" spans="1:19" x14ac:dyDescent="0.3">
      <c r="A4" t="s">
        <v>17</v>
      </c>
      <c r="B4" t="s">
        <v>18</v>
      </c>
      <c r="C4" t="str">
        <f t="shared" ref="C4:C47" si="2">B4</f>
        <v>Juan Nelson</v>
      </c>
      <c r="D4" t="s">
        <v>19</v>
      </c>
      <c r="E4" t="str">
        <f t="shared" si="0"/>
        <v>Male</v>
      </c>
      <c r="F4">
        <v>53</v>
      </c>
      <c r="G4" t="s">
        <v>20</v>
      </c>
      <c r="H4" t="s">
        <v>21</v>
      </c>
      <c r="I4" t="s">
        <v>22</v>
      </c>
      <c r="J4">
        <v>31</v>
      </c>
      <c r="K4" s="4" t="str" cm="1">
        <f t="array" ref="K4">_xlfn.IFS(J4&lt;=5,"0-5",J4&lt;=10,"6-10",J4&lt;=15,"11-15",J4&lt;=20,"16-20",J4&gt;20,"21+")</f>
        <v>21+</v>
      </c>
      <c r="L4">
        <v>50</v>
      </c>
      <c r="M4" s="2">
        <f>L4</f>
        <v>50</v>
      </c>
      <c r="N4" s="8">
        <f t="shared" si="1"/>
        <v>50</v>
      </c>
      <c r="O4">
        <v>0</v>
      </c>
      <c r="P4" t="s">
        <v>23</v>
      </c>
      <c r="Q4" t="s">
        <v>2072</v>
      </c>
      <c r="R4" s="1">
        <v>0.71</v>
      </c>
      <c r="S4" s="3">
        <f t="shared" ref="S4:S6" si="3">R4</f>
        <v>0.71</v>
      </c>
    </row>
    <row r="5" spans="1:19" x14ac:dyDescent="0.3">
      <c r="A5" t="s">
        <v>24</v>
      </c>
      <c r="B5" t="s">
        <v>25</v>
      </c>
      <c r="C5" t="str">
        <f t="shared" si="2"/>
        <v>Amanda Spencer</v>
      </c>
      <c r="D5" t="s">
        <v>26</v>
      </c>
      <c r="E5" t="str">
        <f t="shared" si="0"/>
        <v>Female</v>
      </c>
      <c r="F5">
        <v>38</v>
      </c>
      <c r="G5" t="s">
        <v>13</v>
      </c>
      <c r="H5" t="s">
        <v>14</v>
      </c>
      <c r="I5" t="s">
        <v>27</v>
      </c>
      <c r="J5">
        <v>4</v>
      </c>
      <c r="K5" s="4" t="str" cm="1">
        <f t="array" ref="K5">_xlfn.IFS(J5&lt;=5,"0-5",J5&lt;=10,"6-10",J5&lt;=15,"11-15",J5&lt;=20,"16-20",J5&gt;20,"21+")</f>
        <v>0-5</v>
      </c>
      <c r="L5" t="s">
        <v>28</v>
      </c>
      <c r="M5" s="2" t="str">
        <f>SUBSTITUTE(L5,"$","")</f>
        <v>40</v>
      </c>
      <c r="N5" s="8">
        <f t="shared" si="1"/>
        <v>40</v>
      </c>
      <c r="O5">
        <v>1.5</v>
      </c>
      <c r="P5" t="s">
        <v>23</v>
      </c>
      <c r="Q5" t="s">
        <v>2072</v>
      </c>
      <c r="R5" s="1">
        <v>0.9</v>
      </c>
      <c r="S5" s="3">
        <f t="shared" si="3"/>
        <v>0.9</v>
      </c>
    </row>
    <row r="6" spans="1:19" x14ac:dyDescent="0.3">
      <c r="A6" t="s">
        <v>29</v>
      </c>
      <c r="B6" t="s">
        <v>30</v>
      </c>
      <c r="C6" t="str">
        <f t="shared" si="2"/>
        <v>Lynn Curtis DDS</v>
      </c>
      <c r="D6" t="s">
        <v>31</v>
      </c>
      <c r="E6" t="str">
        <f t="shared" si="0"/>
        <v>Female</v>
      </c>
      <c r="F6">
        <v>53</v>
      </c>
      <c r="G6" t="s">
        <v>20</v>
      </c>
      <c r="H6" t="s">
        <v>21</v>
      </c>
      <c r="I6" t="s">
        <v>27</v>
      </c>
      <c r="J6">
        <v>27</v>
      </c>
      <c r="K6" s="4" t="str" cm="1">
        <f t="array" ref="K6">_xlfn.IFS(J6&lt;=5,"0-5",J6&lt;=10,"6-10",J6&lt;=15,"11-15",J6&lt;=20,"16-20",J6&gt;20,"21+")</f>
        <v>21+</v>
      </c>
      <c r="L6">
        <v>30</v>
      </c>
      <c r="M6" s="2">
        <f>L6</f>
        <v>30</v>
      </c>
      <c r="N6" s="8">
        <f t="shared" si="1"/>
        <v>30</v>
      </c>
      <c r="O6">
        <v>4.8</v>
      </c>
      <c r="P6">
        <v>0</v>
      </c>
      <c r="Q6" t="s">
        <v>2072</v>
      </c>
      <c r="R6" s="1">
        <v>0.83</v>
      </c>
      <c r="S6" s="3">
        <f t="shared" si="3"/>
        <v>0.83</v>
      </c>
    </row>
    <row r="7" spans="1:19" x14ac:dyDescent="0.3">
      <c r="A7" t="s">
        <v>32</v>
      </c>
      <c r="B7" t="s">
        <v>33</v>
      </c>
      <c r="C7" t="str">
        <f t="shared" si="2"/>
        <v>Lisa Johnson</v>
      </c>
      <c r="D7" t="s">
        <v>31</v>
      </c>
      <c r="E7" t="str">
        <f t="shared" si="0"/>
        <v>Female</v>
      </c>
      <c r="F7">
        <v>59</v>
      </c>
      <c r="G7" t="s">
        <v>34</v>
      </c>
      <c r="H7" t="s">
        <v>35</v>
      </c>
      <c r="I7" t="s">
        <v>36</v>
      </c>
      <c r="J7">
        <v>14</v>
      </c>
      <c r="K7" s="4" t="str" cm="1">
        <f t="array" ref="K7">_xlfn.IFS(J7&lt;=5,"0-5",J7&lt;=10,"6-10",J7&lt;=15,"11-15",J7&lt;=20,"16-20",J7&gt;20,"21+")</f>
        <v>11-15</v>
      </c>
      <c r="L7" t="s">
        <v>37</v>
      </c>
      <c r="M7" s="2" t="str">
        <f>SUBSTITUTE(L7,"$","")</f>
        <v>30</v>
      </c>
      <c r="N7" s="8">
        <f t="shared" si="1"/>
        <v>30</v>
      </c>
      <c r="O7">
        <v>2.4</v>
      </c>
      <c r="P7" t="b">
        <v>0</v>
      </c>
      <c r="Q7" t="s">
        <v>2072</v>
      </c>
    </row>
    <row r="8" spans="1:19" x14ac:dyDescent="0.3">
      <c r="A8" t="s">
        <v>38</v>
      </c>
      <c r="B8" t="s">
        <v>39</v>
      </c>
      <c r="C8" t="str">
        <f t="shared" si="2"/>
        <v>Eric Myers</v>
      </c>
      <c r="D8" t="s">
        <v>40</v>
      </c>
      <c r="E8" t="str">
        <f t="shared" si="0"/>
        <v>Male</v>
      </c>
      <c r="F8">
        <v>52</v>
      </c>
      <c r="G8" t="s">
        <v>41</v>
      </c>
      <c r="H8" t="s">
        <v>42</v>
      </c>
      <c r="I8" t="s">
        <v>43</v>
      </c>
      <c r="J8">
        <v>10</v>
      </c>
      <c r="K8" s="4" t="str" cm="1">
        <f t="array" ref="K8">_xlfn.IFS(J8&lt;=5,"0-5",J8&lt;=10,"6-10",J8&lt;=15,"11-15",J8&lt;=20,"16-20",J8&gt;20,"21+")</f>
        <v>6-10</v>
      </c>
      <c r="L8" t="s">
        <v>44</v>
      </c>
      <c r="M8" s="2" t="str">
        <f>TRIM(MID(L8,FIND(" ",L8)+1,LEN(L8)))</f>
        <v>75</v>
      </c>
      <c r="N8" s="8">
        <f t="shared" si="1"/>
        <v>75</v>
      </c>
      <c r="O8">
        <v>3.1</v>
      </c>
      <c r="P8">
        <v>0</v>
      </c>
      <c r="Q8" t="s">
        <v>2072</v>
      </c>
      <c r="R8" s="1">
        <v>0.94</v>
      </c>
      <c r="S8" s="3">
        <f t="shared" ref="S8:S10" si="4">R8</f>
        <v>0.94</v>
      </c>
    </row>
    <row r="9" spans="1:19" x14ac:dyDescent="0.3">
      <c r="A9" t="s">
        <v>45</v>
      </c>
      <c r="B9" t="s">
        <v>46</v>
      </c>
      <c r="C9" t="str">
        <f t="shared" si="2"/>
        <v>Ricky Graham</v>
      </c>
      <c r="D9" t="s">
        <v>19</v>
      </c>
      <c r="E9" t="str">
        <f t="shared" si="0"/>
        <v>Male</v>
      </c>
      <c r="F9">
        <v>43</v>
      </c>
      <c r="G9" t="s">
        <v>7</v>
      </c>
      <c r="H9" t="s">
        <v>8</v>
      </c>
      <c r="I9" t="s">
        <v>9</v>
      </c>
      <c r="J9">
        <v>14</v>
      </c>
      <c r="K9" s="4" t="str" cm="1">
        <f t="array" ref="K9">_xlfn.IFS(J9&lt;=5,"0-5",J9&lt;=10,"6-10",J9&lt;=15,"11-15",J9&lt;=20,"16-20",J9&gt;20,"21+")</f>
        <v>11-15</v>
      </c>
      <c r="L9" t="s">
        <v>47</v>
      </c>
      <c r="M9" s="2" t="str">
        <f>TRIM(MID(L9,FIND(" ",L9)+1,LEN(L9)))</f>
        <v>40</v>
      </c>
      <c r="N9" s="8">
        <f t="shared" si="1"/>
        <v>40</v>
      </c>
      <c r="O9">
        <v>4.5999999999999996</v>
      </c>
      <c r="P9" t="b">
        <v>0</v>
      </c>
      <c r="Q9" t="s">
        <v>2072</v>
      </c>
      <c r="R9" s="1">
        <v>0.94</v>
      </c>
      <c r="S9" s="3">
        <f t="shared" si="4"/>
        <v>0.94</v>
      </c>
    </row>
    <row r="10" spans="1:19" x14ac:dyDescent="0.3">
      <c r="A10" t="s">
        <v>48</v>
      </c>
      <c r="B10" t="s">
        <v>49</v>
      </c>
      <c r="C10" t="str">
        <f t="shared" si="2"/>
        <v>Sean Martin</v>
      </c>
      <c r="D10" t="s">
        <v>19</v>
      </c>
      <c r="E10" t="str">
        <f t="shared" si="0"/>
        <v>Male</v>
      </c>
      <c r="F10">
        <v>26</v>
      </c>
      <c r="G10" t="s">
        <v>50</v>
      </c>
      <c r="H10" t="s">
        <v>14</v>
      </c>
      <c r="I10" t="s">
        <v>9</v>
      </c>
      <c r="J10">
        <v>4</v>
      </c>
      <c r="K10" s="4" t="str" cm="1">
        <f t="array" ref="K10">_xlfn.IFS(J10&lt;=5,"0-5",J10&lt;=10,"6-10",J10&lt;=15,"11-15",J10&lt;=20,"16-20",J10&gt;20,"21+")</f>
        <v>0-5</v>
      </c>
      <c r="N10" s="8" t="str">
        <f t="shared" si="1"/>
        <v/>
      </c>
      <c r="O10">
        <v>4</v>
      </c>
      <c r="P10" t="b">
        <v>1</v>
      </c>
      <c r="Q10" t="s">
        <v>2073</v>
      </c>
      <c r="R10" s="1">
        <v>0.76</v>
      </c>
      <c r="S10" s="3">
        <f t="shared" si="4"/>
        <v>0.76</v>
      </c>
    </row>
    <row r="11" spans="1:19" x14ac:dyDescent="0.3">
      <c r="A11" t="s">
        <v>51</v>
      </c>
      <c r="B11" t="s">
        <v>52</v>
      </c>
      <c r="C11" t="str">
        <f t="shared" si="2"/>
        <v>Matthew Lloyd</v>
      </c>
      <c r="D11" t="s">
        <v>53</v>
      </c>
      <c r="E11" t="str">
        <f t="shared" si="0"/>
        <v>Male</v>
      </c>
      <c r="F11">
        <v>52</v>
      </c>
      <c r="G11" t="s">
        <v>54</v>
      </c>
      <c r="H11" t="s">
        <v>55</v>
      </c>
      <c r="I11" t="s">
        <v>36</v>
      </c>
      <c r="J11">
        <v>22</v>
      </c>
      <c r="K11" s="4" t="str" cm="1">
        <f t="array" ref="K11">_xlfn.IFS(J11&lt;=5,"0-5",J11&lt;=10,"6-10",J11&lt;=15,"11-15",J11&lt;=20,"16-20",J11&gt;20,"21+")</f>
        <v>21+</v>
      </c>
      <c r="L11" t="s">
        <v>56</v>
      </c>
      <c r="M11" s="2" t="str">
        <f>SUBSTITUTE(L11,"$","")</f>
        <v>50</v>
      </c>
      <c r="N11" s="8">
        <f t="shared" si="1"/>
        <v>50</v>
      </c>
      <c r="P11">
        <v>1</v>
      </c>
      <c r="Q11" t="s">
        <v>2073</v>
      </c>
    </row>
    <row r="12" spans="1:19" x14ac:dyDescent="0.3">
      <c r="A12" t="s">
        <v>57</v>
      </c>
      <c r="B12" t="s">
        <v>58</v>
      </c>
      <c r="C12" t="str">
        <f t="shared" si="2"/>
        <v>Gavin Randall</v>
      </c>
      <c r="D12" t="s">
        <v>40</v>
      </c>
      <c r="E12" t="str">
        <f t="shared" si="0"/>
        <v>Male</v>
      </c>
      <c r="F12">
        <v>40</v>
      </c>
      <c r="G12" t="s">
        <v>59</v>
      </c>
      <c r="H12" t="s">
        <v>14</v>
      </c>
      <c r="I12" t="s">
        <v>43</v>
      </c>
      <c r="J12">
        <v>17</v>
      </c>
      <c r="K12" s="4" t="str" cm="1">
        <f t="array" ref="K12">_xlfn.IFS(J12&lt;=5,"0-5",J12&lt;=10,"6-10",J12&lt;=15,"11-15",J12&lt;=20,"16-20",J12&gt;20,"21+")</f>
        <v>16-20</v>
      </c>
      <c r="L12">
        <v>40</v>
      </c>
      <c r="M12" s="2">
        <f>L12</f>
        <v>40</v>
      </c>
      <c r="N12" s="8">
        <f t="shared" si="1"/>
        <v>40</v>
      </c>
      <c r="O12">
        <v>3.6</v>
      </c>
      <c r="P12" t="s">
        <v>60</v>
      </c>
      <c r="Q12" t="s">
        <v>2073</v>
      </c>
      <c r="R12" s="1">
        <v>0.77</v>
      </c>
      <c r="S12" s="3">
        <f t="shared" ref="S12:S23" si="5">R12</f>
        <v>0.77</v>
      </c>
    </row>
    <row r="13" spans="1:19" x14ac:dyDescent="0.3">
      <c r="A13" t="s">
        <v>61</v>
      </c>
      <c r="B13" t="s">
        <v>62</v>
      </c>
      <c r="C13" t="str">
        <f t="shared" si="2"/>
        <v>Michelle Curtis</v>
      </c>
      <c r="D13" t="s">
        <v>12</v>
      </c>
      <c r="E13" t="str">
        <f t="shared" si="0"/>
        <v>Female</v>
      </c>
      <c r="F13">
        <v>55</v>
      </c>
      <c r="G13" t="s">
        <v>63</v>
      </c>
      <c r="H13" t="s">
        <v>64</v>
      </c>
      <c r="I13" t="s">
        <v>65</v>
      </c>
      <c r="J13">
        <v>15</v>
      </c>
      <c r="K13" s="4" t="str" cm="1">
        <f t="array" ref="K13">_xlfn.IFS(J13&lt;=5,"0-5",J13&lt;=10,"6-10",J13&lt;=15,"11-15",J13&lt;=20,"16-20",J13&gt;20,"21+")</f>
        <v>11-15</v>
      </c>
      <c r="N13" s="8" t="str">
        <f t="shared" si="1"/>
        <v/>
      </c>
      <c r="P13" t="s">
        <v>66</v>
      </c>
      <c r="Q13" t="s">
        <v>2073</v>
      </c>
      <c r="R13" s="1">
        <v>0.86</v>
      </c>
      <c r="S13" s="3">
        <f t="shared" si="5"/>
        <v>0.86</v>
      </c>
    </row>
    <row r="14" spans="1:19" x14ac:dyDescent="0.3">
      <c r="A14" t="s">
        <v>67</v>
      </c>
      <c r="B14" t="s">
        <v>68</v>
      </c>
      <c r="C14" t="str">
        <f t="shared" si="2"/>
        <v>Alice Schneider</v>
      </c>
      <c r="D14" t="s">
        <v>69</v>
      </c>
      <c r="E14" t="str">
        <f t="shared" si="0"/>
        <v>Female</v>
      </c>
      <c r="F14">
        <v>57</v>
      </c>
      <c r="G14" t="s">
        <v>59</v>
      </c>
      <c r="H14" t="s">
        <v>14</v>
      </c>
      <c r="I14" t="s">
        <v>70</v>
      </c>
      <c r="J14">
        <v>18</v>
      </c>
      <c r="K14" s="4" t="str" cm="1">
        <f t="array" ref="K14">_xlfn.IFS(J14&lt;=5,"0-5",J14&lt;=10,"6-10",J14&lt;=15,"11-15",J14&lt;=20,"16-20",J14&gt;20,"21+")</f>
        <v>16-20</v>
      </c>
      <c r="N14" s="8" t="str">
        <f t="shared" si="1"/>
        <v/>
      </c>
      <c r="O14">
        <v>2</v>
      </c>
      <c r="P14">
        <v>0</v>
      </c>
      <c r="Q14" t="s">
        <v>2072</v>
      </c>
      <c r="R14" s="1">
        <v>0.86</v>
      </c>
      <c r="S14" s="3">
        <f t="shared" si="5"/>
        <v>0.86</v>
      </c>
    </row>
    <row r="15" spans="1:19" x14ac:dyDescent="0.3">
      <c r="A15" t="s">
        <v>71</v>
      </c>
      <c r="B15" t="s">
        <v>72</v>
      </c>
      <c r="C15" t="str">
        <f t="shared" si="2"/>
        <v>Phillip Shelton</v>
      </c>
      <c r="D15" t="s">
        <v>53</v>
      </c>
      <c r="E15" t="str">
        <f t="shared" si="0"/>
        <v>Male</v>
      </c>
      <c r="F15">
        <v>38</v>
      </c>
      <c r="G15" t="s">
        <v>63</v>
      </c>
      <c r="H15" t="s">
        <v>64</v>
      </c>
      <c r="I15" t="s">
        <v>22</v>
      </c>
      <c r="J15">
        <v>20</v>
      </c>
      <c r="K15" s="4" t="str" cm="1">
        <f t="array" ref="K15">_xlfn.IFS(J15&lt;=5,"0-5",J15&lt;=10,"6-10",J15&lt;=15,"11-15",J15&lt;=20,"16-20",J15&gt;20,"21+")</f>
        <v>16-20</v>
      </c>
      <c r="L15" t="s">
        <v>44</v>
      </c>
      <c r="M15" s="2" t="str">
        <f>TRIM(MID(L15,FIND(" ",L15)+1,LEN(L15)))</f>
        <v>75</v>
      </c>
      <c r="N15" s="8">
        <f t="shared" si="1"/>
        <v>75</v>
      </c>
      <c r="O15">
        <v>2.9</v>
      </c>
      <c r="P15">
        <v>1</v>
      </c>
      <c r="Q15" t="s">
        <v>2073</v>
      </c>
      <c r="R15" s="1">
        <v>0.93</v>
      </c>
      <c r="S15" s="3">
        <f t="shared" si="5"/>
        <v>0.93</v>
      </c>
    </row>
    <row r="16" spans="1:19" x14ac:dyDescent="0.3">
      <c r="A16" t="s">
        <v>73</v>
      </c>
      <c r="B16" t="s">
        <v>74</v>
      </c>
      <c r="C16" t="str">
        <f t="shared" si="2"/>
        <v>Edward Ferguson</v>
      </c>
      <c r="D16" t="s">
        <v>53</v>
      </c>
      <c r="E16" t="str">
        <f t="shared" si="0"/>
        <v>Male</v>
      </c>
      <c r="F16">
        <v>50</v>
      </c>
      <c r="G16" t="s">
        <v>20</v>
      </c>
      <c r="H16" t="s">
        <v>21</v>
      </c>
      <c r="I16" t="s">
        <v>43</v>
      </c>
      <c r="J16">
        <v>22</v>
      </c>
      <c r="K16" s="4" t="str" cm="1">
        <f t="array" ref="K16">_xlfn.IFS(J16&lt;=5,"0-5",J16&lt;=10,"6-10",J16&lt;=15,"11-15",J16&lt;=20,"16-20",J16&gt;20,"21+")</f>
        <v>21+</v>
      </c>
      <c r="L16">
        <v>75</v>
      </c>
      <c r="M16" s="2">
        <f>L16</f>
        <v>75</v>
      </c>
      <c r="N16" s="8">
        <f t="shared" si="1"/>
        <v>75</v>
      </c>
      <c r="O16">
        <v>3.7</v>
      </c>
      <c r="P16">
        <v>1</v>
      </c>
      <c r="Q16" t="s">
        <v>2073</v>
      </c>
      <c r="R16" s="1">
        <v>0.7</v>
      </c>
      <c r="S16" s="3">
        <f t="shared" si="5"/>
        <v>0.7</v>
      </c>
    </row>
    <row r="17" spans="1:19" x14ac:dyDescent="0.3">
      <c r="A17" t="s">
        <v>75</v>
      </c>
      <c r="B17" t="s">
        <v>76</v>
      </c>
      <c r="C17" t="str">
        <f t="shared" si="2"/>
        <v>Wyatt Stout</v>
      </c>
      <c r="D17" t="s">
        <v>40</v>
      </c>
      <c r="E17" t="str">
        <f t="shared" si="0"/>
        <v>Male</v>
      </c>
      <c r="F17">
        <v>42</v>
      </c>
      <c r="G17" t="s">
        <v>77</v>
      </c>
      <c r="H17" t="s">
        <v>78</v>
      </c>
      <c r="I17" t="s">
        <v>43</v>
      </c>
      <c r="J17">
        <v>0</v>
      </c>
      <c r="K17" s="4" t="str" cm="1">
        <f t="array" ref="K17">_xlfn.IFS(J17&lt;=5,"0-5",J17&lt;=10,"6-10",J17&lt;=15,"11-15",J17&lt;=20,"16-20",J17&gt;20,"21+")</f>
        <v>0-5</v>
      </c>
      <c r="L17" t="s">
        <v>37</v>
      </c>
      <c r="M17" s="2" t="str">
        <f>SUBSTITUTE(L17,"$","")</f>
        <v>30</v>
      </c>
      <c r="N17" s="8">
        <f t="shared" si="1"/>
        <v>30</v>
      </c>
      <c r="O17">
        <v>1.2</v>
      </c>
      <c r="P17">
        <v>0</v>
      </c>
      <c r="Q17" t="s">
        <v>2072</v>
      </c>
      <c r="R17" s="1">
        <v>0.69</v>
      </c>
      <c r="S17" s="3">
        <f t="shared" si="5"/>
        <v>0.69</v>
      </c>
    </row>
    <row r="18" spans="1:19" x14ac:dyDescent="0.3">
      <c r="A18" t="s">
        <v>79</v>
      </c>
      <c r="B18" t="s">
        <v>80</v>
      </c>
      <c r="C18" t="str">
        <f t="shared" si="2"/>
        <v>Laura Johnson</v>
      </c>
      <c r="D18" t="s">
        <v>69</v>
      </c>
      <c r="E18" t="str">
        <f t="shared" si="0"/>
        <v>Female</v>
      </c>
      <c r="F18">
        <v>39</v>
      </c>
      <c r="G18" t="s">
        <v>13</v>
      </c>
      <c r="H18" t="s">
        <v>14</v>
      </c>
      <c r="I18" t="s">
        <v>81</v>
      </c>
      <c r="J18">
        <v>13</v>
      </c>
      <c r="K18" s="4" t="str" cm="1">
        <f t="array" ref="K18">_xlfn.IFS(J18&lt;=5,"0-5",J18&lt;=10,"6-10",J18&lt;=15,"11-15",J18&lt;=20,"16-20",J18&gt;20,"21+")</f>
        <v>11-15</v>
      </c>
      <c r="L18" t="s">
        <v>37</v>
      </c>
      <c r="M18" s="2" t="str">
        <f>SUBSTITUTE(L18,"$","")</f>
        <v>30</v>
      </c>
      <c r="N18" s="8">
        <f t="shared" si="1"/>
        <v>30</v>
      </c>
      <c r="O18">
        <v>2.5</v>
      </c>
      <c r="P18" t="b">
        <v>0</v>
      </c>
      <c r="Q18" t="s">
        <v>2072</v>
      </c>
      <c r="R18" s="1">
        <v>0.6</v>
      </c>
      <c r="S18" s="3">
        <f t="shared" si="5"/>
        <v>0.6</v>
      </c>
    </row>
    <row r="19" spans="1:19" x14ac:dyDescent="0.3">
      <c r="A19" t="s">
        <v>82</v>
      </c>
      <c r="B19" t="s">
        <v>83</v>
      </c>
      <c r="C19" t="str">
        <f t="shared" si="2"/>
        <v>Scott Burns</v>
      </c>
      <c r="D19" t="s">
        <v>84</v>
      </c>
      <c r="E19" t="str">
        <f t="shared" si="0"/>
        <v>Male</v>
      </c>
      <c r="F19">
        <v>56</v>
      </c>
      <c r="G19" t="s">
        <v>85</v>
      </c>
      <c r="H19" t="s">
        <v>86</v>
      </c>
      <c r="I19" t="s">
        <v>9</v>
      </c>
      <c r="K19" s="4" t="str" cm="1">
        <f t="array" ref="K19">_xlfn.IFS(J19&lt;=5,"0-5",J19&lt;=10,"6-10",J19&lt;=15,"11-15",J19&lt;=20,"16-20",J19&gt;20,"21+")</f>
        <v>0-5</v>
      </c>
      <c r="N19" s="8" t="str">
        <f t="shared" si="1"/>
        <v/>
      </c>
      <c r="R19" s="1">
        <v>0.87</v>
      </c>
      <c r="S19" s="3">
        <f t="shared" si="5"/>
        <v>0.87</v>
      </c>
    </row>
    <row r="20" spans="1:19" x14ac:dyDescent="0.3">
      <c r="A20" t="s">
        <v>87</v>
      </c>
      <c r="B20" t="s">
        <v>88</v>
      </c>
      <c r="C20" t="str">
        <f t="shared" si="2"/>
        <v>Tyler Aguirre</v>
      </c>
      <c r="D20" t="s">
        <v>89</v>
      </c>
      <c r="E20" t="str">
        <f t="shared" si="0"/>
        <v>Male</v>
      </c>
      <c r="F20">
        <v>56</v>
      </c>
      <c r="G20" t="s">
        <v>50</v>
      </c>
      <c r="H20" t="s">
        <v>14</v>
      </c>
      <c r="I20" t="s">
        <v>65</v>
      </c>
      <c r="J20">
        <v>31</v>
      </c>
      <c r="K20" s="4" t="str" cm="1">
        <f t="array" ref="K20">_xlfn.IFS(J20&lt;=5,"0-5",J20&lt;=10,"6-10",J20&lt;=15,"11-15",J20&lt;=20,"16-20",J20&gt;20,"21+")</f>
        <v>21+</v>
      </c>
      <c r="L20" t="s">
        <v>90</v>
      </c>
      <c r="M20" s="2" t="str">
        <f>TRIM(MID(L20,FIND(" ",L20)+1,LEN(L20)))</f>
        <v>50</v>
      </c>
      <c r="N20" s="8">
        <f t="shared" si="1"/>
        <v>50</v>
      </c>
      <c r="O20">
        <v>1.1000000000000001</v>
      </c>
      <c r="P20" t="s">
        <v>23</v>
      </c>
      <c r="Q20" t="s">
        <v>2072</v>
      </c>
      <c r="R20" s="1">
        <v>0.75</v>
      </c>
      <c r="S20" s="3">
        <f t="shared" si="5"/>
        <v>0.75</v>
      </c>
    </row>
    <row r="21" spans="1:19" x14ac:dyDescent="0.3">
      <c r="A21" t="s">
        <v>91</v>
      </c>
      <c r="B21" t="s">
        <v>92</v>
      </c>
      <c r="C21" t="str">
        <f t="shared" si="2"/>
        <v>Matthew Lawson</v>
      </c>
      <c r="D21" t="s">
        <v>89</v>
      </c>
      <c r="E21" t="str">
        <f t="shared" si="0"/>
        <v>Male</v>
      </c>
      <c r="F21">
        <v>57</v>
      </c>
      <c r="G21" t="s">
        <v>7</v>
      </c>
      <c r="H21" t="s">
        <v>8</v>
      </c>
      <c r="I21" t="s">
        <v>27</v>
      </c>
      <c r="J21">
        <v>3</v>
      </c>
      <c r="K21" s="4" t="str" cm="1">
        <f t="array" ref="K21">_xlfn.IFS(J21&lt;=5,"0-5",J21&lt;=10,"6-10",J21&lt;=15,"11-15",J21&lt;=20,"16-20",J21&gt;20,"21+")</f>
        <v>0-5</v>
      </c>
      <c r="L21" t="s">
        <v>16</v>
      </c>
      <c r="M21" s="2" t="str">
        <f>TRIM(MID(L21,FIND(" ",L21)+1,LEN(L21)))</f>
        <v>100</v>
      </c>
      <c r="N21" s="8">
        <f t="shared" si="1"/>
        <v>100</v>
      </c>
      <c r="O21">
        <v>1.8</v>
      </c>
      <c r="P21" t="s">
        <v>60</v>
      </c>
      <c r="Q21" t="s">
        <v>2073</v>
      </c>
      <c r="R21" s="1">
        <v>0.68</v>
      </c>
      <c r="S21" s="3">
        <f t="shared" si="5"/>
        <v>0.68</v>
      </c>
    </row>
    <row r="22" spans="1:19" x14ac:dyDescent="0.3">
      <c r="A22" t="s">
        <v>93</v>
      </c>
      <c r="B22" t="s">
        <v>94</v>
      </c>
      <c r="C22" t="str">
        <f t="shared" si="2"/>
        <v>James Cherry</v>
      </c>
      <c r="D22" t="s">
        <v>89</v>
      </c>
      <c r="E22" t="str">
        <f t="shared" si="0"/>
        <v>Male</v>
      </c>
      <c r="G22" t="s">
        <v>41</v>
      </c>
      <c r="H22" t="s">
        <v>42</v>
      </c>
      <c r="I22" t="s">
        <v>36</v>
      </c>
      <c r="J22">
        <v>9</v>
      </c>
      <c r="K22" s="4" t="str" cm="1">
        <f t="array" ref="K22">_xlfn.IFS(J22&lt;=5,"0-5",J22&lt;=10,"6-10",J22&lt;=15,"11-15",J22&lt;=20,"16-20",J22&gt;20,"21+")</f>
        <v>6-10</v>
      </c>
      <c r="L22">
        <v>50</v>
      </c>
      <c r="M22" s="2">
        <f>L22</f>
        <v>50</v>
      </c>
      <c r="N22" s="8">
        <f t="shared" si="1"/>
        <v>50</v>
      </c>
      <c r="O22">
        <v>1.8</v>
      </c>
      <c r="P22" t="b">
        <v>0</v>
      </c>
      <c r="Q22" t="s">
        <v>2072</v>
      </c>
      <c r="R22" s="1">
        <v>0.65</v>
      </c>
      <c r="S22" s="3">
        <f t="shared" si="5"/>
        <v>0.65</v>
      </c>
    </row>
    <row r="23" spans="1:19" x14ac:dyDescent="0.3">
      <c r="A23" t="s">
        <v>95</v>
      </c>
      <c r="B23" t="s">
        <v>96</v>
      </c>
      <c r="C23" t="str">
        <f t="shared" si="2"/>
        <v>Samuel Sanford</v>
      </c>
      <c r="D23" t="s">
        <v>40</v>
      </c>
      <c r="E23" t="str">
        <f t="shared" si="0"/>
        <v>Male</v>
      </c>
      <c r="F23">
        <v>51</v>
      </c>
      <c r="G23" t="s">
        <v>77</v>
      </c>
      <c r="H23" t="s">
        <v>78</v>
      </c>
      <c r="I23" t="s">
        <v>81</v>
      </c>
      <c r="K23" s="4" t="str" cm="1">
        <f t="array" ref="K23">_xlfn.IFS(J23&lt;=5,"0-5",J23&lt;=10,"6-10",J23&lt;=15,"11-15",J23&lt;=20,"16-20",J23&gt;20,"21+")</f>
        <v>0-5</v>
      </c>
      <c r="N23" s="8" t="str">
        <f t="shared" si="1"/>
        <v/>
      </c>
      <c r="O23">
        <v>2.4</v>
      </c>
      <c r="P23" t="s">
        <v>23</v>
      </c>
      <c r="Q23" t="s">
        <v>2072</v>
      </c>
      <c r="R23" s="1">
        <v>0.69</v>
      </c>
      <c r="S23" s="3">
        <f t="shared" si="5"/>
        <v>0.69</v>
      </c>
    </row>
    <row r="24" spans="1:19" x14ac:dyDescent="0.3">
      <c r="A24" t="s">
        <v>97</v>
      </c>
      <c r="B24" t="s">
        <v>98</v>
      </c>
      <c r="C24" t="str">
        <f t="shared" si="2"/>
        <v>Cesar Greene</v>
      </c>
      <c r="D24" t="s">
        <v>40</v>
      </c>
      <c r="E24" t="str">
        <f t="shared" si="0"/>
        <v>Male</v>
      </c>
      <c r="F24">
        <v>51</v>
      </c>
      <c r="G24" t="s">
        <v>99</v>
      </c>
      <c r="H24" t="s">
        <v>100</v>
      </c>
      <c r="I24" t="s">
        <v>70</v>
      </c>
      <c r="J24">
        <v>21</v>
      </c>
      <c r="K24" s="4" t="str" cm="1">
        <f t="array" ref="K24">_xlfn.IFS(J24&lt;=5,"0-5",J24&lt;=10,"6-10",J24&lt;=15,"11-15",J24&lt;=20,"16-20",J24&gt;20,"21+")</f>
        <v>21+</v>
      </c>
      <c r="L24" t="s">
        <v>101</v>
      </c>
      <c r="M24" s="2" t="str">
        <f>TRIM(MID(L24,FIND(" ",L24)+1,LEN(L24)))</f>
        <v>30</v>
      </c>
      <c r="N24" s="8">
        <f t="shared" si="1"/>
        <v>30</v>
      </c>
      <c r="O24">
        <v>4.7</v>
      </c>
      <c r="P24" t="s">
        <v>23</v>
      </c>
      <c r="Q24" t="s">
        <v>2072</v>
      </c>
    </row>
    <row r="25" spans="1:19" x14ac:dyDescent="0.3">
      <c r="A25" t="s">
        <v>102</v>
      </c>
      <c r="B25" t="s">
        <v>103</v>
      </c>
      <c r="C25" t="str">
        <f t="shared" si="2"/>
        <v>Melanie Carter</v>
      </c>
      <c r="D25" t="s">
        <v>31</v>
      </c>
      <c r="E25" t="str">
        <f t="shared" si="0"/>
        <v>Female</v>
      </c>
      <c r="F25">
        <v>51</v>
      </c>
      <c r="G25" t="s">
        <v>104</v>
      </c>
      <c r="H25" t="s">
        <v>105</v>
      </c>
      <c r="I25" t="s">
        <v>106</v>
      </c>
      <c r="J25">
        <v>15</v>
      </c>
      <c r="K25" s="4" t="str" cm="1">
        <f t="array" ref="K25">_xlfn.IFS(J25&lt;=5,"0-5",J25&lt;=10,"6-10",J25&lt;=15,"11-15",J25&lt;=20,"16-20",J25&gt;20,"21+")</f>
        <v>11-15</v>
      </c>
      <c r="L25" t="s">
        <v>56</v>
      </c>
      <c r="M25" s="2" t="str">
        <f>SUBSTITUTE(L25,"$","")</f>
        <v>50</v>
      </c>
      <c r="N25" s="8">
        <f t="shared" si="1"/>
        <v>50</v>
      </c>
      <c r="O25">
        <v>1.3</v>
      </c>
      <c r="P25">
        <v>1</v>
      </c>
      <c r="Q25" t="s">
        <v>2073</v>
      </c>
      <c r="R25" s="1">
        <v>1</v>
      </c>
      <c r="S25" s="3">
        <f>R25</f>
        <v>1</v>
      </c>
    </row>
    <row r="26" spans="1:19" x14ac:dyDescent="0.3">
      <c r="A26" t="s">
        <v>107</v>
      </c>
      <c r="B26" t="s">
        <v>108</v>
      </c>
      <c r="C26" t="str">
        <f t="shared" si="2"/>
        <v>Jennifer Martin</v>
      </c>
      <c r="D26" t="s">
        <v>6</v>
      </c>
      <c r="E26" t="str">
        <f t="shared" si="0"/>
        <v>Female</v>
      </c>
      <c r="F26">
        <v>54</v>
      </c>
      <c r="G26" t="s">
        <v>41</v>
      </c>
      <c r="H26" t="s">
        <v>42</v>
      </c>
      <c r="I26" t="s">
        <v>106</v>
      </c>
      <c r="J26">
        <v>13</v>
      </c>
      <c r="K26" s="4" t="str" cm="1">
        <f t="array" ref="K26">_xlfn.IFS(J26&lt;=5,"0-5",J26&lt;=10,"6-10",J26&lt;=15,"11-15",J26&lt;=20,"16-20",J26&gt;20,"21+")</f>
        <v>11-15</v>
      </c>
      <c r="L26">
        <v>75</v>
      </c>
      <c r="M26" s="2">
        <f>L26</f>
        <v>75</v>
      </c>
      <c r="N26" s="8">
        <f t="shared" si="1"/>
        <v>75</v>
      </c>
      <c r="O26">
        <v>2.9</v>
      </c>
      <c r="R26">
        <v>92</v>
      </c>
      <c r="S26" s="3">
        <f>R26/100</f>
        <v>0.92</v>
      </c>
    </row>
    <row r="27" spans="1:19" x14ac:dyDescent="0.3">
      <c r="A27" t="s">
        <v>109</v>
      </c>
      <c r="B27" t="s">
        <v>110</v>
      </c>
      <c r="C27" t="str">
        <f t="shared" si="2"/>
        <v>Anna Mccann</v>
      </c>
      <c r="D27" t="s">
        <v>12</v>
      </c>
      <c r="E27" t="str">
        <f t="shared" si="0"/>
        <v>Female</v>
      </c>
      <c r="F27">
        <v>22</v>
      </c>
      <c r="G27" t="s">
        <v>104</v>
      </c>
      <c r="H27" t="s">
        <v>105</v>
      </c>
      <c r="I27" t="s">
        <v>81</v>
      </c>
      <c r="J27">
        <v>0</v>
      </c>
      <c r="K27" s="4" t="str" cm="1">
        <f t="array" ref="K27">_xlfn.IFS(J27&lt;=5,"0-5",J27&lt;=10,"6-10",J27&lt;=15,"11-15",J27&lt;=20,"16-20",J27&gt;20,"21+")</f>
        <v>0-5</v>
      </c>
      <c r="L27" t="s">
        <v>101</v>
      </c>
      <c r="M27" s="2" t="str">
        <f>TRIM(MID(L27,FIND(" ",L27)+1,LEN(L27)))</f>
        <v>30</v>
      </c>
      <c r="N27" s="8">
        <f t="shared" si="1"/>
        <v>30</v>
      </c>
      <c r="O27">
        <v>1.2</v>
      </c>
      <c r="P27">
        <v>1</v>
      </c>
      <c r="Q27" t="s">
        <v>2073</v>
      </c>
      <c r="R27" s="1">
        <v>0.7</v>
      </c>
      <c r="S27" s="3">
        <f>R27</f>
        <v>0.7</v>
      </c>
    </row>
    <row r="28" spans="1:19" x14ac:dyDescent="0.3">
      <c r="A28" t="s">
        <v>111</v>
      </c>
      <c r="B28" t="s">
        <v>112</v>
      </c>
      <c r="C28" t="str">
        <f t="shared" si="2"/>
        <v>Marissa Bass</v>
      </c>
      <c r="D28" t="s">
        <v>31</v>
      </c>
      <c r="E28" t="str">
        <f t="shared" si="0"/>
        <v>Female</v>
      </c>
      <c r="F28">
        <v>34</v>
      </c>
      <c r="G28" t="s">
        <v>77</v>
      </c>
      <c r="H28" t="s">
        <v>78</v>
      </c>
      <c r="I28" t="s">
        <v>9</v>
      </c>
      <c r="J28">
        <v>8</v>
      </c>
      <c r="K28" s="4" t="str" cm="1">
        <f t="array" ref="K28">_xlfn.IFS(J28&lt;=5,"0-5",J28&lt;=10,"6-10",J28&lt;=15,"11-15",J28&lt;=20,"16-20",J28&gt;20,"21+")</f>
        <v>6-10</v>
      </c>
      <c r="L28" t="s">
        <v>113</v>
      </c>
      <c r="M28" s="2" t="str">
        <f>SUBSTITUTE(L28,"$","")</f>
        <v>20</v>
      </c>
      <c r="N28" s="8">
        <f t="shared" si="1"/>
        <v>20</v>
      </c>
      <c r="O28">
        <v>0</v>
      </c>
      <c r="P28" t="b">
        <v>1</v>
      </c>
      <c r="Q28" t="s">
        <v>2073</v>
      </c>
      <c r="R28" s="1">
        <v>0.89</v>
      </c>
      <c r="S28" s="3">
        <f>R28</f>
        <v>0.89</v>
      </c>
    </row>
    <row r="29" spans="1:19" x14ac:dyDescent="0.3">
      <c r="A29" t="s">
        <v>114</v>
      </c>
      <c r="B29" t="s">
        <v>115</v>
      </c>
      <c r="C29" t="str">
        <f t="shared" si="2"/>
        <v>Alexis Day</v>
      </c>
      <c r="D29" t="s">
        <v>69</v>
      </c>
      <c r="E29" t="str">
        <f t="shared" si="0"/>
        <v>Female</v>
      </c>
      <c r="F29">
        <v>36</v>
      </c>
      <c r="G29" t="s">
        <v>116</v>
      </c>
      <c r="H29" t="s">
        <v>117</v>
      </c>
      <c r="I29" t="s">
        <v>22</v>
      </c>
      <c r="J29">
        <v>11</v>
      </c>
      <c r="K29" s="4" t="str" cm="1">
        <f t="array" ref="K29">_xlfn.IFS(J29&lt;=5,"0-5",J29&lt;=10,"6-10",J29&lt;=15,"11-15",J29&lt;=20,"16-20",J29&gt;20,"21+")</f>
        <v>11-15</v>
      </c>
      <c r="N29" s="8" t="str">
        <f t="shared" si="1"/>
        <v/>
      </c>
      <c r="O29">
        <v>1.8</v>
      </c>
      <c r="P29" t="s">
        <v>66</v>
      </c>
      <c r="Q29" t="s">
        <v>2073</v>
      </c>
      <c r="R29" s="1">
        <v>0.86</v>
      </c>
      <c r="S29" s="3">
        <f>R29</f>
        <v>0.86</v>
      </c>
    </row>
    <row r="30" spans="1:19" x14ac:dyDescent="0.3">
      <c r="A30" t="s">
        <v>118</v>
      </c>
      <c r="B30" t="s">
        <v>119</v>
      </c>
      <c r="C30" t="str">
        <f t="shared" si="2"/>
        <v>Megan Jones</v>
      </c>
      <c r="D30" t="s">
        <v>31</v>
      </c>
      <c r="E30" t="str">
        <f t="shared" si="0"/>
        <v>Female</v>
      </c>
      <c r="F30">
        <v>47</v>
      </c>
      <c r="G30" t="s">
        <v>120</v>
      </c>
      <c r="H30" t="s">
        <v>14</v>
      </c>
      <c r="I30" t="s">
        <v>36</v>
      </c>
      <c r="J30">
        <v>22</v>
      </c>
      <c r="K30" s="4" t="str" cm="1">
        <f t="array" ref="K30">_xlfn.IFS(J30&lt;=5,"0-5",J30&lt;=10,"6-10",J30&lt;=15,"11-15",J30&lt;=20,"16-20",J30&gt;20,"21+")</f>
        <v>21+</v>
      </c>
      <c r="L30">
        <v>30</v>
      </c>
      <c r="M30" s="2">
        <f>L30</f>
        <v>30</v>
      </c>
      <c r="N30" s="8">
        <f t="shared" si="1"/>
        <v>30</v>
      </c>
      <c r="O30">
        <v>1.3</v>
      </c>
      <c r="P30">
        <v>0</v>
      </c>
      <c r="Q30" t="s">
        <v>2072</v>
      </c>
      <c r="R30" s="1">
        <v>0.62</v>
      </c>
      <c r="S30" s="3">
        <f>R30</f>
        <v>0.62</v>
      </c>
    </row>
    <row r="31" spans="1:19" x14ac:dyDescent="0.3">
      <c r="A31" t="s">
        <v>121</v>
      </c>
      <c r="B31" t="s">
        <v>122</v>
      </c>
      <c r="C31" t="str">
        <f t="shared" si="2"/>
        <v>Lori Smith</v>
      </c>
      <c r="D31" t="s">
        <v>12</v>
      </c>
      <c r="E31" t="str">
        <f t="shared" si="0"/>
        <v>Female</v>
      </c>
      <c r="F31">
        <v>41</v>
      </c>
      <c r="G31" t="s">
        <v>34</v>
      </c>
      <c r="H31" t="s">
        <v>35</v>
      </c>
      <c r="I31" t="s">
        <v>43</v>
      </c>
      <c r="J31">
        <v>14</v>
      </c>
      <c r="K31" s="4" t="str" cm="1">
        <f t="array" ref="K31">_xlfn.IFS(J31&lt;=5,"0-5",J31&lt;=10,"6-10",J31&lt;=15,"11-15",J31&lt;=20,"16-20",J31&gt;20,"21+")</f>
        <v>11-15</v>
      </c>
      <c r="L31" t="s">
        <v>44</v>
      </c>
      <c r="M31" s="2" t="str">
        <f>TRIM(MID(L31,FIND(" ",L31)+1,LEN(L31)))</f>
        <v>75</v>
      </c>
      <c r="N31" s="8">
        <f t="shared" si="1"/>
        <v>75</v>
      </c>
      <c r="O31">
        <v>1.2</v>
      </c>
      <c r="P31">
        <v>0</v>
      </c>
      <c r="Q31" t="s">
        <v>2072</v>
      </c>
    </row>
    <row r="32" spans="1:19" x14ac:dyDescent="0.3">
      <c r="A32" t="s">
        <v>123</v>
      </c>
      <c r="B32" t="s">
        <v>124</v>
      </c>
      <c r="C32" t="str">
        <f t="shared" si="2"/>
        <v>Eric Carpenter</v>
      </c>
      <c r="D32" t="s">
        <v>89</v>
      </c>
      <c r="E32" t="str">
        <f t="shared" si="0"/>
        <v>Male</v>
      </c>
      <c r="F32">
        <v>22</v>
      </c>
      <c r="G32" t="s">
        <v>34</v>
      </c>
      <c r="H32" t="s">
        <v>35</v>
      </c>
      <c r="I32" t="s">
        <v>81</v>
      </c>
      <c r="J32">
        <v>4</v>
      </c>
      <c r="K32" s="4" t="str" cm="1">
        <f t="array" ref="K32">_xlfn.IFS(J32&lt;=5,"0-5",J32&lt;=10,"6-10",J32&lt;=15,"11-15",J32&lt;=20,"16-20",J32&gt;20,"21+")</f>
        <v>0-5</v>
      </c>
      <c r="N32" s="8" t="str">
        <f t="shared" si="1"/>
        <v/>
      </c>
      <c r="O32">
        <v>1</v>
      </c>
      <c r="P32" t="s">
        <v>60</v>
      </c>
      <c r="Q32" t="s">
        <v>2073</v>
      </c>
    </row>
    <row r="33" spans="1:19" x14ac:dyDescent="0.3">
      <c r="A33" t="s">
        <v>125</v>
      </c>
      <c r="B33" t="s">
        <v>126</v>
      </c>
      <c r="C33" t="str">
        <f t="shared" si="2"/>
        <v>Timothy Daniels</v>
      </c>
      <c r="D33" t="s">
        <v>89</v>
      </c>
      <c r="E33" t="str">
        <f t="shared" si="0"/>
        <v>Male</v>
      </c>
      <c r="F33">
        <v>38</v>
      </c>
      <c r="G33" t="s">
        <v>127</v>
      </c>
      <c r="H33" t="s">
        <v>128</v>
      </c>
      <c r="I33" t="s">
        <v>106</v>
      </c>
      <c r="J33">
        <v>19</v>
      </c>
      <c r="K33" s="4" t="str" cm="1">
        <f t="array" ref="K33">_xlfn.IFS(J33&lt;=5,"0-5",J33&lt;=10,"6-10",J33&lt;=15,"11-15",J33&lt;=20,"16-20",J33&gt;20,"21+")</f>
        <v>16-20</v>
      </c>
      <c r="L33" t="s">
        <v>16</v>
      </c>
      <c r="M33" s="2" t="str">
        <f>TRIM(MID(L33,FIND(" ",L33)+1,LEN(L33)))</f>
        <v>100</v>
      </c>
      <c r="N33" s="8">
        <f t="shared" si="1"/>
        <v>100</v>
      </c>
      <c r="O33">
        <v>4.2</v>
      </c>
      <c r="P33" t="s">
        <v>23</v>
      </c>
      <c r="Q33" t="s">
        <v>2072</v>
      </c>
      <c r="R33" s="1">
        <v>0.68</v>
      </c>
      <c r="S33" s="3">
        <f t="shared" ref="S33:S34" si="6">R33</f>
        <v>0.68</v>
      </c>
    </row>
    <row r="34" spans="1:19" x14ac:dyDescent="0.3">
      <c r="A34" t="s">
        <v>129</v>
      </c>
      <c r="B34" t="s">
        <v>130</v>
      </c>
      <c r="C34" t="str">
        <f t="shared" si="2"/>
        <v>Robert Nelson</v>
      </c>
      <c r="D34" t="s">
        <v>84</v>
      </c>
      <c r="E34" t="str">
        <f t="shared" si="0"/>
        <v>Male</v>
      </c>
      <c r="F34">
        <v>46</v>
      </c>
      <c r="G34" t="s">
        <v>131</v>
      </c>
      <c r="H34" t="s">
        <v>132</v>
      </c>
      <c r="I34" t="s">
        <v>36</v>
      </c>
      <c r="J34">
        <v>9</v>
      </c>
      <c r="K34" s="4" t="str" cm="1">
        <f t="array" ref="K34">_xlfn.IFS(J34&lt;=5,"0-5",J34&lt;=10,"6-10",J34&lt;=15,"11-15",J34&lt;=20,"16-20",J34&gt;20,"21+")</f>
        <v>6-10</v>
      </c>
      <c r="L34">
        <v>20</v>
      </c>
      <c r="M34" s="2">
        <f>L34</f>
        <v>20</v>
      </c>
      <c r="N34" s="8">
        <f t="shared" si="1"/>
        <v>20</v>
      </c>
      <c r="O34">
        <v>1.4</v>
      </c>
      <c r="P34" t="b">
        <v>1</v>
      </c>
      <c r="Q34" t="s">
        <v>2073</v>
      </c>
      <c r="R34" s="1">
        <v>0.76</v>
      </c>
      <c r="S34" s="3">
        <f t="shared" si="6"/>
        <v>0.76</v>
      </c>
    </row>
    <row r="35" spans="1:19" x14ac:dyDescent="0.3">
      <c r="A35" t="s">
        <v>133</v>
      </c>
      <c r="B35" t="s">
        <v>134</v>
      </c>
      <c r="C35" t="str">
        <f t="shared" si="2"/>
        <v>Michael Anderson</v>
      </c>
      <c r="D35" t="s">
        <v>19</v>
      </c>
      <c r="E35" t="str">
        <f t="shared" si="0"/>
        <v>Male</v>
      </c>
      <c r="G35" t="s">
        <v>104</v>
      </c>
      <c r="H35" t="s">
        <v>105</v>
      </c>
      <c r="I35" t="s">
        <v>36</v>
      </c>
      <c r="J35">
        <v>9</v>
      </c>
      <c r="K35" s="4" t="str" cm="1">
        <f t="array" ref="K35">_xlfn.IFS(J35&lt;=5,"0-5",J35&lt;=10,"6-10",J35&lt;=15,"11-15",J35&lt;=20,"16-20",J35&gt;20,"21+")</f>
        <v>6-10</v>
      </c>
      <c r="L35">
        <v>40</v>
      </c>
      <c r="M35" s="2">
        <f>L35</f>
        <v>40</v>
      </c>
      <c r="N35" s="8">
        <f t="shared" si="1"/>
        <v>40</v>
      </c>
      <c r="O35">
        <v>2.4</v>
      </c>
      <c r="P35" t="s">
        <v>60</v>
      </c>
      <c r="Q35" t="s">
        <v>2073</v>
      </c>
      <c r="R35">
        <v>82</v>
      </c>
      <c r="S35" s="3">
        <f>R35/100</f>
        <v>0.82</v>
      </c>
    </row>
    <row r="36" spans="1:19" x14ac:dyDescent="0.3">
      <c r="A36" t="s">
        <v>135</v>
      </c>
      <c r="B36" t="s">
        <v>136</v>
      </c>
      <c r="C36" t="str">
        <f t="shared" si="2"/>
        <v>Jessica Snyder</v>
      </c>
      <c r="D36" t="s">
        <v>12</v>
      </c>
      <c r="E36" t="str">
        <f t="shared" si="0"/>
        <v>Female</v>
      </c>
      <c r="F36">
        <v>54</v>
      </c>
      <c r="G36" t="s">
        <v>50</v>
      </c>
      <c r="H36" t="s">
        <v>14</v>
      </c>
      <c r="I36" t="s">
        <v>27</v>
      </c>
      <c r="J36">
        <v>32</v>
      </c>
      <c r="K36" s="4" t="str" cm="1">
        <f t="array" ref="K36">_xlfn.IFS(J36&lt;=5,"0-5",J36&lt;=10,"6-10",J36&lt;=15,"11-15",J36&lt;=20,"16-20",J36&gt;20,"21+")</f>
        <v>21+</v>
      </c>
      <c r="L36">
        <v>75</v>
      </c>
      <c r="M36" s="2">
        <f>L36</f>
        <v>75</v>
      </c>
      <c r="N36" s="8">
        <f t="shared" si="1"/>
        <v>75</v>
      </c>
      <c r="O36">
        <v>1</v>
      </c>
      <c r="P36" t="s">
        <v>60</v>
      </c>
      <c r="Q36" t="s">
        <v>2073</v>
      </c>
      <c r="R36" s="1">
        <v>0.81</v>
      </c>
      <c r="S36" s="3">
        <f>R36</f>
        <v>0.81</v>
      </c>
    </row>
    <row r="37" spans="1:19" x14ac:dyDescent="0.3">
      <c r="A37" t="s">
        <v>137</v>
      </c>
      <c r="B37" t="s">
        <v>138</v>
      </c>
      <c r="C37" t="str">
        <f t="shared" si="2"/>
        <v>Emily Daniels</v>
      </c>
      <c r="D37" t="s">
        <v>31</v>
      </c>
      <c r="E37" t="str">
        <f t="shared" si="0"/>
        <v>Female</v>
      </c>
      <c r="F37">
        <v>52</v>
      </c>
      <c r="G37" t="s">
        <v>104</v>
      </c>
      <c r="H37" t="s">
        <v>105</v>
      </c>
      <c r="I37" t="s">
        <v>27</v>
      </c>
      <c r="J37">
        <v>28</v>
      </c>
      <c r="K37" s="4" t="str" cm="1">
        <f t="array" ref="K37">_xlfn.IFS(J37&lt;=5,"0-5",J37&lt;=10,"6-10",J37&lt;=15,"11-15",J37&lt;=20,"16-20",J37&gt;20,"21+")</f>
        <v>21+</v>
      </c>
      <c r="L37" t="s">
        <v>113</v>
      </c>
      <c r="M37" s="2" t="str">
        <f>SUBSTITUTE(L37,"$","")</f>
        <v>20</v>
      </c>
      <c r="N37" s="8">
        <f t="shared" si="1"/>
        <v>20</v>
      </c>
      <c r="P37">
        <v>0</v>
      </c>
      <c r="Q37" t="s">
        <v>2072</v>
      </c>
    </row>
    <row r="38" spans="1:19" x14ac:dyDescent="0.3">
      <c r="A38" t="s">
        <v>139</v>
      </c>
      <c r="B38" t="s">
        <v>140</v>
      </c>
      <c r="C38" t="str">
        <f t="shared" si="2"/>
        <v>Jamie Ramirez</v>
      </c>
      <c r="D38" t="s">
        <v>6</v>
      </c>
      <c r="E38" t="str">
        <f t="shared" si="0"/>
        <v>Female</v>
      </c>
      <c r="F38">
        <v>42</v>
      </c>
      <c r="G38" t="s">
        <v>77</v>
      </c>
      <c r="H38" t="s">
        <v>78</v>
      </c>
      <c r="I38" t="s">
        <v>15</v>
      </c>
      <c r="J38">
        <v>6</v>
      </c>
      <c r="K38" s="4" t="str" cm="1">
        <f t="array" ref="K38">_xlfn.IFS(J38&lt;=5,"0-5",J38&lt;=10,"6-10",J38&lt;=15,"11-15",J38&lt;=20,"16-20",J38&gt;20,"21+")</f>
        <v>6-10</v>
      </c>
      <c r="L38">
        <v>40</v>
      </c>
      <c r="M38" s="2">
        <f>L38</f>
        <v>40</v>
      </c>
      <c r="N38" s="8">
        <f t="shared" si="1"/>
        <v>40</v>
      </c>
      <c r="P38">
        <v>0</v>
      </c>
      <c r="Q38" t="s">
        <v>2072</v>
      </c>
      <c r="R38" s="1">
        <v>0.63</v>
      </c>
      <c r="S38" s="3">
        <f t="shared" ref="S38:S39" si="7">R38</f>
        <v>0.63</v>
      </c>
    </row>
    <row r="39" spans="1:19" x14ac:dyDescent="0.3">
      <c r="A39" t="s">
        <v>141</v>
      </c>
      <c r="B39" t="s">
        <v>142</v>
      </c>
      <c r="C39" t="str">
        <f t="shared" si="2"/>
        <v>Amy Harrison</v>
      </c>
      <c r="D39" t="s">
        <v>26</v>
      </c>
      <c r="E39" t="str">
        <f t="shared" si="0"/>
        <v>Female</v>
      </c>
      <c r="F39">
        <v>29</v>
      </c>
      <c r="G39" t="s">
        <v>34</v>
      </c>
      <c r="H39" t="s">
        <v>35</v>
      </c>
      <c r="I39" t="s">
        <v>22</v>
      </c>
      <c r="J39">
        <v>10</v>
      </c>
      <c r="K39" s="4" t="str" cm="1">
        <f t="array" ref="K39">_xlfn.IFS(J39&lt;=5,"0-5",J39&lt;=10,"6-10",J39&lt;=15,"11-15",J39&lt;=20,"16-20",J39&gt;20,"21+")</f>
        <v>6-10</v>
      </c>
      <c r="L39">
        <v>40</v>
      </c>
      <c r="M39" s="2">
        <f>L39</f>
        <v>40</v>
      </c>
      <c r="N39" s="8">
        <f t="shared" si="1"/>
        <v>40</v>
      </c>
      <c r="O39">
        <v>2.2000000000000002</v>
      </c>
      <c r="P39" t="s">
        <v>23</v>
      </c>
      <c r="Q39" t="s">
        <v>2072</v>
      </c>
      <c r="R39" s="1">
        <v>0.67</v>
      </c>
      <c r="S39" s="3">
        <f t="shared" si="7"/>
        <v>0.67</v>
      </c>
    </row>
    <row r="40" spans="1:19" x14ac:dyDescent="0.3">
      <c r="A40" t="s">
        <v>143</v>
      </c>
      <c r="B40" t="s">
        <v>144</v>
      </c>
      <c r="C40" t="str">
        <f t="shared" si="2"/>
        <v>Melinda White</v>
      </c>
      <c r="D40" t="s">
        <v>26</v>
      </c>
      <c r="E40" t="str">
        <f t="shared" si="0"/>
        <v>Female</v>
      </c>
      <c r="F40">
        <v>42</v>
      </c>
      <c r="G40" t="s">
        <v>145</v>
      </c>
      <c r="H40" t="s">
        <v>146</v>
      </c>
      <c r="I40" t="s">
        <v>15</v>
      </c>
      <c r="J40">
        <v>23</v>
      </c>
      <c r="K40" s="4" t="str" cm="1">
        <f t="array" ref="K40">_xlfn.IFS(J40&lt;=5,"0-5",J40&lt;=10,"6-10",J40&lt;=15,"11-15",J40&lt;=20,"16-20",J40&gt;20,"21+")</f>
        <v>21+</v>
      </c>
      <c r="L40">
        <v>50</v>
      </c>
      <c r="M40" s="2">
        <f>L40</f>
        <v>50</v>
      </c>
      <c r="N40" s="8">
        <f t="shared" si="1"/>
        <v>50</v>
      </c>
      <c r="O40">
        <v>3.2</v>
      </c>
      <c r="P40" t="s">
        <v>60</v>
      </c>
      <c r="Q40" t="s">
        <v>2073</v>
      </c>
    </row>
    <row r="41" spans="1:19" x14ac:dyDescent="0.3">
      <c r="A41" t="s">
        <v>147</v>
      </c>
      <c r="B41" t="s">
        <v>148</v>
      </c>
      <c r="C41" t="str">
        <f t="shared" si="2"/>
        <v>James Hernandez</v>
      </c>
      <c r="D41" t="s">
        <v>89</v>
      </c>
      <c r="E41" t="str">
        <f t="shared" si="0"/>
        <v>Male</v>
      </c>
      <c r="F41">
        <v>60</v>
      </c>
      <c r="G41" t="s">
        <v>77</v>
      </c>
      <c r="H41" t="s">
        <v>78</v>
      </c>
      <c r="I41" t="s">
        <v>27</v>
      </c>
      <c r="J41">
        <v>13</v>
      </c>
      <c r="K41" s="4" t="str" cm="1">
        <f t="array" ref="K41">_xlfn.IFS(J41&lt;=5,"0-5",J41&lt;=10,"6-10",J41&lt;=15,"11-15",J41&lt;=20,"16-20",J41&gt;20,"21+")</f>
        <v>11-15</v>
      </c>
      <c r="L41" t="s">
        <v>113</v>
      </c>
      <c r="M41" s="2" t="str">
        <f>SUBSTITUTE(L41,"$","")</f>
        <v>20</v>
      </c>
      <c r="N41" s="8">
        <f t="shared" si="1"/>
        <v>20</v>
      </c>
      <c r="O41">
        <v>3.6</v>
      </c>
      <c r="P41">
        <v>0</v>
      </c>
      <c r="Q41" t="s">
        <v>2072</v>
      </c>
      <c r="R41" s="1">
        <v>0.8</v>
      </c>
      <c r="S41" s="3">
        <f>R41</f>
        <v>0.8</v>
      </c>
    </row>
    <row r="42" spans="1:19" x14ac:dyDescent="0.3">
      <c r="A42" t="s">
        <v>149</v>
      </c>
      <c r="B42" t="s">
        <v>150</v>
      </c>
      <c r="C42" t="str">
        <f t="shared" si="2"/>
        <v>Angelica Rogers</v>
      </c>
      <c r="D42" t="s">
        <v>69</v>
      </c>
      <c r="E42" t="str">
        <f t="shared" si="0"/>
        <v>Female</v>
      </c>
      <c r="F42">
        <v>59</v>
      </c>
      <c r="G42" t="s">
        <v>59</v>
      </c>
      <c r="H42" t="s">
        <v>14</v>
      </c>
      <c r="I42" t="s">
        <v>36</v>
      </c>
      <c r="J42">
        <v>3</v>
      </c>
      <c r="K42" s="4" t="str" cm="1">
        <f t="array" ref="K42">_xlfn.IFS(J42&lt;=5,"0-5",J42&lt;=10,"6-10",J42&lt;=15,"11-15",J42&lt;=20,"16-20",J42&gt;20,"21+")</f>
        <v>0-5</v>
      </c>
      <c r="L42" t="s">
        <v>90</v>
      </c>
      <c r="M42" s="2" t="str">
        <f>TRIM(MID(L42,FIND(" ",L42)+1,LEN(L42)))</f>
        <v>50</v>
      </c>
      <c r="N42" s="8">
        <f t="shared" si="1"/>
        <v>50</v>
      </c>
      <c r="O42">
        <v>0</v>
      </c>
      <c r="P42" t="s">
        <v>151</v>
      </c>
      <c r="Q42" t="s">
        <v>2072</v>
      </c>
    </row>
    <row r="43" spans="1:19" x14ac:dyDescent="0.3">
      <c r="A43" t="s">
        <v>152</v>
      </c>
      <c r="B43" t="s">
        <v>153</v>
      </c>
      <c r="C43" t="str">
        <f t="shared" si="2"/>
        <v>Savannah Williams</v>
      </c>
      <c r="D43" t="s">
        <v>69</v>
      </c>
      <c r="E43" t="str">
        <f t="shared" si="0"/>
        <v>Female</v>
      </c>
      <c r="F43">
        <v>21</v>
      </c>
      <c r="G43" t="s">
        <v>120</v>
      </c>
      <c r="H43" t="s">
        <v>14</v>
      </c>
      <c r="I43" t="s">
        <v>27</v>
      </c>
      <c r="J43">
        <v>0</v>
      </c>
      <c r="K43" s="4" t="str" cm="1">
        <f t="array" ref="K43">_xlfn.IFS(J43&lt;=5,"0-5",J43&lt;=10,"6-10",J43&lt;=15,"11-15",J43&lt;=20,"16-20",J43&gt;20,"21+")</f>
        <v>0-5</v>
      </c>
      <c r="L43">
        <v>30</v>
      </c>
      <c r="M43" s="2">
        <f>L43</f>
        <v>30</v>
      </c>
      <c r="N43" s="8">
        <f t="shared" si="1"/>
        <v>30</v>
      </c>
      <c r="O43">
        <v>2.7</v>
      </c>
      <c r="P43">
        <v>1</v>
      </c>
      <c r="Q43" t="s">
        <v>2073</v>
      </c>
      <c r="R43" s="1">
        <v>0.84</v>
      </c>
      <c r="S43" s="3">
        <f>R43</f>
        <v>0.84</v>
      </c>
    </row>
    <row r="44" spans="1:19" x14ac:dyDescent="0.3">
      <c r="A44" t="s">
        <v>154</v>
      </c>
      <c r="B44" t="s">
        <v>155</v>
      </c>
      <c r="C44" t="str">
        <f t="shared" si="2"/>
        <v>Kaitlyn Schmidt</v>
      </c>
      <c r="D44" t="s">
        <v>69</v>
      </c>
      <c r="E44" t="str">
        <f t="shared" si="0"/>
        <v>Female</v>
      </c>
      <c r="F44">
        <v>35</v>
      </c>
      <c r="G44" t="s">
        <v>20</v>
      </c>
      <c r="H44" t="s">
        <v>21</v>
      </c>
      <c r="I44" t="s">
        <v>81</v>
      </c>
      <c r="J44">
        <v>10</v>
      </c>
      <c r="K44" s="4" t="str" cm="1">
        <f t="array" ref="K44">_xlfn.IFS(J44&lt;=5,"0-5",J44&lt;=10,"6-10",J44&lt;=15,"11-15",J44&lt;=20,"16-20",J44&gt;20,"21+")</f>
        <v>6-10</v>
      </c>
      <c r="L44" t="s">
        <v>56</v>
      </c>
      <c r="M44" s="2" t="str">
        <f>SUBSTITUTE(L44,"$","")</f>
        <v>50</v>
      </c>
      <c r="N44" s="8">
        <f t="shared" si="1"/>
        <v>50</v>
      </c>
      <c r="O44">
        <v>0</v>
      </c>
      <c r="P44" t="s">
        <v>151</v>
      </c>
      <c r="Q44" t="s">
        <v>2072</v>
      </c>
    </row>
    <row r="45" spans="1:19" x14ac:dyDescent="0.3">
      <c r="A45" t="s">
        <v>156</v>
      </c>
      <c r="B45" t="s">
        <v>157</v>
      </c>
      <c r="C45" t="str">
        <f t="shared" si="2"/>
        <v>Jason Singh</v>
      </c>
      <c r="D45" t="s">
        <v>19</v>
      </c>
      <c r="E45" t="str">
        <f t="shared" si="0"/>
        <v>Male</v>
      </c>
      <c r="F45">
        <v>41</v>
      </c>
      <c r="G45" t="s">
        <v>59</v>
      </c>
      <c r="H45" t="s">
        <v>14</v>
      </c>
      <c r="I45" t="s">
        <v>43</v>
      </c>
      <c r="K45" s="4" t="str" cm="1">
        <f t="array" ref="K45">_xlfn.IFS(J45&lt;=5,"0-5",J45&lt;=10,"6-10",J45&lt;=15,"11-15",J45&lt;=20,"16-20",J45&gt;20,"21+")</f>
        <v>0-5</v>
      </c>
      <c r="L45">
        <v>20</v>
      </c>
      <c r="M45" s="2">
        <f>L45</f>
        <v>20</v>
      </c>
      <c r="N45" s="8">
        <f t="shared" si="1"/>
        <v>20</v>
      </c>
      <c r="O45">
        <v>2.8</v>
      </c>
      <c r="P45" t="b">
        <v>1</v>
      </c>
      <c r="Q45" t="s">
        <v>2073</v>
      </c>
      <c r="R45" s="1">
        <v>0.63</v>
      </c>
      <c r="S45" s="3">
        <f t="shared" ref="S45:S49" si="8">R45</f>
        <v>0.63</v>
      </c>
    </row>
    <row r="46" spans="1:19" x14ac:dyDescent="0.3">
      <c r="A46" t="s">
        <v>158</v>
      </c>
      <c r="B46" t="s">
        <v>159</v>
      </c>
      <c r="C46" t="str">
        <f t="shared" si="2"/>
        <v>Michelle Ramirez</v>
      </c>
      <c r="D46" t="s">
        <v>69</v>
      </c>
      <c r="E46" t="str">
        <f t="shared" si="0"/>
        <v>Female</v>
      </c>
      <c r="F46">
        <v>51</v>
      </c>
      <c r="G46" t="s">
        <v>34</v>
      </c>
      <c r="H46" t="s">
        <v>35</v>
      </c>
      <c r="I46" t="s">
        <v>106</v>
      </c>
      <c r="J46">
        <v>23</v>
      </c>
      <c r="K46" s="4" t="str" cm="1">
        <f t="array" ref="K46">_xlfn.IFS(J46&lt;=5,"0-5",J46&lt;=10,"6-10",J46&lt;=15,"11-15",J46&lt;=20,"16-20",J46&gt;20,"21+")</f>
        <v>21+</v>
      </c>
      <c r="L46">
        <v>20</v>
      </c>
      <c r="M46" s="2">
        <f>L46</f>
        <v>20</v>
      </c>
      <c r="N46" s="8">
        <f t="shared" si="1"/>
        <v>20</v>
      </c>
      <c r="O46">
        <v>2.5</v>
      </c>
      <c r="P46" t="b">
        <v>0</v>
      </c>
      <c r="Q46" t="s">
        <v>2072</v>
      </c>
      <c r="R46" s="1">
        <v>0.8</v>
      </c>
      <c r="S46" s="3">
        <f t="shared" si="8"/>
        <v>0.8</v>
      </c>
    </row>
    <row r="47" spans="1:19" x14ac:dyDescent="0.3">
      <c r="A47" t="s">
        <v>160</v>
      </c>
      <c r="B47" t="s">
        <v>161</v>
      </c>
      <c r="C47" t="str">
        <f t="shared" si="2"/>
        <v>James Brown</v>
      </c>
      <c r="D47" t="s">
        <v>19</v>
      </c>
      <c r="E47" t="str">
        <f t="shared" si="0"/>
        <v>Male</v>
      </c>
      <c r="F47">
        <v>41</v>
      </c>
      <c r="G47" t="s">
        <v>145</v>
      </c>
      <c r="H47" t="s">
        <v>146</v>
      </c>
      <c r="I47" t="s">
        <v>27</v>
      </c>
      <c r="J47">
        <v>9</v>
      </c>
      <c r="K47" s="4" t="str" cm="1">
        <f t="array" ref="K47">_xlfn.IFS(J47&lt;=5,"0-5",J47&lt;=10,"6-10",J47&lt;=15,"11-15",J47&lt;=20,"16-20",J47&gt;20,"21+")</f>
        <v>6-10</v>
      </c>
      <c r="L47" t="s">
        <v>162</v>
      </c>
      <c r="M47" s="2" t="str">
        <f>SUBSTITUTE(L47,"$","")</f>
        <v>75</v>
      </c>
      <c r="N47" s="8">
        <f t="shared" si="1"/>
        <v>75</v>
      </c>
      <c r="O47">
        <v>4.9000000000000004</v>
      </c>
      <c r="P47">
        <v>1</v>
      </c>
      <c r="Q47" t="s">
        <v>2073</v>
      </c>
      <c r="R47" s="1">
        <v>0.74</v>
      </c>
      <c r="S47" s="3">
        <f t="shared" si="8"/>
        <v>0.74</v>
      </c>
    </row>
    <row r="48" spans="1:19" x14ac:dyDescent="0.3">
      <c r="A48" t="s">
        <v>163</v>
      </c>
      <c r="B48" t="s">
        <v>164</v>
      </c>
      <c r="C48" t="str">
        <f>TRIM(MID(B48,FIND(" ",B48)+1,LEN(B48)))</f>
        <v>Samantha Simmons</v>
      </c>
      <c r="D48" t="s">
        <v>69</v>
      </c>
      <c r="E48" t="str">
        <f t="shared" si="0"/>
        <v>Female</v>
      </c>
      <c r="F48">
        <v>47</v>
      </c>
      <c r="G48" t="s">
        <v>131</v>
      </c>
      <c r="H48" t="s">
        <v>132</v>
      </c>
      <c r="I48" t="s">
        <v>81</v>
      </c>
      <c r="J48">
        <v>15</v>
      </c>
      <c r="K48" s="4" t="str" cm="1">
        <f t="array" ref="K48">_xlfn.IFS(J48&lt;=5,"0-5",J48&lt;=10,"6-10",J48&lt;=15,"11-15",J48&lt;=20,"16-20",J48&gt;20,"21+")</f>
        <v>11-15</v>
      </c>
      <c r="L48" t="s">
        <v>101</v>
      </c>
      <c r="M48" s="2" t="str">
        <f>TRIM(MID(L48,FIND(" ",L48)+1,LEN(L48)))</f>
        <v>30</v>
      </c>
      <c r="N48" s="8">
        <f t="shared" si="1"/>
        <v>30</v>
      </c>
      <c r="O48">
        <v>4.5</v>
      </c>
      <c r="P48">
        <v>1</v>
      </c>
      <c r="Q48" t="s">
        <v>2073</v>
      </c>
      <c r="R48" s="1">
        <v>0.85</v>
      </c>
      <c r="S48" s="3">
        <f t="shared" si="8"/>
        <v>0.85</v>
      </c>
    </row>
    <row r="49" spans="1:19" x14ac:dyDescent="0.3">
      <c r="A49" t="s">
        <v>165</v>
      </c>
      <c r="B49" t="s">
        <v>166</v>
      </c>
      <c r="C49" t="str">
        <f t="shared" ref="C49:C112" si="9">B49</f>
        <v>Chase Mason</v>
      </c>
      <c r="D49" t="s">
        <v>19</v>
      </c>
      <c r="E49" t="str">
        <f t="shared" si="0"/>
        <v>Male</v>
      </c>
      <c r="F49">
        <v>25</v>
      </c>
      <c r="G49" t="s">
        <v>167</v>
      </c>
      <c r="H49" t="s">
        <v>168</v>
      </c>
      <c r="I49" t="s">
        <v>22</v>
      </c>
      <c r="J49">
        <v>4</v>
      </c>
      <c r="K49" s="4" t="str" cm="1">
        <f t="array" ref="K49">_xlfn.IFS(J49&lt;=5,"0-5",J49&lt;=10,"6-10",J49&lt;=15,"11-15",J49&lt;=20,"16-20",J49&gt;20,"21+")</f>
        <v>0-5</v>
      </c>
      <c r="L49">
        <v>50</v>
      </c>
      <c r="M49" s="2">
        <f t="shared" ref="M49:M56" si="10">L49</f>
        <v>50</v>
      </c>
      <c r="N49" s="8">
        <f t="shared" si="1"/>
        <v>50</v>
      </c>
      <c r="O49">
        <v>2.7</v>
      </c>
      <c r="P49" t="s">
        <v>23</v>
      </c>
      <c r="Q49" t="s">
        <v>2072</v>
      </c>
      <c r="R49" s="1">
        <v>0.77</v>
      </c>
      <c r="S49" s="3">
        <f t="shared" si="8"/>
        <v>0.77</v>
      </c>
    </row>
    <row r="50" spans="1:19" x14ac:dyDescent="0.3">
      <c r="A50" t="s">
        <v>169</v>
      </c>
      <c r="B50" t="s">
        <v>170</v>
      </c>
      <c r="C50" t="str">
        <f t="shared" si="9"/>
        <v>Dominique Ward</v>
      </c>
      <c r="D50" t="s">
        <v>26</v>
      </c>
      <c r="E50" t="str">
        <f t="shared" si="0"/>
        <v>Female</v>
      </c>
      <c r="F50">
        <v>25</v>
      </c>
      <c r="G50" t="s">
        <v>171</v>
      </c>
      <c r="H50" t="s">
        <v>64</v>
      </c>
      <c r="I50" t="s">
        <v>15</v>
      </c>
      <c r="J50">
        <v>7</v>
      </c>
      <c r="K50" s="4" t="str" cm="1">
        <f t="array" ref="K50">_xlfn.IFS(J50&lt;=5,"0-5",J50&lt;=10,"6-10",J50&lt;=15,"11-15",J50&lt;=20,"16-20",J50&gt;20,"21+")</f>
        <v>6-10</v>
      </c>
      <c r="L50">
        <v>20</v>
      </c>
      <c r="M50" s="2">
        <f t="shared" si="10"/>
        <v>20</v>
      </c>
      <c r="N50" s="8">
        <f t="shared" si="1"/>
        <v>20</v>
      </c>
      <c r="O50">
        <v>1.9</v>
      </c>
      <c r="P50">
        <v>0</v>
      </c>
      <c r="Q50" t="s">
        <v>2072</v>
      </c>
    </row>
    <row r="51" spans="1:19" x14ac:dyDescent="0.3">
      <c r="A51" t="s">
        <v>172</v>
      </c>
      <c r="B51" t="s">
        <v>173</v>
      </c>
      <c r="C51" t="str">
        <f t="shared" si="9"/>
        <v>Lance Griffin</v>
      </c>
      <c r="D51" t="s">
        <v>40</v>
      </c>
      <c r="E51" t="str">
        <f t="shared" si="0"/>
        <v>Male</v>
      </c>
      <c r="F51">
        <v>29</v>
      </c>
      <c r="G51" t="s">
        <v>34</v>
      </c>
      <c r="H51" t="s">
        <v>35</v>
      </c>
      <c r="I51" t="s">
        <v>65</v>
      </c>
      <c r="J51">
        <v>1</v>
      </c>
      <c r="K51" s="4" t="str" cm="1">
        <f t="array" ref="K51">_xlfn.IFS(J51&lt;=5,"0-5",J51&lt;=10,"6-10",J51&lt;=15,"11-15",J51&lt;=20,"16-20",J51&gt;20,"21+")</f>
        <v>0-5</v>
      </c>
      <c r="L51">
        <v>20</v>
      </c>
      <c r="M51" s="2">
        <f t="shared" si="10"/>
        <v>20</v>
      </c>
      <c r="N51" s="8">
        <f t="shared" si="1"/>
        <v>20</v>
      </c>
      <c r="O51">
        <v>1.4</v>
      </c>
      <c r="P51">
        <v>1</v>
      </c>
      <c r="Q51" t="s">
        <v>2073</v>
      </c>
      <c r="R51" s="1">
        <v>0.63</v>
      </c>
      <c r="S51" s="3">
        <f t="shared" ref="S51:S52" si="11">R51</f>
        <v>0.63</v>
      </c>
    </row>
    <row r="52" spans="1:19" x14ac:dyDescent="0.3">
      <c r="A52" t="s">
        <v>174</v>
      </c>
      <c r="B52" t="s">
        <v>175</v>
      </c>
      <c r="C52" t="str">
        <f t="shared" si="9"/>
        <v>Julie Burgess</v>
      </c>
      <c r="D52" t="s">
        <v>12</v>
      </c>
      <c r="E52" t="str">
        <f t="shared" si="0"/>
        <v>Female</v>
      </c>
      <c r="F52">
        <v>23</v>
      </c>
      <c r="G52" t="s">
        <v>63</v>
      </c>
      <c r="H52" t="s">
        <v>64</v>
      </c>
      <c r="I52" t="s">
        <v>70</v>
      </c>
      <c r="J52">
        <v>0</v>
      </c>
      <c r="K52" s="4" t="str" cm="1">
        <f t="array" ref="K52">_xlfn.IFS(J52&lt;=5,"0-5",J52&lt;=10,"6-10",J52&lt;=15,"11-15",J52&lt;=20,"16-20",J52&gt;20,"21+")</f>
        <v>0-5</v>
      </c>
      <c r="L52">
        <v>75</v>
      </c>
      <c r="M52" s="2">
        <f t="shared" si="10"/>
        <v>75</v>
      </c>
      <c r="N52" s="8">
        <f t="shared" si="1"/>
        <v>75</v>
      </c>
      <c r="O52">
        <v>1.9</v>
      </c>
      <c r="P52" t="b">
        <v>1</v>
      </c>
      <c r="Q52" t="s">
        <v>2073</v>
      </c>
      <c r="R52" s="1">
        <v>0.79</v>
      </c>
      <c r="S52" s="3">
        <f t="shared" si="11"/>
        <v>0.79</v>
      </c>
    </row>
    <row r="53" spans="1:19" x14ac:dyDescent="0.3">
      <c r="A53" t="s">
        <v>176</v>
      </c>
      <c r="B53" t="s">
        <v>177</v>
      </c>
      <c r="C53" t="str">
        <f t="shared" si="9"/>
        <v>Don Scott</v>
      </c>
      <c r="D53" t="s">
        <v>19</v>
      </c>
      <c r="E53" t="str">
        <f t="shared" si="0"/>
        <v>Male</v>
      </c>
      <c r="F53">
        <v>31</v>
      </c>
      <c r="G53" t="s">
        <v>127</v>
      </c>
      <c r="H53" t="s">
        <v>128</v>
      </c>
      <c r="I53" t="s">
        <v>43</v>
      </c>
      <c r="J53">
        <v>8</v>
      </c>
      <c r="K53" s="4" t="str" cm="1">
        <f t="array" ref="K53">_xlfn.IFS(J53&lt;=5,"0-5",J53&lt;=10,"6-10",J53&lt;=15,"11-15",J53&lt;=20,"16-20",J53&gt;20,"21+")</f>
        <v>6-10</v>
      </c>
      <c r="L53">
        <v>50</v>
      </c>
      <c r="M53" s="2">
        <f t="shared" si="10"/>
        <v>50</v>
      </c>
      <c r="N53" s="8">
        <f t="shared" si="1"/>
        <v>50</v>
      </c>
      <c r="O53">
        <v>3.4</v>
      </c>
      <c r="P53">
        <v>0</v>
      </c>
      <c r="Q53" t="s">
        <v>2072</v>
      </c>
    </row>
    <row r="54" spans="1:19" x14ac:dyDescent="0.3">
      <c r="A54" t="s">
        <v>178</v>
      </c>
      <c r="B54" t="s">
        <v>179</v>
      </c>
      <c r="C54" t="str">
        <f t="shared" si="9"/>
        <v>Kyle Atkinson</v>
      </c>
      <c r="D54" t="s">
        <v>89</v>
      </c>
      <c r="E54" t="str">
        <f t="shared" si="0"/>
        <v>Male</v>
      </c>
      <c r="F54">
        <v>51</v>
      </c>
      <c r="G54" t="s">
        <v>20</v>
      </c>
      <c r="H54" t="s">
        <v>21</v>
      </c>
      <c r="I54" t="s">
        <v>106</v>
      </c>
      <c r="J54">
        <v>33</v>
      </c>
      <c r="K54" s="4" t="str" cm="1">
        <f t="array" ref="K54">_xlfn.IFS(J54&lt;=5,"0-5",J54&lt;=10,"6-10",J54&lt;=15,"11-15",J54&lt;=20,"16-20",J54&gt;20,"21+")</f>
        <v>21+</v>
      </c>
      <c r="L54">
        <v>75</v>
      </c>
      <c r="M54" s="2">
        <f t="shared" si="10"/>
        <v>75</v>
      </c>
      <c r="N54" s="8">
        <f t="shared" si="1"/>
        <v>75</v>
      </c>
      <c r="O54">
        <v>3.3</v>
      </c>
      <c r="R54" s="1">
        <v>0.68</v>
      </c>
      <c r="S54" s="3">
        <f t="shared" ref="S54:S61" si="12">R54</f>
        <v>0.68</v>
      </c>
    </row>
    <row r="55" spans="1:19" x14ac:dyDescent="0.3">
      <c r="A55" t="s">
        <v>180</v>
      </c>
      <c r="B55" t="s">
        <v>181</v>
      </c>
      <c r="C55" t="str">
        <f t="shared" si="9"/>
        <v>Jimmy Hogan</v>
      </c>
      <c r="D55" t="s">
        <v>40</v>
      </c>
      <c r="E55" t="str">
        <f t="shared" si="0"/>
        <v>Male</v>
      </c>
      <c r="G55" t="s">
        <v>182</v>
      </c>
      <c r="H55" t="s">
        <v>64</v>
      </c>
      <c r="I55" t="s">
        <v>65</v>
      </c>
      <c r="J55">
        <v>1</v>
      </c>
      <c r="K55" s="4" t="str" cm="1">
        <f t="array" ref="K55">_xlfn.IFS(J55&lt;=5,"0-5",J55&lt;=10,"6-10",J55&lt;=15,"11-15",J55&lt;=20,"16-20",J55&gt;20,"21+")</f>
        <v>0-5</v>
      </c>
      <c r="L55">
        <v>30</v>
      </c>
      <c r="M55" s="2">
        <f t="shared" si="10"/>
        <v>30</v>
      </c>
      <c r="N55" s="8">
        <f t="shared" si="1"/>
        <v>30</v>
      </c>
      <c r="O55">
        <v>0</v>
      </c>
      <c r="P55">
        <v>0</v>
      </c>
      <c r="Q55" t="s">
        <v>2072</v>
      </c>
      <c r="R55" s="1">
        <v>0.68</v>
      </c>
      <c r="S55" s="3">
        <f t="shared" si="12"/>
        <v>0.68</v>
      </c>
    </row>
    <row r="56" spans="1:19" x14ac:dyDescent="0.3">
      <c r="A56" t="s">
        <v>183</v>
      </c>
      <c r="B56" t="s">
        <v>184</v>
      </c>
      <c r="C56" t="str">
        <f t="shared" si="9"/>
        <v>Jennifer Mcintyre</v>
      </c>
      <c r="D56" t="s">
        <v>6</v>
      </c>
      <c r="E56" t="str">
        <f t="shared" si="0"/>
        <v>Female</v>
      </c>
      <c r="F56">
        <v>29</v>
      </c>
      <c r="G56" t="s">
        <v>54</v>
      </c>
      <c r="H56" t="s">
        <v>55</v>
      </c>
      <c r="I56" t="s">
        <v>70</v>
      </c>
      <c r="J56">
        <v>11</v>
      </c>
      <c r="K56" s="4" t="str" cm="1">
        <f t="array" ref="K56">_xlfn.IFS(J56&lt;=5,"0-5",J56&lt;=10,"6-10",J56&lt;=15,"11-15",J56&lt;=20,"16-20",J56&gt;20,"21+")</f>
        <v>11-15</v>
      </c>
      <c r="L56">
        <v>100</v>
      </c>
      <c r="M56" s="2">
        <f t="shared" si="10"/>
        <v>100</v>
      </c>
      <c r="N56" s="8">
        <f t="shared" si="1"/>
        <v>100</v>
      </c>
      <c r="O56">
        <v>2.2999999999999998</v>
      </c>
      <c r="P56" t="b">
        <v>1</v>
      </c>
      <c r="Q56" t="s">
        <v>2073</v>
      </c>
      <c r="R56" s="1">
        <v>0.72</v>
      </c>
      <c r="S56" s="3">
        <f t="shared" si="12"/>
        <v>0.72</v>
      </c>
    </row>
    <row r="57" spans="1:19" x14ac:dyDescent="0.3">
      <c r="A57" t="s">
        <v>185</v>
      </c>
      <c r="B57" t="s">
        <v>186</v>
      </c>
      <c r="C57" t="str">
        <f t="shared" si="9"/>
        <v>Larry Simpson</v>
      </c>
      <c r="D57" t="s">
        <v>40</v>
      </c>
      <c r="E57" t="str">
        <f t="shared" si="0"/>
        <v>Male</v>
      </c>
      <c r="F57">
        <v>50</v>
      </c>
      <c r="G57" t="s">
        <v>59</v>
      </c>
      <c r="H57" t="s">
        <v>14</v>
      </c>
      <c r="I57" t="s">
        <v>36</v>
      </c>
      <c r="J57">
        <v>15</v>
      </c>
      <c r="K57" s="4" t="str" cm="1">
        <f t="array" ref="K57">_xlfn.IFS(J57&lt;=5,"0-5",J57&lt;=10,"6-10",J57&lt;=15,"11-15",J57&lt;=20,"16-20",J57&gt;20,"21+")</f>
        <v>11-15</v>
      </c>
      <c r="N57" s="8" t="str">
        <f t="shared" si="1"/>
        <v/>
      </c>
      <c r="O57">
        <v>2</v>
      </c>
      <c r="P57" t="s">
        <v>60</v>
      </c>
      <c r="Q57" t="s">
        <v>2073</v>
      </c>
      <c r="R57" s="1">
        <v>0.65</v>
      </c>
      <c r="S57" s="3">
        <f t="shared" si="12"/>
        <v>0.65</v>
      </c>
    </row>
    <row r="58" spans="1:19" x14ac:dyDescent="0.3">
      <c r="A58" t="s">
        <v>187</v>
      </c>
      <c r="B58" t="s">
        <v>188</v>
      </c>
      <c r="C58" t="str">
        <f t="shared" si="9"/>
        <v>Laura Price</v>
      </c>
      <c r="D58" t="s">
        <v>6</v>
      </c>
      <c r="E58" t="str">
        <f t="shared" si="0"/>
        <v>Female</v>
      </c>
      <c r="F58">
        <v>26</v>
      </c>
      <c r="G58" t="s">
        <v>59</v>
      </c>
      <c r="H58" t="s">
        <v>14</v>
      </c>
      <c r="I58" t="s">
        <v>81</v>
      </c>
      <c r="J58">
        <v>8</v>
      </c>
      <c r="K58" s="4" t="str" cm="1">
        <f t="array" ref="K58">_xlfn.IFS(J58&lt;=5,"0-5",J58&lt;=10,"6-10",J58&lt;=15,"11-15",J58&lt;=20,"16-20",J58&gt;20,"21+")</f>
        <v>6-10</v>
      </c>
      <c r="L58">
        <v>50</v>
      </c>
      <c r="M58" s="2">
        <f>L58</f>
        <v>50</v>
      </c>
      <c r="N58" s="8">
        <f t="shared" si="1"/>
        <v>50</v>
      </c>
      <c r="O58">
        <v>1.3</v>
      </c>
      <c r="P58" t="b">
        <v>0</v>
      </c>
      <c r="Q58" t="s">
        <v>2072</v>
      </c>
      <c r="R58" s="1">
        <v>0.76</v>
      </c>
      <c r="S58" s="3">
        <f t="shared" si="12"/>
        <v>0.76</v>
      </c>
    </row>
    <row r="59" spans="1:19" x14ac:dyDescent="0.3">
      <c r="A59" t="s">
        <v>189</v>
      </c>
      <c r="B59" t="s">
        <v>190</v>
      </c>
      <c r="C59" t="str">
        <f t="shared" si="9"/>
        <v>Mark Wright</v>
      </c>
      <c r="D59" t="s">
        <v>89</v>
      </c>
      <c r="E59" t="str">
        <f t="shared" si="0"/>
        <v>Male</v>
      </c>
      <c r="F59">
        <v>38</v>
      </c>
      <c r="G59" t="s">
        <v>120</v>
      </c>
      <c r="H59" t="s">
        <v>14</v>
      </c>
      <c r="I59" t="s">
        <v>36</v>
      </c>
      <c r="J59">
        <v>17</v>
      </c>
      <c r="K59" s="4" t="str" cm="1">
        <f t="array" ref="K59">_xlfn.IFS(J59&lt;=5,"0-5",J59&lt;=10,"6-10",J59&lt;=15,"11-15",J59&lt;=20,"16-20",J59&gt;20,"21+")</f>
        <v>16-20</v>
      </c>
      <c r="L59" t="s">
        <v>47</v>
      </c>
      <c r="M59" s="2" t="str">
        <f>TRIM(MID(L59,FIND(" ",L59)+1,LEN(L59)))</f>
        <v>40</v>
      </c>
      <c r="N59" s="8">
        <f t="shared" si="1"/>
        <v>40</v>
      </c>
      <c r="O59">
        <v>4</v>
      </c>
      <c r="P59" t="b">
        <v>1</v>
      </c>
      <c r="Q59" t="s">
        <v>2073</v>
      </c>
      <c r="R59" s="1">
        <v>0.9</v>
      </c>
      <c r="S59" s="3">
        <f t="shared" si="12"/>
        <v>0.9</v>
      </c>
    </row>
    <row r="60" spans="1:19" x14ac:dyDescent="0.3">
      <c r="A60" t="s">
        <v>191</v>
      </c>
      <c r="B60" t="s">
        <v>192</v>
      </c>
      <c r="C60" t="str">
        <f t="shared" si="9"/>
        <v>Samantha Mcdaniel</v>
      </c>
      <c r="D60" t="s">
        <v>12</v>
      </c>
      <c r="E60" t="str">
        <f t="shared" si="0"/>
        <v>Female</v>
      </c>
      <c r="F60">
        <v>23</v>
      </c>
      <c r="G60" t="s">
        <v>85</v>
      </c>
      <c r="H60" t="s">
        <v>86</v>
      </c>
      <c r="I60" t="s">
        <v>15</v>
      </c>
      <c r="K60" s="4" t="str" cm="1">
        <f t="array" ref="K60">_xlfn.IFS(J60&lt;=5,"0-5",J60&lt;=10,"6-10",J60&lt;=15,"11-15",J60&lt;=20,"16-20",J60&gt;20,"21+")</f>
        <v>0-5</v>
      </c>
      <c r="L60">
        <v>75</v>
      </c>
      <c r="M60" s="2">
        <f>L60</f>
        <v>75</v>
      </c>
      <c r="N60" s="8">
        <f t="shared" si="1"/>
        <v>75</v>
      </c>
      <c r="O60">
        <v>3.6</v>
      </c>
      <c r="P60">
        <v>1</v>
      </c>
      <c r="Q60" t="s">
        <v>2073</v>
      </c>
      <c r="R60" s="1">
        <v>0.65</v>
      </c>
      <c r="S60" s="3">
        <f t="shared" si="12"/>
        <v>0.65</v>
      </c>
    </row>
    <row r="61" spans="1:19" x14ac:dyDescent="0.3">
      <c r="A61" t="s">
        <v>193</v>
      </c>
      <c r="B61" t="s">
        <v>194</v>
      </c>
      <c r="C61" t="str">
        <f t="shared" si="9"/>
        <v>Barbara Foster</v>
      </c>
      <c r="D61" t="s">
        <v>69</v>
      </c>
      <c r="E61" t="str">
        <f t="shared" si="0"/>
        <v>Female</v>
      </c>
      <c r="F61">
        <v>51</v>
      </c>
      <c r="G61" t="s">
        <v>145</v>
      </c>
      <c r="H61" t="s">
        <v>146</v>
      </c>
      <c r="I61" t="s">
        <v>81</v>
      </c>
      <c r="J61">
        <v>28</v>
      </c>
      <c r="K61" s="4" t="str" cm="1">
        <f t="array" ref="K61">_xlfn.IFS(J61&lt;=5,"0-5",J61&lt;=10,"6-10",J61&lt;=15,"11-15",J61&lt;=20,"16-20",J61&gt;20,"21+")</f>
        <v>21+</v>
      </c>
      <c r="L61">
        <v>40</v>
      </c>
      <c r="M61" s="2">
        <f>L61</f>
        <v>40</v>
      </c>
      <c r="N61" s="8">
        <f t="shared" si="1"/>
        <v>40</v>
      </c>
      <c r="O61">
        <v>3.9</v>
      </c>
      <c r="P61">
        <v>0</v>
      </c>
      <c r="Q61" t="s">
        <v>2072</v>
      </c>
      <c r="R61" s="1">
        <v>0.63</v>
      </c>
      <c r="S61" s="3">
        <f t="shared" si="12"/>
        <v>0.63</v>
      </c>
    </row>
    <row r="62" spans="1:19" x14ac:dyDescent="0.3">
      <c r="A62" t="s">
        <v>195</v>
      </c>
      <c r="B62" t="s">
        <v>196</v>
      </c>
      <c r="C62" t="str">
        <f t="shared" si="9"/>
        <v>Courtney Tran</v>
      </c>
      <c r="D62" t="s">
        <v>26</v>
      </c>
      <c r="E62" t="str">
        <f t="shared" si="0"/>
        <v>Female</v>
      </c>
      <c r="F62">
        <v>51</v>
      </c>
      <c r="G62" t="s">
        <v>41</v>
      </c>
      <c r="H62" t="s">
        <v>42</v>
      </c>
      <c r="I62" t="s">
        <v>36</v>
      </c>
      <c r="J62">
        <v>33</v>
      </c>
      <c r="K62" s="4" t="str" cm="1">
        <f t="array" ref="K62">_xlfn.IFS(J62&lt;=5,"0-5",J62&lt;=10,"6-10",J62&lt;=15,"11-15",J62&lt;=20,"16-20",J62&gt;20,"21+")</f>
        <v>21+</v>
      </c>
      <c r="L62" t="s">
        <v>162</v>
      </c>
      <c r="M62" s="2" t="str">
        <f>SUBSTITUTE(L62,"$","")</f>
        <v>75</v>
      </c>
      <c r="N62" s="8">
        <f t="shared" si="1"/>
        <v>75</v>
      </c>
      <c r="O62">
        <v>0</v>
      </c>
      <c r="P62" t="b">
        <v>1</v>
      </c>
      <c r="Q62" t="s">
        <v>2073</v>
      </c>
    </row>
    <row r="63" spans="1:19" x14ac:dyDescent="0.3">
      <c r="A63" t="s">
        <v>197</v>
      </c>
      <c r="B63" t="s">
        <v>198</v>
      </c>
      <c r="C63" t="str">
        <f t="shared" si="9"/>
        <v>Eddie Todd</v>
      </c>
      <c r="D63" t="s">
        <v>89</v>
      </c>
      <c r="E63" t="str">
        <f t="shared" si="0"/>
        <v>Male</v>
      </c>
      <c r="F63">
        <v>47</v>
      </c>
      <c r="G63" t="s">
        <v>20</v>
      </c>
      <c r="H63" t="s">
        <v>21</v>
      </c>
      <c r="I63" t="s">
        <v>36</v>
      </c>
      <c r="J63">
        <v>18</v>
      </c>
      <c r="K63" s="4" t="str" cm="1">
        <f t="array" ref="K63">_xlfn.IFS(J63&lt;=5,"0-5",J63&lt;=10,"6-10",J63&lt;=15,"11-15",J63&lt;=20,"16-20",J63&gt;20,"21+")</f>
        <v>16-20</v>
      </c>
      <c r="L63">
        <v>75</v>
      </c>
      <c r="M63" s="2">
        <f>L63</f>
        <v>75</v>
      </c>
      <c r="N63" s="8">
        <f t="shared" si="1"/>
        <v>75</v>
      </c>
      <c r="O63">
        <v>0</v>
      </c>
      <c r="P63">
        <v>0</v>
      </c>
      <c r="Q63" t="s">
        <v>2072</v>
      </c>
    </row>
    <row r="64" spans="1:19" x14ac:dyDescent="0.3">
      <c r="A64" t="s">
        <v>199</v>
      </c>
      <c r="B64" t="s">
        <v>200</v>
      </c>
      <c r="C64" t="str">
        <f t="shared" si="9"/>
        <v>Christine Johnson</v>
      </c>
      <c r="D64" t="s">
        <v>69</v>
      </c>
      <c r="E64" t="str">
        <f t="shared" si="0"/>
        <v>Female</v>
      </c>
      <c r="F64">
        <v>34</v>
      </c>
      <c r="G64" t="s">
        <v>116</v>
      </c>
      <c r="H64" t="s">
        <v>117</v>
      </c>
      <c r="I64" t="s">
        <v>65</v>
      </c>
      <c r="J64">
        <v>16</v>
      </c>
      <c r="K64" s="4" t="str" cm="1">
        <f t="array" ref="K64">_xlfn.IFS(J64&lt;=5,"0-5",J64&lt;=10,"6-10",J64&lt;=15,"11-15",J64&lt;=20,"16-20",J64&gt;20,"21+")</f>
        <v>16-20</v>
      </c>
      <c r="L64" t="s">
        <v>113</v>
      </c>
      <c r="M64" s="2" t="str">
        <f>SUBSTITUTE(L64,"$","")</f>
        <v>20</v>
      </c>
      <c r="N64" s="8">
        <f t="shared" si="1"/>
        <v>20</v>
      </c>
      <c r="O64">
        <v>2.2999999999999998</v>
      </c>
      <c r="P64" t="s">
        <v>60</v>
      </c>
      <c r="Q64" t="s">
        <v>2073</v>
      </c>
      <c r="R64" s="1">
        <v>0.93</v>
      </c>
      <c r="S64" s="3">
        <f t="shared" ref="S64:S66" si="13">R64</f>
        <v>0.93</v>
      </c>
    </row>
    <row r="65" spans="1:19" x14ac:dyDescent="0.3">
      <c r="A65" t="s">
        <v>201</v>
      </c>
      <c r="B65" t="s">
        <v>202</v>
      </c>
      <c r="C65" t="str">
        <f t="shared" si="9"/>
        <v>Leah Phelps</v>
      </c>
      <c r="D65" t="s">
        <v>6</v>
      </c>
      <c r="E65" t="str">
        <f t="shared" si="0"/>
        <v>Female</v>
      </c>
      <c r="F65">
        <v>58</v>
      </c>
      <c r="G65" t="s">
        <v>41</v>
      </c>
      <c r="H65" t="s">
        <v>42</v>
      </c>
      <c r="I65" t="s">
        <v>43</v>
      </c>
      <c r="J65">
        <v>35</v>
      </c>
      <c r="K65" s="4" t="str" cm="1">
        <f t="array" ref="K65">_xlfn.IFS(J65&lt;=5,"0-5",J65&lt;=10,"6-10",J65&lt;=15,"11-15",J65&lt;=20,"16-20",J65&gt;20,"21+")</f>
        <v>21+</v>
      </c>
      <c r="L65" t="s">
        <v>90</v>
      </c>
      <c r="M65" s="2" t="str">
        <f>TRIM(MID(L65,FIND(" ",L65)+1,LEN(L65)))</f>
        <v>50</v>
      </c>
      <c r="N65" s="8">
        <f t="shared" si="1"/>
        <v>50</v>
      </c>
      <c r="O65">
        <v>4.7</v>
      </c>
      <c r="P65" t="s">
        <v>151</v>
      </c>
      <c r="Q65" t="s">
        <v>2072</v>
      </c>
      <c r="R65" s="1">
        <v>0.7</v>
      </c>
      <c r="S65" s="3">
        <f t="shared" si="13"/>
        <v>0.7</v>
      </c>
    </row>
    <row r="66" spans="1:19" x14ac:dyDescent="0.3">
      <c r="A66" t="s">
        <v>203</v>
      </c>
      <c r="B66" t="s">
        <v>204</v>
      </c>
      <c r="C66" t="str">
        <f t="shared" si="9"/>
        <v>Rebekah Williams</v>
      </c>
      <c r="D66" t="s">
        <v>26</v>
      </c>
      <c r="E66" t="str">
        <f t="shared" ref="E66:E129" si="14">IF(LOWER(LEFT(D66,1))="f","Female","Male")</f>
        <v>Female</v>
      </c>
      <c r="F66">
        <v>50</v>
      </c>
      <c r="G66" t="s">
        <v>116</v>
      </c>
      <c r="H66" t="s">
        <v>117</v>
      </c>
      <c r="I66" t="s">
        <v>36</v>
      </c>
      <c r="J66">
        <v>14</v>
      </c>
      <c r="K66" s="4" t="str" cm="1">
        <f t="array" ref="K66">_xlfn.IFS(J66&lt;=5,"0-5",J66&lt;=10,"6-10",J66&lt;=15,"11-15",J66&lt;=20,"16-20",J66&gt;20,"21+")</f>
        <v>11-15</v>
      </c>
      <c r="N66" s="8" t="str">
        <f t="shared" si="1"/>
        <v/>
      </c>
      <c r="O66">
        <v>3.5</v>
      </c>
      <c r="P66" t="s">
        <v>66</v>
      </c>
      <c r="Q66" t="s">
        <v>2073</v>
      </c>
      <c r="R66" s="1">
        <v>0.83</v>
      </c>
      <c r="S66" s="3">
        <f t="shared" si="13"/>
        <v>0.83</v>
      </c>
    </row>
    <row r="67" spans="1:19" x14ac:dyDescent="0.3">
      <c r="A67" t="s">
        <v>205</v>
      </c>
      <c r="B67" t="s">
        <v>206</v>
      </c>
      <c r="C67" t="str">
        <f t="shared" si="9"/>
        <v>Crystal Wilson</v>
      </c>
      <c r="D67" t="s">
        <v>12</v>
      </c>
      <c r="E67" t="str">
        <f t="shared" si="14"/>
        <v>Female</v>
      </c>
      <c r="F67">
        <v>34</v>
      </c>
      <c r="G67" t="s">
        <v>182</v>
      </c>
      <c r="H67" t="s">
        <v>64</v>
      </c>
      <c r="I67" t="s">
        <v>27</v>
      </c>
      <c r="J67">
        <v>12</v>
      </c>
      <c r="K67" s="4" t="str" cm="1">
        <f t="array" ref="K67">_xlfn.IFS(J67&lt;=5,"0-5",J67&lt;=10,"6-10",J67&lt;=15,"11-15",J67&lt;=20,"16-20",J67&gt;20,"21+")</f>
        <v>11-15</v>
      </c>
      <c r="L67">
        <v>40</v>
      </c>
      <c r="M67" s="2">
        <f>L67</f>
        <v>40</v>
      </c>
      <c r="N67" s="8">
        <f t="shared" ref="N67:N130" si="15">IF(M67="", "", VALUE(M67))</f>
        <v>40</v>
      </c>
      <c r="O67">
        <v>2.4</v>
      </c>
      <c r="P67">
        <v>1</v>
      </c>
      <c r="Q67" t="s">
        <v>2073</v>
      </c>
      <c r="R67">
        <v>64</v>
      </c>
      <c r="S67" s="3">
        <f>R67/100</f>
        <v>0.64</v>
      </c>
    </row>
    <row r="68" spans="1:19" x14ac:dyDescent="0.3">
      <c r="A68" t="s">
        <v>207</v>
      </c>
      <c r="B68" t="s">
        <v>208</v>
      </c>
      <c r="C68" t="str">
        <f t="shared" si="9"/>
        <v>Ashley Cordova</v>
      </c>
      <c r="D68" t="s">
        <v>69</v>
      </c>
      <c r="E68" t="str">
        <f t="shared" si="14"/>
        <v>Female</v>
      </c>
      <c r="F68">
        <v>45</v>
      </c>
      <c r="G68" t="s">
        <v>99</v>
      </c>
      <c r="H68" t="s">
        <v>100</v>
      </c>
      <c r="I68" t="s">
        <v>36</v>
      </c>
      <c r="J68">
        <v>11</v>
      </c>
      <c r="K68" s="4" t="str" cm="1">
        <f t="array" ref="K68">_xlfn.IFS(J68&lt;=5,"0-5",J68&lt;=10,"6-10",J68&lt;=15,"11-15",J68&lt;=20,"16-20",J68&gt;20,"21+")</f>
        <v>11-15</v>
      </c>
      <c r="L68" t="s">
        <v>44</v>
      </c>
      <c r="M68" s="2" t="str">
        <f>TRIM(MID(L68,FIND(" ",L68)+1,LEN(L68)))</f>
        <v>75</v>
      </c>
      <c r="N68" s="8">
        <f t="shared" si="15"/>
        <v>75</v>
      </c>
      <c r="O68">
        <v>4</v>
      </c>
      <c r="P68" t="s">
        <v>23</v>
      </c>
      <c r="Q68" t="s">
        <v>2072</v>
      </c>
      <c r="R68" s="1">
        <v>1</v>
      </c>
      <c r="S68" s="3">
        <f>R68</f>
        <v>1</v>
      </c>
    </row>
    <row r="69" spans="1:19" x14ac:dyDescent="0.3">
      <c r="A69" t="s">
        <v>209</v>
      </c>
      <c r="B69" t="s">
        <v>210</v>
      </c>
      <c r="C69" t="str">
        <f t="shared" si="9"/>
        <v>Vicki Kelly</v>
      </c>
      <c r="D69" t="s">
        <v>12</v>
      </c>
      <c r="E69" t="str">
        <f t="shared" si="14"/>
        <v>Female</v>
      </c>
      <c r="F69">
        <v>55</v>
      </c>
      <c r="G69" t="s">
        <v>99</v>
      </c>
      <c r="H69" t="s">
        <v>100</v>
      </c>
      <c r="I69" t="s">
        <v>27</v>
      </c>
      <c r="J69">
        <v>0</v>
      </c>
      <c r="K69" s="4" t="str" cm="1">
        <f t="array" ref="K69">_xlfn.IFS(J69&lt;=5,"0-5",J69&lt;=10,"6-10",J69&lt;=15,"11-15",J69&lt;=20,"16-20",J69&gt;20,"21+")</f>
        <v>0-5</v>
      </c>
      <c r="L69" t="s">
        <v>28</v>
      </c>
      <c r="M69" s="2" t="str">
        <f>SUBSTITUTE(L69,"$","")</f>
        <v>40</v>
      </c>
      <c r="N69" s="8">
        <f t="shared" si="15"/>
        <v>40</v>
      </c>
      <c r="O69">
        <v>0</v>
      </c>
      <c r="P69" t="b">
        <v>1</v>
      </c>
      <c r="Q69" t="s">
        <v>2073</v>
      </c>
    </row>
    <row r="70" spans="1:19" x14ac:dyDescent="0.3">
      <c r="A70" t="s">
        <v>211</v>
      </c>
      <c r="B70" t="s">
        <v>212</v>
      </c>
      <c r="C70" t="str">
        <f t="shared" si="9"/>
        <v>Corey Warren</v>
      </c>
      <c r="D70" t="s">
        <v>40</v>
      </c>
      <c r="E70" t="str">
        <f t="shared" si="14"/>
        <v>Male</v>
      </c>
      <c r="G70" t="s">
        <v>63</v>
      </c>
      <c r="H70" t="s">
        <v>64</v>
      </c>
      <c r="I70" t="s">
        <v>65</v>
      </c>
      <c r="J70">
        <v>6</v>
      </c>
      <c r="K70" s="4" t="str" cm="1">
        <f t="array" ref="K70">_xlfn.IFS(J70&lt;=5,"0-5",J70&lt;=10,"6-10",J70&lt;=15,"11-15",J70&lt;=20,"16-20",J70&gt;20,"21+")</f>
        <v>6-10</v>
      </c>
      <c r="L70">
        <v>100</v>
      </c>
      <c r="M70" s="2">
        <f>L70</f>
        <v>100</v>
      </c>
      <c r="N70" s="8">
        <f t="shared" si="15"/>
        <v>100</v>
      </c>
      <c r="O70">
        <v>1.5</v>
      </c>
      <c r="P70" t="b">
        <v>0</v>
      </c>
      <c r="Q70" t="s">
        <v>2072</v>
      </c>
    </row>
    <row r="71" spans="1:19" x14ac:dyDescent="0.3">
      <c r="A71" t="s">
        <v>213</v>
      </c>
      <c r="B71" t="s">
        <v>214</v>
      </c>
      <c r="C71" t="str">
        <f t="shared" si="9"/>
        <v>Gina Thompson</v>
      </c>
      <c r="D71" t="s">
        <v>12</v>
      </c>
      <c r="E71" t="str">
        <f t="shared" si="14"/>
        <v>Female</v>
      </c>
      <c r="F71">
        <v>60</v>
      </c>
      <c r="G71" t="s">
        <v>167</v>
      </c>
      <c r="H71" t="s">
        <v>168</v>
      </c>
      <c r="I71" t="s">
        <v>65</v>
      </c>
      <c r="J71">
        <v>38</v>
      </c>
      <c r="K71" s="4" t="str" cm="1">
        <f t="array" ref="K71">_xlfn.IFS(J71&lt;=5,"0-5",J71&lt;=10,"6-10",J71&lt;=15,"11-15",J71&lt;=20,"16-20",J71&gt;20,"21+")</f>
        <v>21+</v>
      </c>
      <c r="L71" t="s">
        <v>113</v>
      </c>
      <c r="M71" s="2" t="str">
        <f>SUBSTITUTE(L71,"$","")</f>
        <v>20</v>
      </c>
      <c r="N71" s="8">
        <f t="shared" si="15"/>
        <v>20</v>
      </c>
      <c r="O71">
        <v>2</v>
      </c>
      <c r="P71" t="s">
        <v>151</v>
      </c>
      <c r="Q71" t="s">
        <v>2072</v>
      </c>
      <c r="R71" s="1">
        <v>0.71</v>
      </c>
      <c r="S71" s="3">
        <f t="shared" ref="S71:S72" si="16">R71</f>
        <v>0.71</v>
      </c>
    </row>
    <row r="72" spans="1:19" x14ac:dyDescent="0.3">
      <c r="A72" t="s">
        <v>215</v>
      </c>
      <c r="B72" t="s">
        <v>216</v>
      </c>
      <c r="C72" t="str">
        <f t="shared" si="9"/>
        <v>Yvonne Berg</v>
      </c>
      <c r="D72" t="s">
        <v>6</v>
      </c>
      <c r="E72" t="str">
        <f t="shared" si="14"/>
        <v>Female</v>
      </c>
      <c r="F72">
        <v>33</v>
      </c>
      <c r="G72" t="s">
        <v>145</v>
      </c>
      <c r="H72" t="s">
        <v>146</v>
      </c>
      <c r="I72" t="s">
        <v>15</v>
      </c>
      <c r="J72">
        <v>11</v>
      </c>
      <c r="K72" s="4" t="str" cm="1">
        <f t="array" ref="K72">_xlfn.IFS(J72&lt;=5,"0-5",J72&lt;=10,"6-10",J72&lt;=15,"11-15",J72&lt;=20,"16-20",J72&gt;20,"21+")</f>
        <v>11-15</v>
      </c>
      <c r="N72" s="8" t="str">
        <f t="shared" si="15"/>
        <v/>
      </c>
      <c r="P72" t="s">
        <v>60</v>
      </c>
      <c r="Q72" t="s">
        <v>2073</v>
      </c>
      <c r="R72" s="1">
        <v>0.84</v>
      </c>
      <c r="S72" s="3">
        <f t="shared" si="16"/>
        <v>0.84</v>
      </c>
    </row>
    <row r="73" spans="1:19" x14ac:dyDescent="0.3">
      <c r="A73" t="s">
        <v>217</v>
      </c>
      <c r="B73" t="s">
        <v>218</v>
      </c>
      <c r="C73" t="str">
        <f t="shared" si="9"/>
        <v>Thomas Miller</v>
      </c>
      <c r="D73" t="s">
        <v>84</v>
      </c>
      <c r="E73" t="str">
        <f t="shared" si="14"/>
        <v>Male</v>
      </c>
      <c r="F73">
        <v>60</v>
      </c>
      <c r="G73" t="s">
        <v>7</v>
      </c>
      <c r="H73" t="s">
        <v>8</v>
      </c>
      <c r="I73" t="s">
        <v>81</v>
      </c>
      <c r="J73">
        <v>13</v>
      </c>
      <c r="K73" s="4" t="str" cm="1">
        <f t="array" ref="K73">_xlfn.IFS(J73&lt;=5,"0-5",J73&lt;=10,"6-10",J73&lt;=15,"11-15",J73&lt;=20,"16-20",J73&gt;20,"21+")</f>
        <v>11-15</v>
      </c>
      <c r="L73" t="s">
        <v>90</v>
      </c>
      <c r="M73" s="2" t="str">
        <f>TRIM(MID(L73,FIND(" ",L73)+1,LEN(L73)))</f>
        <v>50</v>
      </c>
      <c r="N73" s="8">
        <f t="shared" si="15"/>
        <v>50</v>
      </c>
      <c r="O73">
        <v>1</v>
      </c>
      <c r="P73" t="b">
        <v>0</v>
      </c>
      <c r="Q73" t="s">
        <v>2072</v>
      </c>
    </row>
    <row r="74" spans="1:19" x14ac:dyDescent="0.3">
      <c r="A74" t="s">
        <v>219</v>
      </c>
      <c r="B74" t="s">
        <v>220</v>
      </c>
      <c r="C74" t="str">
        <f t="shared" si="9"/>
        <v>Nicholas Burton</v>
      </c>
      <c r="D74" t="s">
        <v>53</v>
      </c>
      <c r="E74" t="str">
        <f t="shared" si="14"/>
        <v>Male</v>
      </c>
      <c r="F74">
        <v>40</v>
      </c>
      <c r="G74" t="s">
        <v>50</v>
      </c>
      <c r="H74" t="s">
        <v>14</v>
      </c>
      <c r="I74" t="s">
        <v>27</v>
      </c>
      <c r="J74">
        <v>9</v>
      </c>
      <c r="K74" s="4" t="str" cm="1">
        <f t="array" ref="K74">_xlfn.IFS(J74&lt;=5,"0-5",J74&lt;=10,"6-10",J74&lt;=15,"11-15",J74&lt;=20,"16-20",J74&gt;20,"21+")</f>
        <v>6-10</v>
      </c>
      <c r="L74" t="s">
        <v>221</v>
      </c>
      <c r="M74" s="2" t="str">
        <f>SUBSTITUTE(L74,"$","")</f>
        <v>100</v>
      </c>
      <c r="N74" s="8">
        <f t="shared" si="15"/>
        <v>100</v>
      </c>
      <c r="O74">
        <v>4.5</v>
      </c>
      <c r="P74" t="s">
        <v>60</v>
      </c>
      <c r="Q74" t="s">
        <v>2073</v>
      </c>
      <c r="R74" s="1">
        <v>0.69</v>
      </c>
      <c r="S74" s="3">
        <f>R74</f>
        <v>0.69</v>
      </c>
    </row>
    <row r="75" spans="1:19" x14ac:dyDescent="0.3">
      <c r="A75" t="s">
        <v>222</v>
      </c>
      <c r="B75" t="s">
        <v>223</v>
      </c>
      <c r="C75" t="str">
        <f t="shared" si="9"/>
        <v>Jorge Riley</v>
      </c>
      <c r="D75" t="s">
        <v>89</v>
      </c>
      <c r="E75" t="str">
        <f t="shared" si="14"/>
        <v>Male</v>
      </c>
      <c r="F75">
        <v>59</v>
      </c>
      <c r="G75" t="s">
        <v>13</v>
      </c>
      <c r="H75" t="s">
        <v>14</v>
      </c>
      <c r="I75" t="s">
        <v>9</v>
      </c>
      <c r="J75">
        <v>4</v>
      </c>
      <c r="K75" s="4" t="str" cm="1">
        <f t="array" ref="K75">_xlfn.IFS(J75&lt;=5,"0-5",J75&lt;=10,"6-10",J75&lt;=15,"11-15",J75&lt;=20,"16-20",J75&gt;20,"21+")</f>
        <v>0-5</v>
      </c>
      <c r="N75" s="8" t="str">
        <f t="shared" si="15"/>
        <v/>
      </c>
      <c r="O75">
        <v>1.9</v>
      </c>
      <c r="P75" t="b">
        <v>0</v>
      </c>
      <c r="Q75" t="s">
        <v>2072</v>
      </c>
      <c r="R75">
        <v>88</v>
      </c>
      <c r="S75" s="3">
        <f>R75/100</f>
        <v>0.88</v>
      </c>
    </row>
    <row r="76" spans="1:19" x14ac:dyDescent="0.3">
      <c r="A76" t="s">
        <v>224</v>
      </c>
      <c r="B76" t="s">
        <v>225</v>
      </c>
      <c r="C76" t="str">
        <f t="shared" si="9"/>
        <v>Melvin Harris</v>
      </c>
      <c r="D76" t="s">
        <v>84</v>
      </c>
      <c r="E76" t="str">
        <f t="shared" si="14"/>
        <v>Male</v>
      </c>
      <c r="F76">
        <v>36</v>
      </c>
      <c r="G76" t="s">
        <v>7</v>
      </c>
      <c r="H76" t="s">
        <v>8</v>
      </c>
      <c r="I76" t="s">
        <v>106</v>
      </c>
      <c r="J76">
        <v>14</v>
      </c>
      <c r="K76" s="4" t="str" cm="1">
        <f t="array" ref="K76">_xlfn.IFS(J76&lt;=5,"0-5",J76&lt;=10,"6-10",J76&lt;=15,"11-15",J76&lt;=20,"16-20",J76&gt;20,"21+")</f>
        <v>11-15</v>
      </c>
      <c r="L76" t="s">
        <v>221</v>
      </c>
      <c r="M76" s="2" t="str">
        <f>SUBSTITUTE(L76,"$","")</f>
        <v>100</v>
      </c>
      <c r="N76" s="8">
        <f t="shared" si="15"/>
        <v>100</v>
      </c>
      <c r="O76">
        <v>3.7</v>
      </c>
      <c r="P76">
        <v>0</v>
      </c>
      <c r="Q76" t="s">
        <v>2072</v>
      </c>
    </row>
    <row r="77" spans="1:19" x14ac:dyDescent="0.3">
      <c r="A77" t="s">
        <v>226</v>
      </c>
      <c r="B77" t="s">
        <v>227</v>
      </c>
      <c r="C77" t="str">
        <f t="shared" si="9"/>
        <v>Jeremy Meyer</v>
      </c>
      <c r="D77" t="s">
        <v>89</v>
      </c>
      <c r="E77" t="str">
        <f t="shared" si="14"/>
        <v>Male</v>
      </c>
      <c r="F77">
        <v>32</v>
      </c>
      <c r="G77" t="s">
        <v>85</v>
      </c>
      <c r="H77" t="s">
        <v>86</v>
      </c>
      <c r="I77" t="s">
        <v>43</v>
      </c>
      <c r="K77" s="4" t="str" cm="1">
        <f t="array" ref="K77">_xlfn.IFS(J77&lt;=5,"0-5",J77&lt;=10,"6-10",J77&lt;=15,"11-15",J77&lt;=20,"16-20",J77&gt;20,"21+")</f>
        <v>0-5</v>
      </c>
      <c r="L77">
        <v>30</v>
      </c>
      <c r="M77" s="2">
        <f>L77</f>
        <v>30</v>
      </c>
      <c r="N77" s="8">
        <f t="shared" si="15"/>
        <v>30</v>
      </c>
      <c r="O77">
        <v>1.9</v>
      </c>
      <c r="P77" t="b">
        <v>1</v>
      </c>
      <c r="Q77" t="s">
        <v>2073</v>
      </c>
      <c r="R77" s="1">
        <v>0.96</v>
      </c>
      <c r="S77" s="3">
        <f>R77</f>
        <v>0.96</v>
      </c>
    </row>
    <row r="78" spans="1:19" x14ac:dyDescent="0.3">
      <c r="A78" t="s">
        <v>228</v>
      </c>
      <c r="B78" t="s">
        <v>229</v>
      </c>
      <c r="C78" t="str">
        <f t="shared" si="9"/>
        <v>Timothy Lee</v>
      </c>
      <c r="D78" t="s">
        <v>19</v>
      </c>
      <c r="E78" t="str">
        <f t="shared" si="14"/>
        <v>Male</v>
      </c>
      <c r="F78">
        <v>59</v>
      </c>
      <c r="G78" t="s">
        <v>13</v>
      </c>
      <c r="H78" t="s">
        <v>14</v>
      </c>
      <c r="I78" t="s">
        <v>36</v>
      </c>
      <c r="J78">
        <v>9</v>
      </c>
      <c r="K78" s="4" t="str" cm="1">
        <f t="array" ref="K78">_xlfn.IFS(J78&lt;=5,"0-5",J78&lt;=10,"6-10",J78&lt;=15,"11-15",J78&lt;=20,"16-20",J78&gt;20,"21+")</f>
        <v>6-10</v>
      </c>
      <c r="L78" t="s">
        <v>44</v>
      </c>
      <c r="M78" s="2" t="str">
        <f>TRIM(MID(L78,FIND(" ",L78)+1,LEN(L78)))</f>
        <v>75</v>
      </c>
      <c r="N78" s="8">
        <f t="shared" si="15"/>
        <v>75</v>
      </c>
      <c r="O78">
        <v>4</v>
      </c>
      <c r="P78">
        <v>1</v>
      </c>
      <c r="Q78" t="s">
        <v>2073</v>
      </c>
      <c r="R78">
        <v>96</v>
      </c>
      <c r="S78" s="3">
        <f>R78/100</f>
        <v>0.96</v>
      </c>
    </row>
    <row r="79" spans="1:19" x14ac:dyDescent="0.3">
      <c r="A79" t="s">
        <v>230</v>
      </c>
      <c r="B79" t="s">
        <v>231</v>
      </c>
      <c r="C79" t="str">
        <f t="shared" si="9"/>
        <v>Diana Bautista</v>
      </c>
      <c r="D79" t="s">
        <v>26</v>
      </c>
      <c r="E79" t="str">
        <f t="shared" si="14"/>
        <v>Female</v>
      </c>
      <c r="F79">
        <v>54</v>
      </c>
      <c r="G79" t="s">
        <v>182</v>
      </c>
      <c r="H79" t="s">
        <v>64</v>
      </c>
      <c r="I79" t="s">
        <v>81</v>
      </c>
      <c r="J79">
        <v>32</v>
      </c>
      <c r="K79" s="4" t="str" cm="1">
        <f t="array" ref="K79">_xlfn.IFS(J79&lt;=5,"0-5",J79&lt;=10,"6-10",J79&lt;=15,"11-15",J79&lt;=20,"16-20",J79&gt;20,"21+")</f>
        <v>21+</v>
      </c>
      <c r="L79" t="s">
        <v>47</v>
      </c>
      <c r="M79" s="2" t="str">
        <f>TRIM(MID(L79,FIND(" ",L79)+1,LEN(L79)))</f>
        <v>40</v>
      </c>
      <c r="N79" s="8">
        <f t="shared" si="15"/>
        <v>40</v>
      </c>
      <c r="O79">
        <v>1.8</v>
      </c>
      <c r="P79" t="s">
        <v>23</v>
      </c>
      <c r="Q79" t="s">
        <v>2072</v>
      </c>
    </row>
    <row r="80" spans="1:19" x14ac:dyDescent="0.3">
      <c r="A80" t="s">
        <v>232</v>
      </c>
      <c r="B80" t="s">
        <v>233</v>
      </c>
      <c r="C80" t="str">
        <f t="shared" si="9"/>
        <v>Leslie Rodriguez</v>
      </c>
      <c r="D80" t="s">
        <v>6</v>
      </c>
      <c r="E80" t="str">
        <f t="shared" si="14"/>
        <v>Female</v>
      </c>
      <c r="F80">
        <v>37</v>
      </c>
      <c r="G80" t="s">
        <v>120</v>
      </c>
      <c r="H80" t="s">
        <v>14</v>
      </c>
      <c r="I80" t="s">
        <v>22</v>
      </c>
      <c r="J80">
        <v>9</v>
      </c>
      <c r="K80" s="4" t="str" cm="1">
        <f t="array" ref="K80">_xlfn.IFS(J80&lt;=5,"0-5",J80&lt;=10,"6-10",J80&lt;=15,"11-15",J80&lt;=20,"16-20",J80&gt;20,"21+")</f>
        <v>6-10</v>
      </c>
      <c r="N80" s="8" t="str">
        <f t="shared" si="15"/>
        <v/>
      </c>
      <c r="O80">
        <v>0</v>
      </c>
      <c r="P80">
        <v>1</v>
      </c>
      <c r="Q80" t="s">
        <v>2073</v>
      </c>
      <c r="R80" s="1">
        <v>0.89</v>
      </c>
      <c r="S80" s="3">
        <f>R80</f>
        <v>0.89</v>
      </c>
    </row>
    <row r="81" spans="1:19" x14ac:dyDescent="0.3">
      <c r="A81" t="s">
        <v>234</v>
      </c>
      <c r="B81" t="s">
        <v>235</v>
      </c>
      <c r="C81" t="str">
        <f t="shared" si="9"/>
        <v>Noah Wiggins</v>
      </c>
      <c r="D81" t="s">
        <v>53</v>
      </c>
      <c r="E81" t="str">
        <f t="shared" si="14"/>
        <v>Male</v>
      </c>
      <c r="F81">
        <v>54</v>
      </c>
      <c r="G81" t="s">
        <v>85</v>
      </c>
      <c r="H81" t="s">
        <v>86</v>
      </c>
      <c r="I81" t="s">
        <v>106</v>
      </c>
      <c r="J81">
        <v>21</v>
      </c>
      <c r="K81" s="4" t="str" cm="1">
        <f t="array" ref="K81">_xlfn.IFS(J81&lt;=5,"0-5",J81&lt;=10,"6-10",J81&lt;=15,"11-15",J81&lt;=20,"16-20",J81&gt;20,"21+")</f>
        <v>21+</v>
      </c>
      <c r="L81" t="s">
        <v>221</v>
      </c>
      <c r="M81" s="2" t="str">
        <f>SUBSTITUTE(L81,"$","")</f>
        <v>100</v>
      </c>
      <c r="N81" s="8">
        <f t="shared" si="15"/>
        <v>100</v>
      </c>
      <c r="O81">
        <v>4.5999999999999996</v>
      </c>
      <c r="P81" t="b">
        <v>0</v>
      </c>
      <c r="Q81" t="s">
        <v>2072</v>
      </c>
    </row>
    <row r="82" spans="1:19" x14ac:dyDescent="0.3">
      <c r="A82" t="s">
        <v>236</v>
      </c>
      <c r="B82" t="s">
        <v>237</v>
      </c>
      <c r="C82" t="str">
        <f t="shared" si="9"/>
        <v>Bridget Williams</v>
      </c>
      <c r="D82" t="s">
        <v>69</v>
      </c>
      <c r="E82" t="str">
        <f t="shared" si="14"/>
        <v>Female</v>
      </c>
      <c r="F82">
        <v>33</v>
      </c>
      <c r="G82" t="s">
        <v>63</v>
      </c>
      <c r="H82" t="s">
        <v>64</v>
      </c>
      <c r="I82" t="s">
        <v>65</v>
      </c>
      <c r="J82">
        <v>12</v>
      </c>
      <c r="K82" s="4" t="str" cm="1">
        <f t="array" ref="K82">_xlfn.IFS(J82&lt;=5,"0-5",J82&lt;=10,"6-10",J82&lt;=15,"11-15",J82&lt;=20,"16-20",J82&gt;20,"21+")</f>
        <v>11-15</v>
      </c>
      <c r="L82">
        <v>100</v>
      </c>
      <c r="M82" s="2">
        <f>L82</f>
        <v>100</v>
      </c>
      <c r="N82" s="8">
        <f t="shared" si="15"/>
        <v>100</v>
      </c>
      <c r="O82">
        <v>3.6</v>
      </c>
      <c r="P82">
        <v>0</v>
      </c>
      <c r="Q82" t="s">
        <v>2072</v>
      </c>
      <c r="R82" s="1">
        <v>0.63</v>
      </c>
      <c r="S82" s="3">
        <f>R82</f>
        <v>0.63</v>
      </c>
    </row>
    <row r="83" spans="1:19" x14ac:dyDescent="0.3">
      <c r="A83" t="s">
        <v>238</v>
      </c>
      <c r="B83" t="s">
        <v>239</v>
      </c>
      <c r="C83" t="str">
        <f t="shared" si="9"/>
        <v>Veronica Baker</v>
      </c>
      <c r="D83" t="s">
        <v>6</v>
      </c>
      <c r="E83" t="str">
        <f t="shared" si="14"/>
        <v>Female</v>
      </c>
      <c r="F83">
        <v>25</v>
      </c>
      <c r="G83" t="s">
        <v>131</v>
      </c>
      <c r="H83" t="s">
        <v>132</v>
      </c>
      <c r="I83" t="s">
        <v>27</v>
      </c>
      <c r="J83">
        <v>7</v>
      </c>
      <c r="K83" s="4" t="str" cm="1">
        <f t="array" ref="K83">_xlfn.IFS(J83&lt;=5,"0-5",J83&lt;=10,"6-10",J83&lt;=15,"11-15",J83&lt;=20,"16-20",J83&gt;20,"21+")</f>
        <v>6-10</v>
      </c>
      <c r="L83" t="s">
        <v>47</v>
      </c>
      <c r="M83" s="2" t="str">
        <f>TRIM(MID(L83,FIND(" ",L83)+1,LEN(L83)))</f>
        <v>40</v>
      </c>
      <c r="N83" s="8">
        <f t="shared" si="15"/>
        <v>40</v>
      </c>
      <c r="O83">
        <v>4.4000000000000004</v>
      </c>
      <c r="R83">
        <v>81</v>
      </c>
      <c r="S83" s="3">
        <f>R83/100</f>
        <v>0.81</v>
      </c>
    </row>
    <row r="84" spans="1:19" x14ac:dyDescent="0.3">
      <c r="A84" t="s">
        <v>240</v>
      </c>
      <c r="B84" t="s">
        <v>241</v>
      </c>
      <c r="C84" t="str">
        <f t="shared" si="9"/>
        <v>Andrew Avila</v>
      </c>
      <c r="D84" t="s">
        <v>89</v>
      </c>
      <c r="E84" t="str">
        <f t="shared" si="14"/>
        <v>Male</v>
      </c>
      <c r="G84" t="s">
        <v>167</v>
      </c>
      <c r="H84" t="s">
        <v>168</v>
      </c>
      <c r="I84" t="s">
        <v>81</v>
      </c>
      <c r="J84">
        <v>3</v>
      </c>
      <c r="K84" s="4" t="str" cm="1">
        <f t="array" ref="K84">_xlfn.IFS(J84&lt;=5,"0-5",J84&lt;=10,"6-10",J84&lt;=15,"11-15",J84&lt;=20,"16-20",J84&gt;20,"21+")</f>
        <v>0-5</v>
      </c>
      <c r="L84">
        <v>40</v>
      </c>
      <c r="M84" s="2">
        <f>L84</f>
        <v>40</v>
      </c>
      <c r="N84" s="8">
        <f t="shared" si="15"/>
        <v>40</v>
      </c>
      <c r="O84">
        <v>4.5999999999999996</v>
      </c>
      <c r="P84" t="s">
        <v>23</v>
      </c>
      <c r="Q84" t="s">
        <v>2072</v>
      </c>
      <c r="R84" s="1">
        <v>0.74</v>
      </c>
      <c r="S84" s="3">
        <f t="shared" ref="S84:S85" si="17">R84</f>
        <v>0.74</v>
      </c>
    </row>
    <row r="85" spans="1:19" x14ac:dyDescent="0.3">
      <c r="A85" t="s">
        <v>242</v>
      </c>
      <c r="B85" t="s">
        <v>243</v>
      </c>
      <c r="C85" t="str">
        <f t="shared" si="9"/>
        <v>Michael Roberson</v>
      </c>
      <c r="D85" t="s">
        <v>19</v>
      </c>
      <c r="E85" t="str">
        <f t="shared" si="14"/>
        <v>Male</v>
      </c>
      <c r="F85">
        <v>35</v>
      </c>
      <c r="G85" t="s">
        <v>104</v>
      </c>
      <c r="H85" t="s">
        <v>105</v>
      </c>
      <c r="I85" t="s">
        <v>27</v>
      </c>
      <c r="J85">
        <v>5</v>
      </c>
      <c r="K85" s="4" t="str" cm="1">
        <f t="array" ref="K85">_xlfn.IFS(J85&lt;=5,"0-5",J85&lt;=10,"6-10",J85&lt;=15,"11-15",J85&lt;=20,"16-20",J85&gt;20,"21+")</f>
        <v>0-5</v>
      </c>
      <c r="L85" t="s">
        <v>162</v>
      </c>
      <c r="M85" s="2" t="str">
        <f>SUBSTITUTE(L85,"$","")</f>
        <v>75</v>
      </c>
      <c r="N85" s="8">
        <f t="shared" si="15"/>
        <v>75</v>
      </c>
      <c r="O85">
        <v>3.2</v>
      </c>
      <c r="P85" t="b">
        <v>0</v>
      </c>
      <c r="Q85" t="s">
        <v>2072</v>
      </c>
      <c r="R85" s="1">
        <v>0.72</v>
      </c>
      <c r="S85" s="3">
        <f t="shared" si="17"/>
        <v>0.72</v>
      </c>
    </row>
    <row r="86" spans="1:19" x14ac:dyDescent="0.3">
      <c r="A86" t="s">
        <v>244</v>
      </c>
      <c r="B86" t="s">
        <v>245</v>
      </c>
      <c r="C86" t="str">
        <f t="shared" si="9"/>
        <v>Austin Jenkins</v>
      </c>
      <c r="D86" t="s">
        <v>89</v>
      </c>
      <c r="E86" t="str">
        <f t="shared" si="14"/>
        <v>Male</v>
      </c>
      <c r="F86">
        <v>59</v>
      </c>
      <c r="G86" t="s">
        <v>104</v>
      </c>
      <c r="H86" t="s">
        <v>105</v>
      </c>
      <c r="I86" t="s">
        <v>36</v>
      </c>
      <c r="J86">
        <v>30</v>
      </c>
      <c r="K86" s="4" t="str" cm="1">
        <f t="array" ref="K86">_xlfn.IFS(J86&lt;=5,"0-5",J86&lt;=10,"6-10",J86&lt;=15,"11-15",J86&lt;=20,"16-20",J86&gt;20,"21+")</f>
        <v>21+</v>
      </c>
      <c r="L86" t="s">
        <v>28</v>
      </c>
      <c r="M86" s="2" t="str">
        <f>SUBSTITUTE(L86,"$","")</f>
        <v>40</v>
      </c>
      <c r="N86" s="8">
        <f t="shared" si="15"/>
        <v>40</v>
      </c>
      <c r="O86">
        <v>0</v>
      </c>
      <c r="P86" t="b">
        <v>1</v>
      </c>
      <c r="Q86" t="s">
        <v>2073</v>
      </c>
    </row>
    <row r="87" spans="1:19" x14ac:dyDescent="0.3">
      <c r="A87" t="s">
        <v>246</v>
      </c>
      <c r="B87" t="s">
        <v>247</v>
      </c>
      <c r="C87" t="str">
        <f t="shared" si="9"/>
        <v>Brenda Green</v>
      </c>
      <c r="D87" t="s">
        <v>31</v>
      </c>
      <c r="E87" t="str">
        <f t="shared" si="14"/>
        <v>Female</v>
      </c>
      <c r="F87">
        <v>21</v>
      </c>
      <c r="G87" t="s">
        <v>167</v>
      </c>
      <c r="H87" t="s">
        <v>168</v>
      </c>
      <c r="I87" t="s">
        <v>81</v>
      </c>
      <c r="J87">
        <v>2</v>
      </c>
      <c r="K87" s="4" t="str" cm="1">
        <f t="array" ref="K87">_xlfn.IFS(J87&lt;=5,"0-5",J87&lt;=10,"6-10",J87&lt;=15,"11-15",J87&lt;=20,"16-20",J87&gt;20,"21+")</f>
        <v>0-5</v>
      </c>
      <c r="L87">
        <v>100</v>
      </c>
      <c r="M87" s="2">
        <f>L87</f>
        <v>100</v>
      </c>
      <c r="N87" s="8">
        <f t="shared" si="15"/>
        <v>100</v>
      </c>
      <c r="O87">
        <v>2.6</v>
      </c>
      <c r="P87" t="s">
        <v>66</v>
      </c>
      <c r="Q87" t="s">
        <v>2073</v>
      </c>
      <c r="R87" s="1">
        <v>0.85</v>
      </c>
      <c r="S87" s="3">
        <f>R87</f>
        <v>0.85</v>
      </c>
    </row>
    <row r="88" spans="1:19" x14ac:dyDescent="0.3">
      <c r="A88" t="s">
        <v>248</v>
      </c>
      <c r="B88" t="s">
        <v>249</v>
      </c>
      <c r="C88" t="str">
        <f t="shared" si="9"/>
        <v>Samuel Pierce</v>
      </c>
      <c r="D88" t="s">
        <v>84</v>
      </c>
      <c r="E88" t="str">
        <f t="shared" si="14"/>
        <v>Male</v>
      </c>
      <c r="F88">
        <v>25</v>
      </c>
      <c r="G88" t="s">
        <v>50</v>
      </c>
      <c r="H88" t="s">
        <v>14</v>
      </c>
      <c r="I88" t="s">
        <v>15</v>
      </c>
      <c r="J88">
        <v>2</v>
      </c>
      <c r="K88" s="4" t="str" cm="1">
        <f t="array" ref="K88">_xlfn.IFS(J88&lt;=5,"0-5",J88&lt;=10,"6-10",J88&lt;=15,"11-15",J88&lt;=20,"16-20",J88&gt;20,"21+")</f>
        <v>0-5</v>
      </c>
      <c r="L88" t="s">
        <v>162</v>
      </c>
      <c r="M88" s="2" t="str">
        <f>SUBSTITUTE(L88,"$","")</f>
        <v>75</v>
      </c>
      <c r="N88" s="8">
        <f t="shared" si="15"/>
        <v>75</v>
      </c>
      <c r="O88">
        <v>3.7</v>
      </c>
      <c r="P88" t="s">
        <v>23</v>
      </c>
      <c r="Q88" t="s">
        <v>2072</v>
      </c>
    </row>
    <row r="89" spans="1:19" x14ac:dyDescent="0.3">
      <c r="A89" t="s">
        <v>250</v>
      </c>
      <c r="B89" t="s">
        <v>251</v>
      </c>
      <c r="C89" t="str">
        <f t="shared" si="9"/>
        <v>Briana Smith</v>
      </c>
      <c r="D89" t="s">
        <v>6</v>
      </c>
      <c r="E89" t="str">
        <f t="shared" si="14"/>
        <v>Female</v>
      </c>
      <c r="F89">
        <v>38</v>
      </c>
      <c r="G89" t="s">
        <v>171</v>
      </c>
      <c r="H89" t="s">
        <v>64</v>
      </c>
      <c r="I89" t="s">
        <v>27</v>
      </c>
      <c r="J89">
        <v>19</v>
      </c>
      <c r="K89" s="4" t="str" cm="1">
        <f t="array" ref="K89">_xlfn.IFS(J89&lt;=5,"0-5",J89&lt;=10,"6-10",J89&lt;=15,"11-15",J89&lt;=20,"16-20",J89&gt;20,"21+")</f>
        <v>16-20</v>
      </c>
      <c r="L89">
        <v>75</v>
      </c>
      <c r="M89" s="2">
        <f>L89</f>
        <v>75</v>
      </c>
      <c r="N89" s="8">
        <f t="shared" si="15"/>
        <v>75</v>
      </c>
      <c r="O89">
        <v>2.2999999999999998</v>
      </c>
      <c r="P89" t="b">
        <v>0</v>
      </c>
      <c r="Q89" t="s">
        <v>2072</v>
      </c>
      <c r="R89" s="1">
        <v>0.61</v>
      </c>
      <c r="S89" s="3">
        <f>R89</f>
        <v>0.61</v>
      </c>
    </row>
    <row r="90" spans="1:19" x14ac:dyDescent="0.3">
      <c r="A90" t="s">
        <v>252</v>
      </c>
      <c r="B90" t="s">
        <v>253</v>
      </c>
      <c r="C90" t="str">
        <f t="shared" si="9"/>
        <v>Ronald Barrett</v>
      </c>
      <c r="D90" t="s">
        <v>89</v>
      </c>
      <c r="E90" t="str">
        <f t="shared" si="14"/>
        <v>Male</v>
      </c>
      <c r="F90">
        <v>57</v>
      </c>
      <c r="G90" t="s">
        <v>116</v>
      </c>
      <c r="H90" t="s">
        <v>117</v>
      </c>
      <c r="I90" t="s">
        <v>36</v>
      </c>
      <c r="J90">
        <v>16</v>
      </c>
      <c r="K90" s="4" t="str" cm="1">
        <f t="array" ref="K90">_xlfn.IFS(J90&lt;=5,"0-5",J90&lt;=10,"6-10",J90&lt;=15,"11-15",J90&lt;=20,"16-20",J90&gt;20,"21+")</f>
        <v>16-20</v>
      </c>
      <c r="L90">
        <v>100</v>
      </c>
      <c r="M90" s="2">
        <f>L90</f>
        <v>100</v>
      </c>
      <c r="N90" s="8">
        <f t="shared" si="15"/>
        <v>100</v>
      </c>
      <c r="O90">
        <v>3.1</v>
      </c>
      <c r="P90" t="b">
        <v>0</v>
      </c>
      <c r="Q90" t="s">
        <v>2072</v>
      </c>
    </row>
    <row r="91" spans="1:19" x14ac:dyDescent="0.3">
      <c r="A91" t="s">
        <v>254</v>
      </c>
      <c r="B91" t="s">
        <v>255</v>
      </c>
      <c r="C91" t="str">
        <f t="shared" si="9"/>
        <v>Matthew Smith</v>
      </c>
      <c r="D91" t="s">
        <v>40</v>
      </c>
      <c r="E91" t="str">
        <f t="shared" si="14"/>
        <v>Male</v>
      </c>
      <c r="F91">
        <v>32</v>
      </c>
      <c r="G91" t="s">
        <v>85</v>
      </c>
      <c r="H91" t="s">
        <v>86</v>
      </c>
      <c r="I91" t="s">
        <v>15</v>
      </c>
      <c r="J91">
        <v>10</v>
      </c>
      <c r="K91" s="4" t="str" cm="1">
        <f t="array" ref="K91">_xlfn.IFS(J91&lt;=5,"0-5",J91&lt;=10,"6-10",J91&lt;=15,"11-15",J91&lt;=20,"16-20",J91&gt;20,"21+")</f>
        <v>6-10</v>
      </c>
      <c r="L91" t="s">
        <v>113</v>
      </c>
      <c r="M91" s="2" t="str">
        <f>SUBSTITUTE(L91,"$","")</f>
        <v>20</v>
      </c>
      <c r="N91" s="8">
        <f t="shared" si="15"/>
        <v>20</v>
      </c>
      <c r="O91">
        <v>2.4</v>
      </c>
      <c r="P91">
        <v>0</v>
      </c>
      <c r="Q91" t="s">
        <v>2072</v>
      </c>
      <c r="R91" s="1">
        <v>0.86</v>
      </c>
      <c r="S91" s="3">
        <f t="shared" ref="S91:S98" si="18">R91</f>
        <v>0.86</v>
      </c>
    </row>
    <row r="92" spans="1:19" x14ac:dyDescent="0.3">
      <c r="A92" t="s">
        <v>256</v>
      </c>
      <c r="B92" t="s">
        <v>257</v>
      </c>
      <c r="C92" t="str">
        <f t="shared" si="9"/>
        <v>Logan Huang</v>
      </c>
      <c r="D92" t="s">
        <v>19</v>
      </c>
      <c r="E92" t="str">
        <f t="shared" si="14"/>
        <v>Male</v>
      </c>
      <c r="F92">
        <v>21</v>
      </c>
      <c r="G92" t="s">
        <v>7</v>
      </c>
      <c r="H92" t="s">
        <v>8</v>
      </c>
      <c r="I92" t="s">
        <v>81</v>
      </c>
      <c r="J92">
        <v>2</v>
      </c>
      <c r="K92" s="4" t="str" cm="1">
        <f t="array" ref="K92">_xlfn.IFS(J92&lt;=5,"0-5",J92&lt;=10,"6-10",J92&lt;=15,"11-15",J92&lt;=20,"16-20",J92&gt;20,"21+")</f>
        <v>0-5</v>
      </c>
      <c r="L92" t="s">
        <v>16</v>
      </c>
      <c r="M92" s="2" t="str">
        <f>TRIM(MID(L92,FIND(" ",L92)+1,LEN(L92)))</f>
        <v>100</v>
      </c>
      <c r="N92" s="8">
        <f t="shared" si="15"/>
        <v>100</v>
      </c>
      <c r="O92">
        <v>1.6</v>
      </c>
      <c r="P92" t="s">
        <v>60</v>
      </c>
      <c r="Q92" t="s">
        <v>2073</v>
      </c>
      <c r="R92" s="1">
        <v>0.97</v>
      </c>
      <c r="S92" s="3">
        <f t="shared" si="18"/>
        <v>0.97</v>
      </c>
    </row>
    <row r="93" spans="1:19" x14ac:dyDescent="0.3">
      <c r="A93" t="s">
        <v>258</v>
      </c>
      <c r="B93" t="s">
        <v>259</v>
      </c>
      <c r="C93" t="str">
        <f t="shared" si="9"/>
        <v>Miranda Hutchinson</v>
      </c>
      <c r="D93" t="s">
        <v>69</v>
      </c>
      <c r="E93" t="str">
        <f t="shared" si="14"/>
        <v>Female</v>
      </c>
      <c r="F93">
        <v>57</v>
      </c>
      <c r="G93" t="s">
        <v>120</v>
      </c>
      <c r="H93" t="s">
        <v>14</v>
      </c>
      <c r="I93" t="s">
        <v>70</v>
      </c>
      <c r="J93">
        <v>18</v>
      </c>
      <c r="K93" s="4" t="str" cm="1">
        <f t="array" ref="K93">_xlfn.IFS(J93&lt;=5,"0-5",J93&lt;=10,"6-10",J93&lt;=15,"11-15",J93&lt;=20,"16-20",J93&gt;20,"21+")</f>
        <v>16-20</v>
      </c>
      <c r="L93">
        <v>50</v>
      </c>
      <c r="M93" s="2">
        <f>L93</f>
        <v>50</v>
      </c>
      <c r="N93" s="8">
        <f t="shared" si="15"/>
        <v>50</v>
      </c>
      <c r="O93">
        <v>2.4</v>
      </c>
      <c r="P93">
        <v>1</v>
      </c>
      <c r="Q93" t="s">
        <v>2073</v>
      </c>
      <c r="R93" s="1">
        <v>0.63</v>
      </c>
      <c r="S93" s="3">
        <f t="shared" si="18"/>
        <v>0.63</v>
      </c>
    </row>
    <row r="94" spans="1:19" x14ac:dyDescent="0.3">
      <c r="A94" t="s">
        <v>260</v>
      </c>
      <c r="B94" t="s">
        <v>261</v>
      </c>
      <c r="C94" t="str">
        <f t="shared" si="9"/>
        <v>Paul Richardson</v>
      </c>
      <c r="D94" t="s">
        <v>19</v>
      </c>
      <c r="E94" t="str">
        <f t="shared" si="14"/>
        <v>Male</v>
      </c>
      <c r="F94">
        <v>53</v>
      </c>
      <c r="G94" t="s">
        <v>167</v>
      </c>
      <c r="H94" t="s">
        <v>168</v>
      </c>
      <c r="I94" t="s">
        <v>65</v>
      </c>
      <c r="J94">
        <v>21</v>
      </c>
      <c r="K94" s="4" t="str" cm="1">
        <f t="array" ref="K94">_xlfn.IFS(J94&lt;=5,"0-5",J94&lt;=10,"6-10",J94&lt;=15,"11-15",J94&lt;=20,"16-20",J94&gt;20,"21+")</f>
        <v>21+</v>
      </c>
      <c r="L94" t="s">
        <v>16</v>
      </c>
      <c r="M94" s="2" t="str">
        <f>TRIM(MID(L94,FIND(" ",L94)+1,LEN(L94)))</f>
        <v>100</v>
      </c>
      <c r="N94" s="8">
        <f t="shared" si="15"/>
        <v>100</v>
      </c>
      <c r="P94" t="s">
        <v>66</v>
      </c>
      <c r="Q94" t="s">
        <v>2073</v>
      </c>
      <c r="R94" s="1">
        <v>0.97</v>
      </c>
      <c r="S94" s="3">
        <f t="shared" si="18"/>
        <v>0.97</v>
      </c>
    </row>
    <row r="95" spans="1:19" x14ac:dyDescent="0.3">
      <c r="A95" t="s">
        <v>262</v>
      </c>
      <c r="B95" t="s">
        <v>263</v>
      </c>
      <c r="C95" t="str">
        <f t="shared" si="9"/>
        <v>Jose Jones</v>
      </c>
      <c r="D95" t="s">
        <v>84</v>
      </c>
      <c r="E95" t="str">
        <f t="shared" si="14"/>
        <v>Male</v>
      </c>
      <c r="F95">
        <v>35</v>
      </c>
      <c r="G95" t="s">
        <v>116</v>
      </c>
      <c r="H95" t="s">
        <v>117</v>
      </c>
      <c r="I95" t="s">
        <v>9</v>
      </c>
      <c r="J95">
        <v>3</v>
      </c>
      <c r="K95" s="4" t="str" cm="1">
        <f t="array" ref="K95">_xlfn.IFS(J95&lt;=5,"0-5",J95&lt;=10,"6-10",J95&lt;=15,"11-15",J95&lt;=20,"16-20",J95&gt;20,"21+")</f>
        <v>0-5</v>
      </c>
      <c r="L95" t="s">
        <v>101</v>
      </c>
      <c r="M95" s="2" t="str">
        <f>TRIM(MID(L95,FIND(" ",L95)+1,LEN(L95)))</f>
        <v>30</v>
      </c>
      <c r="N95" s="8">
        <f t="shared" si="15"/>
        <v>30</v>
      </c>
      <c r="O95">
        <v>3.8</v>
      </c>
      <c r="P95" t="s">
        <v>60</v>
      </c>
      <c r="Q95" t="s">
        <v>2073</v>
      </c>
      <c r="R95" s="1">
        <v>0.81</v>
      </c>
      <c r="S95" s="3">
        <f t="shared" si="18"/>
        <v>0.81</v>
      </c>
    </row>
    <row r="96" spans="1:19" x14ac:dyDescent="0.3">
      <c r="A96" t="s">
        <v>264</v>
      </c>
      <c r="B96" t="s">
        <v>265</v>
      </c>
      <c r="C96" t="str">
        <f t="shared" si="9"/>
        <v>Denise Smith</v>
      </c>
      <c r="D96" t="s">
        <v>6</v>
      </c>
      <c r="E96" t="str">
        <f t="shared" si="14"/>
        <v>Female</v>
      </c>
      <c r="F96">
        <v>54</v>
      </c>
      <c r="G96" t="s">
        <v>167</v>
      </c>
      <c r="H96" t="s">
        <v>168</v>
      </c>
      <c r="I96" t="s">
        <v>106</v>
      </c>
      <c r="J96">
        <v>17</v>
      </c>
      <c r="K96" s="4" t="str" cm="1">
        <f t="array" ref="K96">_xlfn.IFS(J96&lt;=5,"0-5",J96&lt;=10,"6-10",J96&lt;=15,"11-15",J96&lt;=20,"16-20",J96&gt;20,"21+")</f>
        <v>16-20</v>
      </c>
      <c r="L96">
        <v>20</v>
      </c>
      <c r="M96" s="2">
        <f>L96</f>
        <v>20</v>
      </c>
      <c r="N96" s="8">
        <f t="shared" si="15"/>
        <v>20</v>
      </c>
      <c r="O96">
        <v>1.7</v>
      </c>
      <c r="P96">
        <v>0</v>
      </c>
      <c r="Q96" t="s">
        <v>2072</v>
      </c>
      <c r="R96" s="1">
        <v>0.69</v>
      </c>
      <c r="S96" s="3">
        <f t="shared" si="18"/>
        <v>0.69</v>
      </c>
    </row>
    <row r="97" spans="1:19" x14ac:dyDescent="0.3">
      <c r="A97" t="s">
        <v>266</v>
      </c>
      <c r="B97" t="s">
        <v>267</v>
      </c>
      <c r="C97" t="str">
        <f t="shared" si="9"/>
        <v>Shelby Mcmahon</v>
      </c>
      <c r="D97" t="s">
        <v>12</v>
      </c>
      <c r="E97" t="str">
        <f t="shared" si="14"/>
        <v>Female</v>
      </c>
      <c r="F97">
        <v>36</v>
      </c>
      <c r="G97" t="s">
        <v>7</v>
      </c>
      <c r="H97" t="s">
        <v>8</v>
      </c>
      <c r="I97" t="s">
        <v>65</v>
      </c>
      <c r="J97">
        <v>0</v>
      </c>
      <c r="K97" s="4" t="str" cm="1">
        <f t="array" ref="K97">_xlfn.IFS(J97&lt;=5,"0-5",J97&lt;=10,"6-10",J97&lt;=15,"11-15",J97&lt;=20,"16-20",J97&gt;20,"21+")</f>
        <v>0-5</v>
      </c>
      <c r="L97">
        <v>20</v>
      </c>
      <c r="M97" s="2">
        <f>L97</f>
        <v>20</v>
      </c>
      <c r="N97" s="8">
        <f t="shared" si="15"/>
        <v>20</v>
      </c>
      <c r="O97">
        <v>1.3</v>
      </c>
      <c r="P97" t="s">
        <v>66</v>
      </c>
      <c r="Q97" t="s">
        <v>2073</v>
      </c>
      <c r="R97" s="1">
        <v>0.64</v>
      </c>
      <c r="S97" s="3">
        <f t="shared" si="18"/>
        <v>0.64</v>
      </c>
    </row>
    <row r="98" spans="1:19" x14ac:dyDescent="0.3">
      <c r="A98" t="s">
        <v>268</v>
      </c>
      <c r="B98" t="s">
        <v>269</v>
      </c>
      <c r="C98" t="str">
        <f t="shared" si="9"/>
        <v>Bethany Wright</v>
      </c>
      <c r="D98" t="s">
        <v>6</v>
      </c>
      <c r="E98" t="str">
        <f t="shared" si="14"/>
        <v>Female</v>
      </c>
      <c r="F98">
        <v>49</v>
      </c>
      <c r="G98" t="s">
        <v>182</v>
      </c>
      <c r="H98" t="s">
        <v>64</v>
      </c>
      <c r="I98" t="s">
        <v>70</v>
      </c>
      <c r="J98">
        <v>25</v>
      </c>
      <c r="K98" s="4" t="str" cm="1">
        <f t="array" ref="K98">_xlfn.IFS(J98&lt;=5,"0-5",J98&lt;=10,"6-10",J98&lt;=15,"11-15",J98&lt;=20,"16-20",J98&gt;20,"21+")</f>
        <v>21+</v>
      </c>
      <c r="L98">
        <v>50</v>
      </c>
      <c r="M98" s="2">
        <f>L98</f>
        <v>50</v>
      </c>
      <c r="N98" s="8">
        <f t="shared" si="15"/>
        <v>50</v>
      </c>
      <c r="O98">
        <v>5</v>
      </c>
      <c r="P98" t="s">
        <v>23</v>
      </c>
      <c r="Q98" t="s">
        <v>2072</v>
      </c>
      <c r="R98" s="1">
        <v>0.77</v>
      </c>
      <c r="S98" s="3">
        <f t="shared" si="18"/>
        <v>0.77</v>
      </c>
    </row>
    <row r="99" spans="1:19" x14ac:dyDescent="0.3">
      <c r="A99" t="s">
        <v>270</v>
      </c>
      <c r="B99" t="s">
        <v>271</v>
      </c>
      <c r="C99" t="str">
        <f t="shared" si="9"/>
        <v>David Ortiz</v>
      </c>
      <c r="D99" t="s">
        <v>89</v>
      </c>
      <c r="E99" t="str">
        <f t="shared" si="14"/>
        <v>Male</v>
      </c>
      <c r="F99">
        <v>37</v>
      </c>
      <c r="G99" t="s">
        <v>50</v>
      </c>
      <c r="H99" t="s">
        <v>14</v>
      </c>
      <c r="I99" t="s">
        <v>9</v>
      </c>
      <c r="J99">
        <v>17</v>
      </c>
      <c r="K99" s="4" t="str" cm="1">
        <f t="array" ref="K99">_xlfn.IFS(J99&lt;=5,"0-5",J99&lt;=10,"6-10",J99&lt;=15,"11-15",J99&lt;=20,"16-20",J99&gt;20,"21+")</f>
        <v>16-20</v>
      </c>
      <c r="L99">
        <v>20</v>
      </c>
      <c r="M99" s="2">
        <f>L99</f>
        <v>20</v>
      </c>
      <c r="N99" s="8">
        <f t="shared" si="15"/>
        <v>20</v>
      </c>
      <c r="O99">
        <v>3.3</v>
      </c>
      <c r="P99">
        <v>0</v>
      </c>
      <c r="Q99" t="s">
        <v>2072</v>
      </c>
      <c r="R99">
        <v>96</v>
      </c>
      <c r="S99" s="3">
        <f>R99/100</f>
        <v>0.96</v>
      </c>
    </row>
    <row r="100" spans="1:19" x14ac:dyDescent="0.3">
      <c r="A100" t="s">
        <v>272</v>
      </c>
      <c r="B100" t="s">
        <v>273</v>
      </c>
      <c r="C100" t="str">
        <f t="shared" si="9"/>
        <v>Andrew Lynch</v>
      </c>
      <c r="D100" t="s">
        <v>53</v>
      </c>
      <c r="E100" t="str">
        <f t="shared" si="14"/>
        <v>Male</v>
      </c>
      <c r="G100" t="s">
        <v>50</v>
      </c>
      <c r="H100" t="s">
        <v>14</v>
      </c>
      <c r="I100" t="s">
        <v>65</v>
      </c>
      <c r="J100">
        <v>5</v>
      </c>
      <c r="K100" s="4" t="str" cm="1">
        <f t="array" ref="K100">_xlfn.IFS(J100&lt;=5,"0-5",J100&lt;=10,"6-10",J100&lt;=15,"11-15",J100&lt;=20,"16-20",J100&gt;20,"21+")</f>
        <v>0-5</v>
      </c>
      <c r="L100" t="s">
        <v>113</v>
      </c>
      <c r="M100" s="2" t="str">
        <f>SUBSTITUTE(L100,"$","")</f>
        <v>20</v>
      </c>
      <c r="N100" s="8">
        <f t="shared" si="15"/>
        <v>20</v>
      </c>
      <c r="O100">
        <v>1.1000000000000001</v>
      </c>
      <c r="P100" t="s">
        <v>151</v>
      </c>
      <c r="Q100" t="s">
        <v>2072</v>
      </c>
      <c r="R100" s="1">
        <v>0.74</v>
      </c>
      <c r="S100" s="3">
        <f t="shared" ref="S100:S102" si="19">R100</f>
        <v>0.74</v>
      </c>
    </row>
    <row r="101" spans="1:19" x14ac:dyDescent="0.3">
      <c r="A101" t="s">
        <v>274</v>
      </c>
      <c r="B101" t="s">
        <v>275</v>
      </c>
      <c r="C101" t="str">
        <f t="shared" si="9"/>
        <v>Kristopher Meyers</v>
      </c>
      <c r="D101" t="s">
        <v>40</v>
      </c>
      <c r="E101" t="str">
        <f t="shared" si="14"/>
        <v>Male</v>
      </c>
      <c r="F101">
        <v>32</v>
      </c>
      <c r="G101" t="s">
        <v>131</v>
      </c>
      <c r="H101" t="s">
        <v>132</v>
      </c>
      <c r="I101" t="s">
        <v>65</v>
      </c>
      <c r="J101">
        <v>10</v>
      </c>
      <c r="K101" s="4" t="str" cm="1">
        <f t="array" ref="K101">_xlfn.IFS(J101&lt;=5,"0-5",J101&lt;=10,"6-10",J101&lt;=15,"11-15",J101&lt;=20,"16-20",J101&gt;20,"21+")</f>
        <v>6-10</v>
      </c>
      <c r="L101">
        <v>50</v>
      </c>
      <c r="M101" s="2">
        <f>L101</f>
        <v>50</v>
      </c>
      <c r="N101" s="8">
        <f t="shared" si="15"/>
        <v>50</v>
      </c>
      <c r="O101">
        <v>1.2</v>
      </c>
      <c r="P101" t="b">
        <v>0</v>
      </c>
      <c r="Q101" t="s">
        <v>2072</v>
      </c>
      <c r="R101" s="1">
        <v>0.89</v>
      </c>
      <c r="S101" s="3">
        <f t="shared" si="19"/>
        <v>0.89</v>
      </c>
    </row>
    <row r="102" spans="1:19" x14ac:dyDescent="0.3">
      <c r="A102" t="s">
        <v>276</v>
      </c>
      <c r="B102" t="s">
        <v>277</v>
      </c>
      <c r="C102" t="str">
        <f t="shared" si="9"/>
        <v>Thomas Roth</v>
      </c>
      <c r="D102" t="s">
        <v>40</v>
      </c>
      <c r="E102" t="str">
        <f t="shared" si="14"/>
        <v>Male</v>
      </c>
      <c r="F102">
        <v>35</v>
      </c>
      <c r="G102" t="s">
        <v>85</v>
      </c>
      <c r="H102" t="s">
        <v>86</v>
      </c>
      <c r="I102" t="s">
        <v>15</v>
      </c>
      <c r="J102">
        <v>0</v>
      </c>
      <c r="K102" s="4" t="str" cm="1">
        <f t="array" ref="K102">_xlfn.IFS(J102&lt;=5,"0-5",J102&lt;=10,"6-10",J102&lt;=15,"11-15",J102&lt;=20,"16-20",J102&gt;20,"21+")</f>
        <v>0-5</v>
      </c>
      <c r="N102" s="8" t="str">
        <f t="shared" si="15"/>
        <v/>
      </c>
      <c r="O102">
        <v>2</v>
      </c>
      <c r="P102">
        <v>1</v>
      </c>
      <c r="Q102" t="s">
        <v>2073</v>
      </c>
      <c r="R102" s="1">
        <v>0.64</v>
      </c>
      <c r="S102" s="3">
        <f t="shared" si="19"/>
        <v>0.64</v>
      </c>
    </row>
    <row r="103" spans="1:19" x14ac:dyDescent="0.3">
      <c r="A103" t="s">
        <v>278</v>
      </c>
      <c r="B103" t="s">
        <v>279</v>
      </c>
      <c r="C103" t="str">
        <f t="shared" si="9"/>
        <v>Vicki Brown</v>
      </c>
      <c r="D103" t="s">
        <v>6</v>
      </c>
      <c r="E103" t="str">
        <f t="shared" si="14"/>
        <v>Female</v>
      </c>
      <c r="F103">
        <v>51</v>
      </c>
      <c r="G103" t="s">
        <v>116</v>
      </c>
      <c r="H103" t="s">
        <v>117</v>
      </c>
      <c r="I103" t="s">
        <v>22</v>
      </c>
      <c r="J103">
        <v>2</v>
      </c>
      <c r="K103" s="4" t="str" cm="1">
        <f t="array" ref="K103">_xlfn.IFS(J103&lt;=5,"0-5",J103&lt;=10,"6-10",J103&lt;=15,"11-15",J103&lt;=20,"16-20",J103&gt;20,"21+")</f>
        <v>0-5</v>
      </c>
      <c r="L103" t="s">
        <v>37</v>
      </c>
      <c r="M103" s="2" t="str">
        <f>SUBSTITUTE(L103,"$","")</f>
        <v>30</v>
      </c>
      <c r="N103" s="8">
        <f t="shared" si="15"/>
        <v>30</v>
      </c>
      <c r="O103">
        <v>4.5</v>
      </c>
      <c r="P103">
        <v>0</v>
      </c>
      <c r="Q103" t="s">
        <v>2072</v>
      </c>
      <c r="R103">
        <v>64</v>
      </c>
      <c r="S103" s="3">
        <f>R103/100</f>
        <v>0.64</v>
      </c>
    </row>
    <row r="104" spans="1:19" x14ac:dyDescent="0.3">
      <c r="A104" t="s">
        <v>280</v>
      </c>
      <c r="B104" t="s">
        <v>281</v>
      </c>
      <c r="C104" t="str">
        <f t="shared" si="9"/>
        <v>Stacy Sutton</v>
      </c>
      <c r="D104" t="s">
        <v>6</v>
      </c>
      <c r="E104" t="str">
        <f t="shared" si="14"/>
        <v>Female</v>
      </c>
      <c r="F104">
        <v>50</v>
      </c>
      <c r="G104" t="s">
        <v>116</v>
      </c>
      <c r="H104" t="s">
        <v>117</v>
      </c>
      <c r="I104" t="s">
        <v>81</v>
      </c>
      <c r="J104">
        <v>30</v>
      </c>
      <c r="K104" s="4" t="str" cm="1">
        <f t="array" ref="K104">_xlfn.IFS(J104&lt;=5,"0-5",J104&lt;=10,"6-10",J104&lt;=15,"11-15",J104&lt;=20,"16-20",J104&gt;20,"21+")</f>
        <v>21+</v>
      </c>
      <c r="L104">
        <v>100</v>
      </c>
      <c r="M104" s="2">
        <f>L104</f>
        <v>100</v>
      </c>
      <c r="N104" s="8">
        <f t="shared" si="15"/>
        <v>100</v>
      </c>
      <c r="O104">
        <v>3</v>
      </c>
      <c r="P104">
        <v>1</v>
      </c>
      <c r="Q104" t="s">
        <v>2073</v>
      </c>
      <c r="R104" s="1">
        <v>0.73</v>
      </c>
      <c r="S104" s="3">
        <f t="shared" ref="S104:S107" si="20">R104</f>
        <v>0.73</v>
      </c>
    </row>
    <row r="105" spans="1:19" x14ac:dyDescent="0.3">
      <c r="A105" t="s">
        <v>282</v>
      </c>
      <c r="B105" t="s">
        <v>283</v>
      </c>
      <c r="C105" t="str">
        <f t="shared" si="9"/>
        <v>Kimberly Holland</v>
      </c>
      <c r="D105" t="s">
        <v>6</v>
      </c>
      <c r="E105" t="str">
        <f t="shared" si="14"/>
        <v>Female</v>
      </c>
      <c r="F105">
        <v>21</v>
      </c>
      <c r="G105" t="s">
        <v>54</v>
      </c>
      <c r="H105" t="s">
        <v>55</v>
      </c>
      <c r="I105" t="s">
        <v>9</v>
      </c>
      <c r="J105">
        <v>2</v>
      </c>
      <c r="K105" s="4" t="str" cm="1">
        <f t="array" ref="K105">_xlfn.IFS(J105&lt;=5,"0-5",J105&lt;=10,"6-10",J105&lt;=15,"11-15",J105&lt;=20,"16-20",J105&gt;20,"21+")</f>
        <v>0-5</v>
      </c>
      <c r="L105" t="s">
        <v>56</v>
      </c>
      <c r="M105" s="2" t="str">
        <f>SUBSTITUTE(L105,"$","")</f>
        <v>50</v>
      </c>
      <c r="N105" s="8">
        <f t="shared" si="15"/>
        <v>50</v>
      </c>
      <c r="O105">
        <v>4.9000000000000004</v>
      </c>
      <c r="P105" t="s">
        <v>60</v>
      </c>
      <c r="Q105" t="s">
        <v>2073</v>
      </c>
      <c r="R105" s="1">
        <v>0.68</v>
      </c>
      <c r="S105" s="3">
        <f t="shared" si="20"/>
        <v>0.68</v>
      </c>
    </row>
    <row r="106" spans="1:19" x14ac:dyDescent="0.3">
      <c r="A106" t="s">
        <v>284</v>
      </c>
      <c r="B106" t="s">
        <v>285</v>
      </c>
      <c r="C106" t="str">
        <f t="shared" si="9"/>
        <v>Travis Richardson</v>
      </c>
      <c r="D106" t="s">
        <v>53</v>
      </c>
      <c r="E106" t="str">
        <f t="shared" si="14"/>
        <v>Male</v>
      </c>
      <c r="F106">
        <v>25</v>
      </c>
      <c r="G106" t="s">
        <v>50</v>
      </c>
      <c r="H106" t="s">
        <v>14</v>
      </c>
      <c r="I106" t="s">
        <v>22</v>
      </c>
      <c r="J106">
        <v>3</v>
      </c>
      <c r="K106" s="4" t="str" cm="1">
        <f t="array" ref="K106">_xlfn.IFS(J106&lt;=5,"0-5",J106&lt;=10,"6-10",J106&lt;=15,"11-15",J106&lt;=20,"16-20",J106&gt;20,"21+")</f>
        <v>0-5</v>
      </c>
      <c r="L106" t="s">
        <v>37</v>
      </c>
      <c r="M106" s="2" t="str">
        <f>SUBSTITUTE(L106,"$","")</f>
        <v>30</v>
      </c>
      <c r="N106" s="8">
        <f t="shared" si="15"/>
        <v>30</v>
      </c>
      <c r="P106" t="s">
        <v>151</v>
      </c>
      <c r="Q106" t="s">
        <v>2072</v>
      </c>
      <c r="R106" s="1">
        <v>0.88</v>
      </c>
      <c r="S106" s="3">
        <f t="shared" si="20"/>
        <v>0.88</v>
      </c>
    </row>
    <row r="107" spans="1:19" x14ac:dyDescent="0.3">
      <c r="A107" t="s">
        <v>286</v>
      </c>
      <c r="B107" t="s">
        <v>287</v>
      </c>
      <c r="C107" t="str">
        <f t="shared" si="9"/>
        <v>Jasmin Ho</v>
      </c>
      <c r="D107" t="s">
        <v>12</v>
      </c>
      <c r="E107" t="str">
        <f t="shared" si="14"/>
        <v>Female</v>
      </c>
      <c r="F107">
        <v>57</v>
      </c>
      <c r="G107" t="s">
        <v>127</v>
      </c>
      <c r="H107" t="s">
        <v>128</v>
      </c>
      <c r="I107" t="s">
        <v>81</v>
      </c>
      <c r="J107">
        <v>21</v>
      </c>
      <c r="K107" s="4" t="str" cm="1">
        <f t="array" ref="K107">_xlfn.IFS(J107&lt;=5,"0-5",J107&lt;=10,"6-10",J107&lt;=15,"11-15",J107&lt;=20,"16-20",J107&gt;20,"21+")</f>
        <v>21+</v>
      </c>
      <c r="L107" t="s">
        <v>28</v>
      </c>
      <c r="M107" s="2" t="str">
        <f>SUBSTITUTE(L107,"$","")</f>
        <v>40</v>
      </c>
      <c r="N107" s="8">
        <f t="shared" si="15"/>
        <v>40</v>
      </c>
      <c r="O107">
        <v>2.5</v>
      </c>
      <c r="P107">
        <v>0</v>
      </c>
      <c r="Q107" t="s">
        <v>2072</v>
      </c>
      <c r="R107" s="1">
        <v>0.77</v>
      </c>
      <c r="S107" s="3">
        <f t="shared" si="20"/>
        <v>0.77</v>
      </c>
    </row>
    <row r="108" spans="1:19" x14ac:dyDescent="0.3">
      <c r="A108" t="s">
        <v>288</v>
      </c>
      <c r="B108" t="s">
        <v>289</v>
      </c>
      <c r="C108" t="str">
        <f t="shared" si="9"/>
        <v>Mark Paul</v>
      </c>
      <c r="D108" t="s">
        <v>40</v>
      </c>
      <c r="E108" t="str">
        <f t="shared" si="14"/>
        <v>Male</v>
      </c>
      <c r="F108">
        <v>58</v>
      </c>
      <c r="G108" t="s">
        <v>116</v>
      </c>
      <c r="H108" t="s">
        <v>117</v>
      </c>
      <c r="I108" t="s">
        <v>9</v>
      </c>
      <c r="J108">
        <v>3</v>
      </c>
      <c r="K108" s="4" t="str" cm="1">
        <f t="array" ref="K108">_xlfn.IFS(J108&lt;=5,"0-5",J108&lt;=10,"6-10",J108&lt;=15,"11-15",J108&lt;=20,"16-20",J108&gt;20,"21+")</f>
        <v>0-5</v>
      </c>
      <c r="N108" s="8" t="str">
        <f t="shared" si="15"/>
        <v/>
      </c>
      <c r="O108">
        <v>0</v>
      </c>
      <c r="P108">
        <v>1</v>
      </c>
      <c r="Q108" t="s">
        <v>2073</v>
      </c>
    </row>
    <row r="109" spans="1:19" x14ac:dyDescent="0.3">
      <c r="A109" t="s">
        <v>290</v>
      </c>
      <c r="B109" t="s">
        <v>291</v>
      </c>
      <c r="C109" t="str">
        <f t="shared" si="9"/>
        <v>Jennifer Lewis</v>
      </c>
      <c r="D109" t="s">
        <v>26</v>
      </c>
      <c r="E109" t="str">
        <f t="shared" si="14"/>
        <v>Female</v>
      </c>
      <c r="F109">
        <v>45</v>
      </c>
      <c r="G109" t="s">
        <v>41</v>
      </c>
      <c r="H109" t="s">
        <v>42</v>
      </c>
      <c r="I109" t="s">
        <v>15</v>
      </c>
      <c r="J109">
        <v>19</v>
      </c>
      <c r="K109" s="4" t="str" cm="1">
        <f t="array" ref="K109">_xlfn.IFS(J109&lt;=5,"0-5",J109&lt;=10,"6-10",J109&lt;=15,"11-15",J109&lt;=20,"16-20",J109&gt;20,"21+")</f>
        <v>16-20</v>
      </c>
      <c r="L109">
        <v>40</v>
      </c>
      <c r="M109" s="2">
        <f>L109</f>
        <v>40</v>
      </c>
      <c r="N109" s="8">
        <f t="shared" si="15"/>
        <v>40</v>
      </c>
      <c r="P109">
        <v>1</v>
      </c>
      <c r="Q109" t="s">
        <v>2073</v>
      </c>
      <c r="R109" s="1">
        <v>0.72</v>
      </c>
      <c r="S109" s="3">
        <f t="shared" ref="S109:S110" si="21">R109</f>
        <v>0.72</v>
      </c>
    </row>
    <row r="110" spans="1:19" x14ac:dyDescent="0.3">
      <c r="A110" t="s">
        <v>292</v>
      </c>
      <c r="B110" t="s">
        <v>293</v>
      </c>
      <c r="C110" t="str">
        <f t="shared" si="9"/>
        <v>Elizabeth Lester</v>
      </c>
      <c r="D110" t="s">
        <v>26</v>
      </c>
      <c r="E110" t="str">
        <f t="shared" si="14"/>
        <v>Female</v>
      </c>
      <c r="F110">
        <v>23</v>
      </c>
      <c r="G110" t="s">
        <v>50</v>
      </c>
      <c r="H110" t="s">
        <v>14</v>
      </c>
      <c r="I110" t="s">
        <v>27</v>
      </c>
      <c r="J110">
        <v>0</v>
      </c>
      <c r="K110" s="4" t="str" cm="1">
        <f t="array" ref="K110">_xlfn.IFS(J110&lt;=5,"0-5",J110&lt;=10,"6-10",J110&lt;=15,"11-15",J110&lt;=20,"16-20",J110&gt;20,"21+")</f>
        <v>0-5</v>
      </c>
      <c r="L110">
        <v>20</v>
      </c>
      <c r="M110" s="2">
        <f>L110</f>
        <v>20</v>
      </c>
      <c r="N110" s="8">
        <f t="shared" si="15"/>
        <v>20</v>
      </c>
      <c r="O110">
        <v>4.7</v>
      </c>
      <c r="P110" t="s">
        <v>66</v>
      </c>
      <c r="Q110" t="s">
        <v>2073</v>
      </c>
      <c r="R110" s="1">
        <v>0.6</v>
      </c>
      <c r="S110" s="3">
        <f t="shared" si="21"/>
        <v>0.6</v>
      </c>
    </row>
    <row r="111" spans="1:19" x14ac:dyDescent="0.3">
      <c r="A111" t="s">
        <v>294</v>
      </c>
      <c r="B111" t="s">
        <v>295</v>
      </c>
      <c r="C111" t="str">
        <f t="shared" si="9"/>
        <v>Kimberly Griffin</v>
      </c>
      <c r="D111" t="s">
        <v>12</v>
      </c>
      <c r="E111" t="str">
        <f t="shared" si="14"/>
        <v>Female</v>
      </c>
      <c r="F111">
        <v>46</v>
      </c>
      <c r="G111" t="s">
        <v>50</v>
      </c>
      <c r="H111" t="s">
        <v>14</v>
      </c>
      <c r="I111" t="s">
        <v>36</v>
      </c>
      <c r="J111">
        <v>9</v>
      </c>
      <c r="K111" s="4" t="str" cm="1">
        <f t="array" ref="K111">_xlfn.IFS(J111&lt;=5,"0-5",J111&lt;=10,"6-10",J111&lt;=15,"11-15",J111&lt;=20,"16-20",J111&gt;20,"21+")</f>
        <v>6-10</v>
      </c>
      <c r="L111" t="s">
        <v>37</v>
      </c>
      <c r="M111" s="2" t="str">
        <f>SUBSTITUTE(L111,"$","")</f>
        <v>30</v>
      </c>
      <c r="N111" s="8">
        <f t="shared" si="15"/>
        <v>30</v>
      </c>
      <c r="O111">
        <v>3.5</v>
      </c>
      <c r="R111">
        <v>72</v>
      </c>
      <c r="S111" s="3">
        <f>R111/100</f>
        <v>0.72</v>
      </c>
    </row>
    <row r="112" spans="1:19" x14ac:dyDescent="0.3">
      <c r="A112" t="s">
        <v>296</v>
      </c>
      <c r="B112" t="s">
        <v>297</v>
      </c>
      <c r="C112" t="str">
        <f t="shared" si="9"/>
        <v>Tyler Warner</v>
      </c>
      <c r="D112" t="s">
        <v>53</v>
      </c>
      <c r="E112" t="str">
        <f t="shared" si="14"/>
        <v>Male</v>
      </c>
      <c r="F112">
        <v>27</v>
      </c>
      <c r="G112" t="s">
        <v>63</v>
      </c>
      <c r="H112" t="s">
        <v>64</v>
      </c>
      <c r="I112" t="s">
        <v>65</v>
      </c>
      <c r="J112">
        <v>5</v>
      </c>
      <c r="K112" s="4" t="str" cm="1">
        <f t="array" ref="K112">_xlfn.IFS(J112&lt;=5,"0-5",J112&lt;=10,"6-10",J112&lt;=15,"11-15",J112&lt;=20,"16-20",J112&gt;20,"21+")</f>
        <v>0-5</v>
      </c>
      <c r="L112">
        <v>30</v>
      </c>
      <c r="M112" s="2">
        <f>L112</f>
        <v>30</v>
      </c>
      <c r="N112" s="8">
        <f t="shared" si="15"/>
        <v>30</v>
      </c>
      <c r="P112" t="s">
        <v>23</v>
      </c>
      <c r="Q112" t="s">
        <v>2072</v>
      </c>
      <c r="R112" s="1">
        <v>0.92</v>
      </c>
      <c r="S112" s="3">
        <f>R112</f>
        <v>0.92</v>
      </c>
    </row>
    <row r="113" spans="1:19" x14ac:dyDescent="0.3">
      <c r="A113" t="s">
        <v>298</v>
      </c>
      <c r="B113" t="s">
        <v>299</v>
      </c>
      <c r="C113" t="str">
        <f t="shared" ref="C113:C145" si="22">B113</f>
        <v>Jane Cox</v>
      </c>
      <c r="D113" t="s">
        <v>12</v>
      </c>
      <c r="E113" t="str">
        <f t="shared" si="14"/>
        <v>Female</v>
      </c>
      <c r="F113">
        <v>32</v>
      </c>
      <c r="G113" t="s">
        <v>50</v>
      </c>
      <c r="H113" t="s">
        <v>14</v>
      </c>
      <c r="I113" t="s">
        <v>106</v>
      </c>
      <c r="J113">
        <v>6</v>
      </c>
      <c r="K113" s="4" t="str" cm="1">
        <f t="array" ref="K113">_xlfn.IFS(J113&lt;=5,"0-5",J113&lt;=10,"6-10",J113&lt;=15,"11-15",J113&lt;=20,"16-20",J113&gt;20,"21+")</f>
        <v>6-10</v>
      </c>
      <c r="L113" t="s">
        <v>90</v>
      </c>
      <c r="M113" s="2" t="str">
        <f>TRIM(MID(L113,FIND(" ",L113)+1,LEN(L113)))</f>
        <v>50</v>
      </c>
      <c r="N113" s="8">
        <f t="shared" si="15"/>
        <v>50</v>
      </c>
      <c r="O113">
        <v>3.4</v>
      </c>
      <c r="P113">
        <v>1</v>
      </c>
      <c r="Q113" t="s">
        <v>2073</v>
      </c>
    </row>
    <row r="114" spans="1:19" x14ac:dyDescent="0.3">
      <c r="A114" t="s">
        <v>300</v>
      </c>
      <c r="B114" t="s">
        <v>301</v>
      </c>
      <c r="C114" t="str">
        <f t="shared" si="22"/>
        <v>Leah Williams</v>
      </c>
      <c r="D114" t="s">
        <v>6</v>
      </c>
      <c r="E114" t="str">
        <f t="shared" si="14"/>
        <v>Female</v>
      </c>
      <c r="F114">
        <v>48</v>
      </c>
      <c r="G114" t="s">
        <v>63</v>
      </c>
      <c r="H114" t="s">
        <v>64</v>
      </c>
      <c r="I114" t="s">
        <v>106</v>
      </c>
      <c r="J114">
        <v>6</v>
      </c>
      <c r="K114" s="4" t="str" cm="1">
        <f t="array" ref="K114">_xlfn.IFS(J114&lt;=5,"0-5",J114&lt;=10,"6-10",J114&lt;=15,"11-15",J114&lt;=20,"16-20",J114&gt;20,"21+")</f>
        <v>6-10</v>
      </c>
      <c r="L114" t="s">
        <v>44</v>
      </c>
      <c r="M114" s="2" t="str">
        <f>TRIM(MID(L114,FIND(" ",L114)+1,LEN(L114)))</f>
        <v>75</v>
      </c>
      <c r="N114" s="8">
        <f t="shared" si="15"/>
        <v>75</v>
      </c>
      <c r="O114">
        <v>2.5</v>
      </c>
      <c r="R114" s="1">
        <v>0.92</v>
      </c>
      <c r="S114" s="3">
        <f>R114</f>
        <v>0.92</v>
      </c>
    </row>
    <row r="115" spans="1:19" x14ac:dyDescent="0.3">
      <c r="A115" t="s">
        <v>302</v>
      </c>
      <c r="B115" t="s">
        <v>303</v>
      </c>
      <c r="C115" t="str">
        <f t="shared" si="22"/>
        <v>Kevin Wong</v>
      </c>
      <c r="D115" t="s">
        <v>19</v>
      </c>
      <c r="E115" t="str">
        <f t="shared" si="14"/>
        <v>Male</v>
      </c>
      <c r="F115">
        <v>30</v>
      </c>
      <c r="G115" t="s">
        <v>54</v>
      </c>
      <c r="H115" t="s">
        <v>55</v>
      </c>
      <c r="I115" t="s">
        <v>15</v>
      </c>
      <c r="J115">
        <v>3</v>
      </c>
      <c r="K115" s="4" t="str" cm="1">
        <f t="array" ref="K115">_xlfn.IFS(J115&lt;=5,"0-5",J115&lt;=10,"6-10",J115&lt;=15,"11-15",J115&lt;=20,"16-20",J115&gt;20,"21+")</f>
        <v>0-5</v>
      </c>
      <c r="L115" t="s">
        <v>37</v>
      </c>
      <c r="M115" s="2" t="str">
        <f>SUBSTITUTE(L115,"$","")</f>
        <v>30</v>
      </c>
      <c r="N115" s="8">
        <f t="shared" si="15"/>
        <v>30</v>
      </c>
      <c r="O115">
        <v>1.1000000000000001</v>
      </c>
      <c r="P115" t="b">
        <v>1</v>
      </c>
      <c r="Q115" t="s">
        <v>2073</v>
      </c>
    </row>
    <row r="116" spans="1:19" x14ac:dyDescent="0.3">
      <c r="A116" t="s">
        <v>304</v>
      </c>
      <c r="B116" t="s">
        <v>305</v>
      </c>
      <c r="C116" t="str">
        <f t="shared" si="22"/>
        <v>Robert Andrews</v>
      </c>
      <c r="D116" t="s">
        <v>89</v>
      </c>
      <c r="E116" t="str">
        <f t="shared" si="14"/>
        <v>Male</v>
      </c>
      <c r="F116">
        <v>59</v>
      </c>
      <c r="G116" t="s">
        <v>54</v>
      </c>
      <c r="H116" t="s">
        <v>55</v>
      </c>
      <c r="I116" t="s">
        <v>36</v>
      </c>
      <c r="J116">
        <v>13</v>
      </c>
      <c r="K116" s="4" t="str" cm="1">
        <f t="array" ref="K116">_xlfn.IFS(J116&lt;=5,"0-5",J116&lt;=10,"6-10",J116&lt;=15,"11-15",J116&lt;=20,"16-20",J116&gt;20,"21+")</f>
        <v>11-15</v>
      </c>
      <c r="L116" t="s">
        <v>306</v>
      </c>
      <c r="M116" s="2" t="str">
        <f>TRIM(MID(L116,FIND(" ",L116)+1,LEN(L116)))</f>
        <v>20</v>
      </c>
      <c r="N116" s="8">
        <f t="shared" si="15"/>
        <v>20</v>
      </c>
      <c r="O116">
        <v>4.8</v>
      </c>
    </row>
    <row r="117" spans="1:19" x14ac:dyDescent="0.3">
      <c r="A117" t="s">
        <v>307</v>
      </c>
      <c r="B117" t="s">
        <v>308</v>
      </c>
      <c r="C117" t="str">
        <f t="shared" si="22"/>
        <v>Jessica Torres</v>
      </c>
      <c r="D117" t="s">
        <v>31</v>
      </c>
      <c r="E117" t="str">
        <f t="shared" si="14"/>
        <v>Female</v>
      </c>
      <c r="F117">
        <v>32</v>
      </c>
      <c r="G117" t="s">
        <v>171</v>
      </c>
      <c r="H117" t="s">
        <v>64</v>
      </c>
      <c r="I117" t="s">
        <v>36</v>
      </c>
      <c r="J117">
        <v>5</v>
      </c>
      <c r="K117" s="4" t="str" cm="1">
        <f t="array" ref="K117">_xlfn.IFS(J117&lt;=5,"0-5",J117&lt;=10,"6-10",J117&lt;=15,"11-15",J117&lt;=20,"16-20",J117&gt;20,"21+")</f>
        <v>0-5</v>
      </c>
      <c r="L117" t="s">
        <v>37</v>
      </c>
      <c r="M117" s="2" t="str">
        <f>SUBSTITUTE(L117,"$","")</f>
        <v>30</v>
      </c>
      <c r="N117" s="8">
        <f t="shared" si="15"/>
        <v>30</v>
      </c>
      <c r="P117">
        <v>0</v>
      </c>
      <c r="Q117" t="s">
        <v>2072</v>
      </c>
      <c r="R117" s="1">
        <v>0.86</v>
      </c>
      <c r="S117" s="3">
        <f t="shared" ref="S117:S119" si="23">R117</f>
        <v>0.86</v>
      </c>
    </row>
    <row r="118" spans="1:19" x14ac:dyDescent="0.3">
      <c r="A118" t="s">
        <v>309</v>
      </c>
      <c r="B118" t="s">
        <v>310</v>
      </c>
      <c r="C118" t="str">
        <f t="shared" si="22"/>
        <v>Teresa Kim</v>
      </c>
      <c r="D118" t="s">
        <v>69</v>
      </c>
      <c r="E118" t="str">
        <f t="shared" si="14"/>
        <v>Female</v>
      </c>
      <c r="F118">
        <v>57</v>
      </c>
      <c r="G118" t="s">
        <v>131</v>
      </c>
      <c r="H118" t="s">
        <v>132</v>
      </c>
      <c r="I118" t="s">
        <v>65</v>
      </c>
      <c r="J118">
        <v>4</v>
      </c>
      <c r="K118" s="4" t="str" cm="1">
        <f t="array" ref="K118">_xlfn.IFS(J118&lt;=5,"0-5",J118&lt;=10,"6-10",J118&lt;=15,"11-15",J118&lt;=20,"16-20",J118&gt;20,"21+")</f>
        <v>0-5</v>
      </c>
      <c r="L118" t="s">
        <v>47</v>
      </c>
      <c r="M118" s="2" t="str">
        <f>TRIM(MID(L118,FIND(" ",L118)+1,LEN(L118)))</f>
        <v>40</v>
      </c>
      <c r="N118" s="8">
        <f t="shared" si="15"/>
        <v>40</v>
      </c>
      <c r="O118">
        <v>3.4</v>
      </c>
      <c r="P118">
        <v>1</v>
      </c>
      <c r="Q118" t="s">
        <v>2073</v>
      </c>
      <c r="R118" s="1">
        <v>0.68</v>
      </c>
      <c r="S118" s="3">
        <f t="shared" si="23"/>
        <v>0.68</v>
      </c>
    </row>
    <row r="119" spans="1:19" x14ac:dyDescent="0.3">
      <c r="A119" t="s">
        <v>311</v>
      </c>
      <c r="B119" t="s">
        <v>312</v>
      </c>
      <c r="C119" t="str">
        <f t="shared" si="22"/>
        <v>Jon Morgan</v>
      </c>
      <c r="D119" t="s">
        <v>53</v>
      </c>
      <c r="E119" t="str">
        <f t="shared" si="14"/>
        <v>Male</v>
      </c>
      <c r="F119">
        <v>27</v>
      </c>
      <c r="G119" t="s">
        <v>13</v>
      </c>
      <c r="H119" t="s">
        <v>14</v>
      </c>
      <c r="I119" t="s">
        <v>106</v>
      </c>
      <c r="J119">
        <v>7</v>
      </c>
      <c r="K119" s="4" t="str" cm="1">
        <f t="array" ref="K119">_xlfn.IFS(J119&lt;=5,"0-5",J119&lt;=10,"6-10",J119&lt;=15,"11-15",J119&lt;=20,"16-20",J119&gt;20,"21+")</f>
        <v>6-10</v>
      </c>
      <c r="L119" t="s">
        <v>306</v>
      </c>
      <c r="M119" s="2" t="str">
        <f>TRIM(MID(L119,FIND(" ",L119)+1,LEN(L119)))</f>
        <v>20</v>
      </c>
      <c r="N119" s="8">
        <f t="shared" si="15"/>
        <v>20</v>
      </c>
      <c r="O119">
        <v>3.2</v>
      </c>
      <c r="P119">
        <v>1</v>
      </c>
      <c r="Q119" t="s">
        <v>2073</v>
      </c>
      <c r="R119" s="1">
        <v>0.62</v>
      </c>
      <c r="S119" s="3">
        <f t="shared" si="23"/>
        <v>0.62</v>
      </c>
    </row>
    <row r="120" spans="1:19" x14ac:dyDescent="0.3">
      <c r="A120" t="s">
        <v>313</v>
      </c>
      <c r="B120" t="s">
        <v>314</v>
      </c>
      <c r="C120" t="str">
        <f t="shared" si="22"/>
        <v>Gloria Chaney</v>
      </c>
      <c r="D120" t="s">
        <v>26</v>
      </c>
      <c r="E120" t="str">
        <f t="shared" si="14"/>
        <v>Female</v>
      </c>
      <c r="F120">
        <v>33</v>
      </c>
      <c r="G120" t="s">
        <v>41</v>
      </c>
      <c r="H120" t="s">
        <v>42</v>
      </c>
      <c r="I120" t="s">
        <v>106</v>
      </c>
      <c r="J120">
        <v>13</v>
      </c>
      <c r="K120" s="4" t="str" cm="1">
        <f t="array" ref="K120">_xlfn.IFS(J120&lt;=5,"0-5",J120&lt;=10,"6-10",J120&lt;=15,"11-15",J120&lt;=20,"16-20",J120&gt;20,"21+")</f>
        <v>11-15</v>
      </c>
      <c r="L120">
        <v>20</v>
      </c>
      <c r="M120" s="2">
        <f>L120</f>
        <v>20</v>
      </c>
      <c r="N120" s="8">
        <f t="shared" si="15"/>
        <v>20</v>
      </c>
      <c r="O120">
        <v>3.2</v>
      </c>
      <c r="P120" t="b">
        <v>0</v>
      </c>
      <c r="Q120" t="s">
        <v>2072</v>
      </c>
    </row>
    <row r="121" spans="1:19" x14ac:dyDescent="0.3">
      <c r="A121" t="s">
        <v>315</v>
      </c>
      <c r="B121" t="s">
        <v>316</v>
      </c>
      <c r="C121" t="str">
        <f t="shared" si="22"/>
        <v>Jesse Campbell</v>
      </c>
      <c r="D121" t="s">
        <v>19</v>
      </c>
      <c r="E121" t="str">
        <f t="shared" si="14"/>
        <v>Male</v>
      </c>
      <c r="F121">
        <v>29</v>
      </c>
      <c r="G121" t="s">
        <v>104</v>
      </c>
      <c r="H121" t="s">
        <v>105</v>
      </c>
      <c r="I121" t="s">
        <v>43</v>
      </c>
      <c r="J121">
        <v>4</v>
      </c>
      <c r="K121" s="4" t="str" cm="1">
        <f t="array" ref="K121">_xlfn.IFS(J121&lt;=5,"0-5",J121&lt;=10,"6-10",J121&lt;=15,"11-15",J121&lt;=20,"16-20",J121&gt;20,"21+")</f>
        <v>0-5</v>
      </c>
      <c r="L121">
        <v>30</v>
      </c>
      <c r="M121" s="2">
        <f>L121</f>
        <v>30</v>
      </c>
      <c r="N121" s="8">
        <f t="shared" si="15"/>
        <v>30</v>
      </c>
      <c r="O121">
        <v>0</v>
      </c>
      <c r="P121" t="s">
        <v>66</v>
      </c>
      <c r="Q121" t="s">
        <v>2073</v>
      </c>
      <c r="R121" s="1">
        <v>0.82</v>
      </c>
      <c r="S121" s="3">
        <f>R121</f>
        <v>0.82</v>
      </c>
    </row>
    <row r="122" spans="1:19" x14ac:dyDescent="0.3">
      <c r="A122" t="s">
        <v>317</v>
      </c>
      <c r="B122" t="s">
        <v>318</v>
      </c>
      <c r="C122" t="str">
        <f t="shared" si="22"/>
        <v>Allison Tucker MD</v>
      </c>
      <c r="D122" t="s">
        <v>31</v>
      </c>
      <c r="E122" t="str">
        <f t="shared" si="14"/>
        <v>Female</v>
      </c>
      <c r="F122">
        <v>36</v>
      </c>
      <c r="G122" t="s">
        <v>41</v>
      </c>
      <c r="H122" t="s">
        <v>42</v>
      </c>
      <c r="I122" t="s">
        <v>65</v>
      </c>
      <c r="J122">
        <v>13</v>
      </c>
      <c r="K122" s="4" t="str" cm="1">
        <f t="array" ref="K122">_xlfn.IFS(J122&lt;=5,"0-5",J122&lt;=10,"6-10",J122&lt;=15,"11-15",J122&lt;=20,"16-20",J122&gt;20,"21+")</f>
        <v>11-15</v>
      </c>
      <c r="L122">
        <v>75</v>
      </c>
      <c r="M122" s="2">
        <f>L122</f>
        <v>75</v>
      </c>
      <c r="N122" s="8">
        <f t="shared" si="15"/>
        <v>75</v>
      </c>
      <c r="P122">
        <v>1</v>
      </c>
      <c r="Q122" t="s">
        <v>2073</v>
      </c>
    </row>
    <row r="123" spans="1:19" x14ac:dyDescent="0.3">
      <c r="A123" t="s">
        <v>319</v>
      </c>
      <c r="B123" t="s">
        <v>320</v>
      </c>
      <c r="C123" t="str">
        <f t="shared" si="22"/>
        <v>Candice Petersen</v>
      </c>
      <c r="D123" t="s">
        <v>69</v>
      </c>
      <c r="E123" t="str">
        <f t="shared" si="14"/>
        <v>Female</v>
      </c>
      <c r="F123">
        <v>47</v>
      </c>
      <c r="G123" t="s">
        <v>7</v>
      </c>
      <c r="H123" t="s">
        <v>8</v>
      </c>
      <c r="I123" t="s">
        <v>81</v>
      </c>
      <c r="J123">
        <v>5</v>
      </c>
      <c r="K123" s="4" t="str" cm="1">
        <f t="array" ref="K123">_xlfn.IFS(J123&lt;=5,"0-5",J123&lt;=10,"6-10",J123&lt;=15,"11-15",J123&lt;=20,"16-20",J123&gt;20,"21+")</f>
        <v>0-5</v>
      </c>
      <c r="L123" t="s">
        <v>28</v>
      </c>
      <c r="M123" s="2" t="str">
        <f>SUBSTITUTE(L123,"$","")</f>
        <v>40</v>
      </c>
      <c r="N123" s="8">
        <f t="shared" si="15"/>
        <v>40</v>
      </c>
      <c r="O123">
        <v>3.7</v>
      </c>
      <c r="P123" t="b">
        <v>0</v>
      </c>
      <c r="Q123" t="s">
        <v>2072</v>
      </c>
      <c r="R123">
        <v>93</v>
      </c>
      <c r="S123" s="3">
        <f>R123/100</f>
        <v>0.93</v>
      </c>
    </row>
    <row r="124" spans="1:19" x14ac:dyDescent="0.3">
      <c r="A124" t="s">
        <v>321</v>
      </c>
      <c r="B124" t="s">
        <v>322</v>
      </c>
      <c r="C124" t="str">
        <f t="shared" si="22"/>
        <v>Christopher Nichols</v>
      </c>
      <c r="D124" t="s">
        <v>53</v>
      </c>
      <c r="E124" t="str">
        <f t="shared" si="14"/>
        <v>Male</v>
      </c>
      <c r="F124">
        <v>48</v>
      </c>
      <c r="G124" t="s">
        <v>120</v>
      </c>
      <c r="H124" t="s">
        <v>14</v>
      </c>
      <c r="I124" t="s">
        <v>106</v>
      </c>
      <c r="J124">
        <v>15</v>
      </c>
      <c r="K124" s="4" t="str" cm="1">
        <f t="array" ref="K124">_xlfn.IFS(J124&lt;=5,"0-5",J124&lt;=10,"6-10",J124&lt;=15,"11-15",J124&lt;=20,"16-20",J124&gt;20,"21+")</f>
        <v>11-15</v>
      </c>
      <c r="L124" t="s">
        <v>90</v>
      </c>
      <c r="M124" s="2" t="str">
        <f>TRIM(MID(L124,FIND(" ",L124)+1,LEN(L124)))</f>
        <v>50</v>
      </c>
      <c r="N124" s="8">
        <f t="shared" si="15"/>
        <v>50</v>
      </c>
      <c r="O124">
        <v>1</v>
      </c>
      <c r="P124" t="s">
        <v>66</v>
      </c>
      <c r="Q124" t="s">
        <v>2073</v>
      </c>
      <c r="R124" s="1">
        <v>0.64</v>
      </c>
      <c r="S124" s="3">
        <f>R124</f>
        <v>0.64</v>
      </c>
    </row>
    <row r="125" spans="1:19" x14ac:dyDescent="0.3">
      <c r="A125" t="s">
        <v>323</v>
      </c>
      <c r="B125" t="s">
        <v>324</v>
      </c>
      <c r="C125" t="str">
        <f t="shared" si="22"/>
        <v>Debra Garcia</v>
      </c>
      <c r="D125" t="s">
        <v>6</v>
      </c>
      <c r="E125" t="str">
        <f t="shared" si="14"/>
        <v>Female</v>
      </c>
      <c r="F125">
        <v>27</v>
      </c>
      <c r="G125" t="s">
        <v>167</v>
      </c>
      <c r="H125" t="s">
        <v>168</v>
      </c>
      <c r="I125" t="s">
        <v>65</v>
      </c>
      <c r="J125">
        <v>8</v>
      </c>
      <c r="K125" s="4" t="str" cm="1">
        <f t="array" ref="K125">_xlfn.IFS(J125&lt;=5,"0-5",J125&lt;=10,"6-10",J125&lt;=15,"11-15",J125&lt;=20,"16-20",J125&gt;20,"21+")</f>
        <v>6-10</v>
      </c>
      <c r="L125" t="s">
        <v>56</v>
      </c>
      <c r="M125" s="2" t="str">
        <f>SUBSTITUTE(L125,"$","")</f>
        <v>50</v>
      </c>
      <c r="N125" s="8">
        <f t="shared" si="15"/>
        <v>50</v>
      </c>
      <c r="O125">
        <v>0</v>
      </c>
    </row>
    <row r="126" spans="1:19" x14ac:dyDescent="0.3">
      <c r="A126" t="s">
        <v>325</v>
      </c>
      <c r="B126" t="s">
        <v>326</v>
      </c>
      <c r="C126" t="str">
        <f t="shared" si="22"/>
        <v>Andrew Fuentes</v>
      </c>
      <c r="D126" t="s">
        <v>19</v>
      </c>
      <c r="E126" t="str">
        <f t="shared" si="14"/>
        <v>Male</v>
      </c>
      <c r="F126">
        <v>34</v>
      </c>
      <c r="G126" t="s">
        <v>13</v>
      </c>
      <c r="H126" t="s">
        <v>14</v>
      </c>
      <c r="I126" t="s">
        <v>27</v>
      </c>
      <c r="J126">
        <v>10</v>
      </c>
      <c r="K126" s="4" t="str" cm="1">
        <f t="array" ref="K126">_xlfn.IFS(J126&lt;=5,"0-5",J126&lt;=10,"6-10",J126&lt;=15,"11-15",J126&lt;=20,"16-20",J126&gt;20,"21+")</f>
        <v>6-10</v>
      </c>
      <c r="N126" s="8" t="str">
        <f t="shared" si="15"/>
        <v/>
      </c>
      <c r="O126">
        <v>1.7</v>
      </c>
      <c r="P126" t="s">
        <v>23</v>
      </c>
      <c r="Q126" t="s">
        <v>2072</v>
      </c>
      <c r="R126" s="1">
        <v>0.96</v>
      </c>
      <c r="S126" s="3">
        <f t="shared" ref="S126:S131" si="24">R126</f>
        <v>0.96</v>
      </c>
    </row>
    <row r="127" spans="1:19" x14ac:dyDescent="0.3">
      <c r="A127" t="s">
        <v>327</v>
      </c>
      <c r="B127" t="s">
        <v>328</v>
      </c>
      <c r="C127" t="str">
        <f t="shared" si="22"/>
        <v>Jason Carter</v>
      </c>
      <c r="D127" t="s">
        <v>89</v>
      </c>
      <c r="E127" t="str">
        <f t="shared" si="14"/>
        <v>Male</v>
      </c>
      <c r="F127">
        <v>49</v>
      </c>
      <c r="G127" t="s">
        <v>104</v>
      </c>
      <c r="H127" t="s">
        <v>105</v>
      </c>
      <c r="I127" t="s">
        <v>43</v>
      </c>
      <c r="J127">
        <v>19</v>
      </c>
      <c r="K127" s="4" t="str" cm="1">
        <f t="array" ref="K127">_xlfn.IFS(J127&lt;=5,"0-5",J127&lt;=10,"6-10",J127&lt;=15,"11-15",J127&lt;=20,"16-20",J127&gt;20,"21+")</f>
        <v>16-20</v>
      </c>
      <c r="N127" s="8" t="str">
        <f t="shared" si="15"/>
        <v/>
      </c>
      <c r="O127">
        <v>5</v>
      </c>
      <c r="P127" t="s">
        <v>66</v>
      </c>
      <c r="Q127" t="s">
        <v>2073</v>
      </c>
      <c r="R127" s="1">
        <v>0.83</v>
      </c>
      <c r="S127" s="3">
        <f t="shared" si="24"/>
        <v>0.83</v>
      </c>
    </row>
    <row r="128" spans="1:19" x14ac:dyDescent="0.3">
      <c r="A128" t="s">
        <v>329</v>
      </c>
      <c r="B128" t="s">
        <v>330</v>
      </c>
      <c r="C128" t="str">
        <f t="shared" si="22"/>
        <v>Austin Romero</v>
      </c>
      <c r="D128" t="s">
        <v>19</v>
      </c>
      <c r="E128" t="str">
        <f t="shared" si="14"/>
        <v>Male</v>
      </c>
      <c r="F128">
        <v>30</v>
      </c>
      <c r="G128" t="s">
        <v>99</v>
      </c>
      <c r="H128" t="s">
        <v>100</v>
      </c>
      <c r="I128" t="s">
        <v>15</v>
      </c>
      <c r="J128">
        <v>10</v>
      </c>
      <c r="K128" s="4" t="str" cm="1">
        <f t="array" ref="K128">_xlfn.IFS(J128&lt;=5,"0-5",J128&lt;=10,"6-10",J128&lt;=15,"11-15",J128&lt;=20,"16-20",J128&gt;20,"21+")</f>
        <v>6-10</v>
      </c>
      <c r="L128" t="s">
        <v>221</v>
      </c>
      <c r="M128" s="2" t="str">
        <f>SUBSTITUTE(L128,"$","")</f>
        <v>100</v>
      </c>
      <c r="N128" s="8">
        <f t="shared" si="15"/>
        <v>100</v>
      </c>
      <c r="O128">
        <v>1.7</v>
      </c>
      <c r="P128" t="s">
        <v>60</v>
      </c>
      <c r="Q128" t="s">
        <v>2073</v>
      </c>
      <c r="R128" s="1">
        <v>0.64</v>
      </c>
      <c r="S128" s="3">
        <f t="shared" si="24"/>
        <v>0.64</v>
      </c>
    </row>
    <row r="129" spans="1:19" x14ac:dyDescent="0.3">
      <c r="A129" t="s">
        <v>331</v>
      </c>
      <c r="B129" t="s">
        <v>332</v>
      </c>
      <c r="C129" t="str">
        <f t="shared" si="22"/>
        <v>Clayton Burns</v>
      </c>
      <c r="D129" t="s">
        <v>19</v>
      </c>
      <c r="E129" t="str">
        <f t="shared" si="14"/>
        <v>Male</v>
      </c>
      <c r="F129">
        <v>31</v>
      </c>
      <c r="G129" t="s">
        <v>131</v>
      </c>
      <c r="H129" t="s">
        <v>132</v>
      </c>
      <c r="I129" t="s">
        <v>22</v>
      </c>
      <c r="J129">
        <v>8</v>
      </c>
      <c r="K129" s="4" t="str" cm="1">
        <f t="array" ref="K129">_xlfn.IFS(J129&lt;=5,"0-5",J129&lt;=10,"6-10",J129&lt;=15,"11-15",J129&lt;=20,"16-20",J129&gt;20,"21+")</f>
        <v>6-10</v>
      </c>
      <c r="L129">
        <v>40</v>
      </c>
      <c r="M129" s="2">
        <f>L129</f>
        <v>40</v>
      </c>
      <c r="N129" s="8">
        <f t="shared" si="15"/>
        <v>40</v>
      </c>
      <c r="O129">
        <v>4.4000000000000004</v>
      </c>
      <c r="P129">
        <v>0</v>
      </c>
      <c r="Q129" t="s">
        <v>2072</v>
      </c>
      <c r="R129" s="1">
        <v>0.7</v>
      </c>
      <c r="S129" s="3">
        <f t="shared" si="24"/>
        <v>0.7</v>
      </c>
    </row>
    <row r="130" spans="1:19" x14ac:dyDescent="0.3">
      <c r="A130" t="s">
        <v>333</v>
      </c>
      <c r="B130" t="s">
        <v>334</v>
      </c>
      <c r="C130" t="str">
        <f t="shared" si="22"/>
        <v>Jonathan Clark</v>
      </c>
      <c r="D130" t="s">
        <v>40</v>
      </c>
      <c r="E130" t="str">
        <f t="shared" ref="E130:E193" si="25">IF(LOWER(LEFT(D130,1))="f","Female","Male")</f>
        <v>Male</v>
      </c>
      <c r="F130">
        <v>58</v>
      </c>
      <c r="G130" t="s">
        <v>167</v>
      </c>
      <c r="H130" t="s">
        <v>168</v>
      </c>
      <c r="I130" t="s">
        <v>106</v>
      </c>
      <c r="J130">
        <v>9</v>
      </c>
      <c r="K130" s="4" t="str" cm="1">
        <f t="array" ref="K130">_xlfn.IFS(J130&lt;=5,"0-5",J130&lt;=10,"6-10",J130&lt;=15,"11-15",J130&lt;=20,"16-20",J130&gt;20,"21+")</f>
        <v>6-10</v>
      </c>
      <c r="L130">
        <v>20</v>
      </c>
      <c r="M130" s="2">
        <f>L130</f>
        <v>20</v>
      </c>
      <c r="N130" s="8">
        <f t="shared" si="15"/>
        <v>20</v>
      </c>
      <c r="O130">
        <v>0</v>
      </c>
      <c r="P130" t="s">
        <v>23</v>
      </c>
      <c r="Q130" t="s">
        <v>2072</v>
      </c>
      <c r="R130" s="1">
        <v>0.65</v>
      </c>
      <c r="S130" s="3">
        <f t="shared" si="24"/>
        <v>0.65</v>
      </c>
    </row>
    <row r="131" spans="1:19" x14ac:dyDescent="0.3">
      <c r="A131" t="s">
        <v>335</v>
      </c>
      <c r="B131" t="s">
        <v>336</v>
      </c>
      <c r="C131" t="str">
        <f t="shared" si="22"/>
        <v>Alexander Griffin</v>
      </c>
      <c r="D131" t="s">
        <v>89</v>
      </c>
      <c r="E131" t="str">
        <f t="shared" si="25"/>
        <v>Male</v>
      </c>
      <c r="F131">
        <v>47</v>
      </c>
      <c r="G131" t="s">
        <v>127</v>
      </c>
      <c r="H131" t="s">
        <v>128</v>
      </c>
      <c r="I131" t="s">
        <v>106</v>
      </c>
      <c r="J131">
        <v>13</v>
      </c>
      <c r="K131" s="4" t="str" cm="1">
        <f t="array" ref="K131">_xlfn.IFS(J131&lt;=5,"0-5",J131&lt;=10,"6-10",J131&lt;=15,"11-15",J131&lt;=20,"16-20",J131&gt;20,"21+")</f>
        <v>11-15</v>
      </c>
      <c r="L131">
        <v>40</v>
      </c>
      <c r="M131" s="2">
        <f>L131</f>
        <v>40</v>
      </c>
      <c r="N131" s="8">
        <f t="shared" ref="N131:N194" si="26">IF(M131="", "", VALUE(M131))</f>
        <v>40</v>
      </c>
      <c r="O131">
        <v>3.4</v>
      </c>
      <c r="R131" s="1">
        <v>0.67</v>
      </c>
      <c r="S131" s="3">
        <f t="shared" si="24"/>
        <v>0.67</v>
      </c>
    </row>
    <row r="132" spans="1:19" x14ac:dyDescent="0.3">
      <c r="A132" t="s">
        <v>337</v>
      </c>
      <c r="B132" t="s">
        <v>338</v>
      </c>
      <c r="C132" t="str">
        <f t="shared" si="22"/>
        <v>Shelly Whitehead</v>
      </c>
      <c r="D132" t="s">
        <v>6</v>
      </c>
      <c r="E132" t="str">
        <f t="shared" si="25"/>
        <v>Female</v>
      </c>
      <c r="F132">
        <v>45</v>
      </c>
      <c r="G132" t="s">
        <v>59</v>
      </c>
      <c r="H132" t="s">
        <v>14</v>
      </c>
      <c r="I132" t="s">
        <v>70</v>
      </c>
      <c r="J132">
        <v>14</v>
      </c>
      <c r="K132" s="4" t="str" cm="1">
        <f t="array" ref="K132">_xlfn.IFS(J132&lt;=5,"0-5",J132&lt;=10,"6-10",J132&lt;=15,"11-15",J132&lt;=20,"16-20",J132&gt;20,"21+")</f>
        <v>11-15</v>
      </c>
      <c r="L132" t="s">
        <v>16</v>
      </c>
      <c r="M132" s="2" t="str">
        <f>TRIM(MID(L132,FIND(" ",L132)+1,LEN(L132)))</f>
        <v>100</v>
      </c>
      <c r="N132" s="8">
        <f t="shared" si="26"/>
        <v>100</v>
      </c>
      <c r="O132">
        <v>1.1000000000000001</v>
      </c>
      <c r="P132" t="s">
        <v>151</v>
      </c>
      <c r="Q132" t="s">
        <v>2072</v>
      </c>
      <c r="R132">
        <v>93</v>
      </c>
      <c r="S132" s="3">
        <f>R132/100</f>
        <v>0.93</v>
      </c>
    </row>
    <row r="133" spans="1:19" x14ac:dyDescent="0.3">
      <c r="A133" t="s">
        <v>339</v>
      </c>
      <c r="B133" t="s">
        <v>340</v>
      </c>
      <c r="C133" t="str">
        <f t="shared" si="22"/>
        <v>Kaitlyn Davis</v>
      </c>
      <c r="D133" t="s">
        <v>12</v>
      </c>
      <c r="E133" t="str">
        <f t="shared" si="25"/>
        <v>Female</v>
      </c>
      <c r="F133">
        <v>57</v>
      </c>
      <c r="G133" t="s">
        <v>127</v>
      </c>
      <c r="H133" t="s">
        <v>128</v>
      </c>
      <c r="I133" t="s">
        <v>106</v>
      </c>
      <c r="J133">
        <v>0</v>
      </c>
      <c r="K133" s="4" t="str" cm="1">
        <f t="array" ref="K133">_xlfn.IFS(J133&lt;=5,"0-5",J133&lt;=10,"6-10",J133&lt;=15,"11-15",J133&lt;=20,"16-20",J133&gt;20,"21+")</f>
        <v>0-5</v>
      </c>
      <c r="L133">
        <v>50</v>
      </c>
      <c r="M133" s="2">
        <f>L133</f>
        <v>50</v>
      </c>
      <c r="N133" s="8">
        <f t="shared" si="26"/>
        <v>50</v>
      </c>
      <c r="O133">
        <v>1.6</v>
      </c>
      <c r="P133" t="s">
        <v>23</v>
      </c>
      <c r="Q133" t="s">
        <v>2072</v>
      </c>
      <c r="R133" s="1">
        <v>0.6</v>
      </c>
      <c r="S133" s="3">
        <f t="shared" ref="S133:S138" si="27">R133</f>
        <v>0.6</v>
      </c>
    </row>
    <row r="134" spans="1:19" x14ac:dyDescent="0.3">
      <c r="A134" t="s">
        <v>341</v>
      </c>
      <c r="B134" t="s">
        <v>342</v>
      </c>
      <c r="C134" t="str">
        <f t="shared" si="22"/>
        <v>Christopher Jones</v>
      </c>
      <c r="D134" t="s">
        <v>53</v>
      </c>
      <c r="E134" t="str">
        <f t="shared" si="25"/>
        <v>Male</v>
      </c>
      <c r="F134">
        <v>50</v>
      </c>
      <c r="G134" t="s">
        <v>85</v>
      </c>
      <c r="H134" t="s">
        <v>86</v>
      </c>
      <c r="I134" t="s">
        <v>27</v>
      </c>
      <c r="J134">
        <v>22</v>
      </c>
      <c r="K134" s="4" t="str" cm="1">
        <f t="array" ref="K134">_xlfn.IFS(J134&lt;=5,"0-5",J134&lt;=10,"6-10",J134&lt;=15,"11-15",J134&lt;=20,"16-20",J134&gt;20,"21+")</f>
        <v>21+</v>
      </c>
      <c r="L134">
        <v>100</v>
      </c>
      <c r="M134" s="2">
        <f>L134</f>
        <v>100</v>
      </c>
      <c r="N134" s="8">
        <f t="shared" si="26"/>
        <v>100</v>
      </c>
      <c r="O134">
        <v>4.0999999999999996</v>
      </c>
      <c r="P134" t="s">
        <v>23</v>
      </c>
      <c r="Q134" t="s">
        <v>2072</v>
      </c>
      <c r="R134" s="1">
        <v>0.62</v>
      </c>
      <c r="S134" s="3">
        <f t="shared" si="27"/>
        <v>0.62</v>
      </c>
    </row>
    <row r="135" spans="1:19" x14ac:dyDescent="0.3">
      <c r="A135" t="s">
        <v>343</v>
      </c>
      <c r="B135" t="s">
        <v>344</v>
      </c>
      <c r="C135" t="str">
        <f t="shared" si="22"/>
        <v>Cindy Jacobs</v>
      </c>
      <c r="D135" t="s">
        <v>12</v>
      </c>
      <c r="E135" t="str">
        <f t="shared" si="25"/>
        <v>Female</v>
      </c>
      <c r="G135" t="s">
        <v>99</v>
      </c>
      <c r="H135" t="s">
        <v>100</v>
      </c>
      <c r="I135" t="s">
        <v>106</v>
      </c>
      <c r="J135">
        <v>4</v>
      </c>
      <c r="K135" s="4" t="str" cm="1">
        <f t="array" ref="K135">_xlfn.IFS(J135&lt;=5,"0-5",J135&lt;=10,"6-10",J135&lt;=15,"11-15",J135&lt;=20,"16-20",J135&gt;20,"21+")</f>
        <v>0-5</v>
      </c>
      <c r="N135" s="8" t="str">
        <f t="shared" si="26"/>
        <v/>
      </c>
      <c r="O135">
        <v>2.5</v>
      </c>
      <c r="R135" s="1">
        <v>0.7</v>
      </c>
      <c r="S135" s="3">
        <f t="shared" si="27"/>
        <v>0.7</v>
      </c>
    </row>
    <row r="136" spans="1:19" x14ac:dyDescent="0.3">
      <c r="A136" t="s">
        <v>345</v>
      </c>
      <c r="B136" t="s">
        <v>346</v>
      </c>
      <c r="C136" t="str">
        <f t="shared" si="22"/>
        <v>Penny Day</v>
      </c>
      <c r="D136" t="s">
        <v>69</v>
      </c>
      <c r="E136" t="str">
        <f t="shared" si="25"/>
        <v>Female</v>
      </c>
      <c r="F136">
        <v>45</v>
      </c>
      <c r="G136" t="s">
        <v>41</v>
      </c>
      <c r="H136" t="s">
        <v>42</v>
      </c>
      <c r="I136" t="s">
        <v>9</v>
      </c>
      <c r="J136">
        <v>22</v>
      </c>
      <c r="K136" s="4" t="str" cm="1">
        <f t="array" ref="K136">_xlfn.IFS(J136&lt;=5,"0-5",J136&lt;=10,"6-10",J136&lt;=15,"11-15",J136&lt;=20,"16-20",J136&gt;20,"21+")</f>
        <v>21+</v>
      </c>
      <c r="L136" t="s">
        <v>221</v>
      </c>
      <c r="M136" s="2" t="str">
        <f>SUBSTITUTE(L136,"$","")</f>
        <v>100</v>
      </c>
      <c r="N136" s="8">
        <f t="shared" si="26"/>
        <v>100</v>
      </c>
      <c r="O136">
        <v>4</v>
      </c>
      <c r="P136" t="s">
        <v>66</v>
      </c>
      <c r="Q136" t="s">
        <v>2073</v>
      </c>
      <c r="R136" s="1">
        <v>0.75</v>
      </c>
      <c r="S136" s="3">
        <f t="shared" si="27"/>
        <v>0.75</v>
      </c>
    </row>
    <row r="137" spans="1:19" x14ac:dyDescent="0.3">
      <c r="A137" t="s">
        <v>347</v>
      </c>
      <c r="B137" t="s">
        <v>348</v>
      </c>
      <c r="C137" t="str">
        <f t="shared" si="22"/>
        <v>Thomas Ingram</v>
      </c>
      <c r="D137" t="s">
        <v>53</v>
      </c>
      <c r="E137" t="str">
        <f t="shared" si="25"/>
        <v>Male</v>
      </c>
      <c r="F137">
        <v>60</v>
      </c>
      <c r="G137" t="s">
        <v>145</v>
      </c>
      <c r="H137" t="s">
        <v>146</v>
      </c>
      <c r="I137" t="s">
        <v>70</v>
      </c>
      <c r="J137">
        <v>39</v>
      </c>
      <c r="K137" s="4" t="str" cm="1">
        <f t="array" ref="K137">_xlfn.IFS(J137&lt;=5,"0-5",J137&lt;=10,"6-10",J137&lt;=15,"11-15",J137&lt;=20,"16-20",J137&gt;20,"21+")</f>
        <v>21+</v>
      </c>
      <c r="L137">
        <v>75</v>
      </c>
      <c r="M137" s="2">
        <f>L137</f>
        <v>75</v>
      </c>
      <c r="N137" s="8">
        <f t="shared" si="26"/>
        <v>75</v>
      </c>
      <c r="O137">
        <v>1.4</v>
      </c>
      <c r="P137" t="s">
        <v>151</v>
      </c>
      <c r="Q137" t="s">
        <v>2072</v>
      </c>
      <c r="R137" s="1">
        <v>0.7</v>
      </c>
      <c r="S137" s="3">
        <f t="shared" si="27"/>
        <v>0.7</v>
      </c>
    </row>
    <row r="138" spans="1:19" x14ac:dyDescent="0.3">
      <c r="A138" t="s">
        <v>349</v>
      </c>
      <c r="B138" t="s">
        <v>350</v>
      </c>
      <c r="C138" t="str">
        <f t="shared" si="22"/>
        <v>Donna Hansen</v>
      </c>
      <c r="D138" t="s">
        <v>31</v>
      </c>
      <c r="E138" t="str">
        <f t="shared" si="25"/>
        <v>Female</v>
      </c>
      <c r="F138">
        <v>43</v>
      </c>
      <c r="G138" t="s">
        <v>59</v>
      </c>
      <c r="H138" t="s">
        <v>14</v>
      </c>
      <c r="I138" t="s">
        <v>70</v>
      </c>
      <c r="J138">
        <v>5</v>
      </c>
      <c r="K138" s="4" t="str" cm="1">
        <f t="array" ref="K138">_xlfn.IFS(J138&lt;=5,"0-5",J138&lt;=10,"6-10",J138&lt;=15,"11-15",J138&lt;=20,"16-20",J138&gt;20,"21+")</f>
        <v>0-5</v>
      </c>
      <c r="L138" t="s">
        <v>90</v>
      </c>
      <c r="M138" s="2" t="str">
        <f>TRIM(MID(L138,FIND(" ",L138)+1,LEN(L138)))</f>
        <v>50</v>
      </c>
      <c r="N138" s="8">
        <f t="shared" si="26"/>
        <v>50</v>
      </c>
      <c r="P138">
        <v>1</v>
      </c>
      <c r="Q138" t="s">
        <v>2073</v>
      </c>
      <c r="R138" s="1">
        <v>0.84</v>
      </c>
      <c r="S138" s="3">
        <f t="shared" si="27"/>
        <v>0.84</v>
      </c>
    </row>
    <row r="139" spans="1:19" x14ac:dyDescent="0.3">
      <c r="A139" t="s">
        <v>351</v>
      </c>
      <c r="B139" t="s">
        <v>352</v>
      </c>
      <c r="C139" t="str">
        <f t="shared" si="22"/>
        <v>Donna Bailey</v>
      </c>
      <c r="D139" t="s">
        <v>26</v>
      </c>
      <c r="E139" t="str">
        <f t="shared" si="25"/>
        <v>Female</v>
      </c>
      <c r="F139">
        <v>39</v>
      </c>
      <c r="G139" t="s">
        <v>127</v>
      </c>
      <c r="H139" t="s">
        <v>128</v>
      </c>
      <c r="I139" t="s">
        <v>70</v>
      </c>
      <c r="J139">
        <v>5</v>
      </c>
      <c r="K139" s="4" t="str" cm="1">
        <f t="array" ref="K139">_xlfn.IFS(J139&lt;=5,"0-5",J139&lt;=10,"6-10",J139&lt;=15,"11-15",J139&lt;=20,"16-20",J139&gt;20,"21+")</f>
        <v>0-5</v>
      </c>
      <c r="L139" t="s">
        <v>47</v>
      </c>
      <c r="M139" s="2" t="str">
        <f>TRIM(MID(L139,FIND(" ",L139)+1,LEN(L139)))</f>
        <v>40</v>
      </c>
      <c r="N139" s="8">
        <f t="shared" si="26"/>
        <v>40</v>
      </c>
      <c r="O139">
        <v>1.2</v>
      </c>
      <c r="P139">
        <v>0</v>
      </c>
      <c r="Q139" t="s">
        <v>2072</v>
      </c>
      <c r="R139">
        <v>83</v>
      </c>
      <c r="S139" s="3">
        <f>R139/100</f>
        <v>0.83</v>
      </c>
    </row>
    <row r="140" spans="1:19" x14ac:dyDescent="0.3">
      <c r="A140" t="s">
        <v>353</v>
      </c>
      <c r="B140" t="s">
        <v>354</v>
      </c>
      <c r="C140" t="str">
        <f t="shared" si="22"/>
        <v>Joshua Armstrong</v>
      </c>
      <c r="D140" t="s">
        <v>19</v>
      </c>
      <c r="E140" t="str">
        <f t="shared" si="25"/>
        <v>Male</v>
      </c>
      <c r="F140">
        <v>26</v>
      </c>
      <c r="G140" t="s">
        <v>171</v>
      </c>
      <c r="H140" t="s">
        <v>64</v>
      </c>
      <c r="I140" t="s">
        <v>65</v>
      </c>
      <c r="J140">
        <v>5</v>
      </c>
      <c r="K140" s="4" t="str" cm="1">
        <f t="array" ref="K140">_xlfn.IFS(J140&lt;=5,"0-5",J140&lt;=10,"6-10",J140&lt;=15,"11-15",J140&lt;=20,"16-20",J140&gt;20,"21+")</f>
        <v>0-5</v>
      </c>
      <c r="L140">
        <v>50</v>
      </c>
      <c r="M140" s="2">
        <f>L140</f>
        <v>50</v>
      </c>
      <c r="N140" s="8">
        <f t="shared" si="26"/>
        <v>50</v>
      </c>
      <c r="O140">
        <v>0</v>
      </c>
      <c r="P140" t="s">
        <v>23</v>
      </c>
      <c r="Q140" t="s">
        <v>2072</v>
      </c>
    </row>
    <row r="141" spans="1:19" x14ac:dyDescent="0.3">
      <c r="A141" t="s">
        <v>355</v>
      </c>
      <c r="B141" t="s">
        <v>356</v>
      </c>
      <c r="C141" t="str">
        <f t="shared" si="22"/>
        <v>Jonathan Garza</v>
      </c>
      <c r="D141" t="s">
        <v>40</v>
      </c>
      <c r="E141" t="str">
        <f t="shared" si="25"/>
        <v>Male</v>
      </c>
      <c r="F141">
        <v>31</v>
      </c>
      <c r="G141" t="s">
        <v>20</v>
      </c>
      <c r="H141" t="s">
        <v>21</v>
      </c>
      <c r="I141" t="s">
        <v>70</v>
      </c>
      <c r="J141">
        <v>11</v>
      </c>
      <c r="K141" s="4" t="str" cm="1">
        <f t="array" ref="K141">_xlfn.IFS(J141&lt;=5,"0-5",J141&lt;=10,"6-10",J141&lt;=15,"11-15",J141&lt;=20,"16-20",J141&gt;20,"21+")</f>
        <v>11-15</v>
      </c>
      <c r="L141">
        <v>50</v>
      </c>
      <c r="M141" s="2">
        <f>L141</f>
        <v>50</v>
      </c>
      <c r="N141" s="8">
        <f t="shared" si="26"/>
        <v>50</v>
      </c>
      <c r="O141">
        <v>3.1</v>
      </c>
      <c r="P141" t="b">
        <v>0</v>
      </c>
      <c r="Q141" t="s">
        <v>2072</v>
      </c>
      <c r="R141" s="1">
        <v>0.88</v>
      </c>
      <c r="S141" s="3">
        <f t="shared" ref="S141:S145" si="28">R141</f>
        <v>0.88</v>
      </c>
    </row>
    <row r="142" spans="1:19" x14ac:dyDescent="0.3">
      <c r="A142" t="s">
        <v>357</v>
      </c>
      <c r="B142" t="s">
        <v>358</v>
      </c>
      <c r="C142" t="str">
        <f t="shared" si="22"/>
        <v>Charles Jones</v>
      </c>
      <c r="D142" t="s">
        <v>40</v>
      </c>
      <c r="E142" t="str">
        <f t="shared" si="25"/>
        <v>Male</v>
      </c>
      <c r="F142">
        <v>52</v>
      </c>
      <c r="G142" t="s">
        <v>127</v>
      </c>
      <c r="H142" t="s">
        <v>128</v>
      </c>
      <c r="I142" t="s">
        <v>65</v>
      </c>
      <c r="J142">
        <v>15</v>
      </c>
      <c r="K142" s="4" t="str" cm="1">
        <f t="array" ref="K142">_xlfn.IFS(J142&lt;=5,"0-5",J142&lt;=10,"6-10",J142&lt;=15,"11-15",J142&lt;=20,"16-20",J142&gt;20,"21+")</f>
        <v>11-15</v>
      </c>
      <c r="L142">
        <v>50</v>
      </c>
      <c r="M142" s="2">
        <f>L142</f>
        <v>50</v>
      </c>
      <c r="N142" s="8">
        <f t="shared" si="26"/>
        <v>50</v>
      </c>
      <c r="O142">
        <v>0</v>
      </c>
      <c r="P142" t="s">
        <v>60</v>
      </c>
      <c r="Q142" t="s">
        <v>2073</v>
      </c>
      <c r="R142" s="1">
        <v>0.81</v>
      </c>
      <c r="S142" s="3">
        <f t="shared" si="28"/>
        <v>0.81</v>
      </c>
    </row>
    <row r="143" spans="1:19" x14ac:dyDescent="0.3">
      <c r="A143" t="s">
        <v>359</v>
      </c>
      <c r="B143" t="s">
        <v>360</v>
      </c>
      <c r="C143" t="str">
        <f t="shared" si="22"/>
        <v>Lindsey Miles</v>
      </c>
      <c r="D143" t="s">
        <v>31</v>
      </c>
      <c r="E143" t="str">
        <f t="shared" si="25"/>
        <v>Female</v>
      </c>
      <c r="F143">
        <v>34</v>
      </c>
      <c r="G143" t="s">
        <v>85</v>
      </c>
      <c r="H143" t="s">
        <v>86</v>
      </c>
      <c r="I143" t="s">
        <v>43</v>
      </c>
      <c r="J143">
        <v>5</v>
      </c>
      <c r="K143" s="4" t="str" cm="1">
        <f t="array" ref="K143">_xlfn.IFS(J143&lt;=5,"0-5",J143&lt;=10,"6-10",J143&lt;=15,"11-15",J143&lt;=20,"16-20",J143&gt;20,"21+")</f>
        <v>0-5</v>
      </c>
      <c r="L143" t="s">
        <v>306</v>
      </c>
      <c r="M143" s="2" t="str">
        <f>TRIM(MID(L143,FIND(" ",L143)+1,LEN(L143)))</f>
        <v>20</v>
      </c>
      <c r="N143" s="8">
        <f t="shared" si="26"/>
        <v>20</v>
      </c>
      <c r="O143">
        <v>2.2000000000000002</v>
      </c>
      <c r="P143" t="s">
        <v>66</v>
      </c>
      <c r="Q143" t="s">
        <v>2073</v>
      </c>
      <c r="R143" s="1">
        <v>0.8</v>
      </c>
      <c r="S143" s="3">
        <f t="shared" si="28"/>
        <v>0.8</v>
      </c>
    </row>
    <row r="144" spans="1:19" x14ac:dyDescent="0.3">
      <c r="A144" t="s">
        <v>361</v>
      </c>
      <c r="B144" t="s">
        <v>362</v>
      </c>
      <c r="C144" t="str">
        <f t="shared" si="22"/>
        <v>Eduardo Reed</v>
      </c>
      <c r="D144" t="s">
        <v>19</v>
      </c>
      <c r="E144" t="str">
        <f t="shared" si="25"/>
        <v>Male</v>
      </c>
      <c r="F144">
        <v>45</v>
      </c>
      <c r="G144" t="s">
        <v>59</v>
      </c>
      <c r="H144" t="s">
        <v>14</v>
      </c>
      <c r="I144" t="s">
        <v>27</v>
      </c>
      <c r="J144">
        <v>7</v>
      </c>
      <c r="K144" s="4" t="str" cm="1">
        <f t="array" ref="K144">_xlfn.IFS(J144&lt;=5,"0-5",J144&lt;=10,"6-10",J144&lt;=15,"11-15",J144&lt;=20,"16-20",J144&gt;20,"21+")</f>
        <v>6-10</v>
      </c>
      <c r="L144">
        <v>75</v>
      </c>
      <c r="M144" s="2">
        <f>L144</f>
        <v>75</v>
      </c>
      <c r="N144" s="8">
        <f t="shared" si="26"/>
        <v>75</v>
      </c>
      <c r="O144">
        <v>3</v>
      </c>
      <c r="P144">
        <v>1</v>
      </c>
      <c r="Q144" t="s">
        <v>2073</v>
      </c>
      <c r="R144" s="1">
        <v>0.67</v>
      </c>
      <c r="S144" s="3">
        <f t="shared" si="28"/>
        <v>0.67</v>
      </c>
    </row>
    <row r="145" spans="1:19" x14ac:dyDescent="0.3">
      <c r="A145" t="s">
        <v>363</v>
      </c>
      <c r="B145" t="s">
        <v>364</v>
      </c>
      <c r="C145" t="str">
        <f t="shared" si="22"/>
        <v>Lee Fowler</v>
      </c>
      <c r="D145" t="s">
        <v>40</v>
      </c>
      <c r="E145" t="str">
        <f t="shared" si="25"/>
        <v>Male</v>
      </c>
      <c r="F145">
        <v>46</v>
      </c>
      <c r="G145" t="s">
        <v>59</v>
      </c>
      <c r="H145" t="s">
        <v>14</v>
      </c>
      <c r="I145" t="s">
        <v>70</v>
      </c>
      <c r="J145">
        <v>9</v>
      </c>
      <c r="K145" s="4" t="str" cm="1">
        <f t="array" ref="K145">_xlfn.IFS(J145&lt;=5,"0-5",J145&lt;=10,"6-10",J145&lt;=15,"11-15",J145&lt;=20,"16-20",J145&gt;20,"21+")</f>
        <v>6-10</v>
      </c>
      <c r="L145" t="s">
        <v>113</v>
      </c>
      <c r="M145" s="2" t="str">
        <f>SUBSTITUTE(L145,"$","")</f>
        <v>20</v>
      </c>
      <c r="N145" s="8">
        <f t="shared" si="26"/>
        <v>20</v>
      </c>
      <c r="O145">
        <v>0</v>
      </c>
      <c r="P145" t="s">
        <v>23</v>
      </c>
      <c r="Q145" t="s">
        <v>2072</v>
      </c>
      <c r="R145" s="1">
        <v>0.82</v>
      </c>
      <c r="S145" s="3">
        <f t="shared" si="28"/>
        <v>0.82</v>
      </c>
    </row>
    <row r="146" spans="1:19" x14ac:dyDescent="0.3">
      <c r="A146" t="s">
        <v>365</v>
      </c>
      <c r="B146" t="s">
        <v>366</v>
      </c>
      <c r="C146" t="str">
        <f>TRIM(MID(B146,FIND(" ",B146)+1,LEN(B146)))</f>
        <v>Jones Jr.</v>
      </c>
      <c r="D146" t="s">
        <v>40</v>
      </c>
      <c r="E146" t="str">
        <f t="shared" si="25"/>
        <v>Male</v>
      </c>
      <c r="F146">
        <v>56</v>
      </c>
      <c r="G146" t="s">
        <v>127</v>
      </c>
      <c r="H146" t="s">
        <v>128</v>
      </c>
      <c r="I146" t="s">
        <v>65</v>
      </c>
      <c r="J146">
        <v>21</v>
      </c>
      <c r="K146" s="4" t="str" cm="1">
        <f t="array" ref="K146">_xlfn.IFS(J146&lt;=5,"0-5",J146&lt;=10,"6-10",J146&lt;=15,"11-15",J146&lt;=20,"16-20",J146&gt;20,"21+")</f>
        <v>21+</v>
      </c>
      <c r="L146" t="s">
        <v>16</v>
      </c>
      <c r="M146" s="2" t="str">
        <f>TRIM(MID(L146,FIND(" ",L146)+1,LEN(L146)))</f>
        <v>100</v>
      </c>
      <c r="N146" s="8">
        <f t="shared" si="26"/>
        <v>100</v>
      </c>
      <c r="O146">
        <v>0</v>
      </c>
      <c r="P146" t="b">
        <v>1</v>
      </c>
      <c r="Q146" t="s">
        <v>2073</v>
      </c>
      <c r="R146">
        <v>78</v>
      </c>
      <c r="S146" s="3">
        <f>R146/100</f>
        <v>0.78</v>
      </c>
    </row>
    <row r="147" spans="1:19" x14ac:dyDescent="0.3">
      <c r="A147" t="s">
        <v>367</v>
      </c>
      <c r="B147" t="s">
        <v>368</v>
      </c>
      <c r="C147" t="str">
        <f t="shared" ref="C147:C209" si="29">B147</f>
        <v>Ashley Chen</v>
      </c>
      <c r="D147" t="s">
        <v>12</v>
      </c>
      <c r="E147" t="str">
        <f t="shared" si="25"/>
        <v>Female</v>
      </c>
      <c r="F147">
        <v>59</v>
      </c>
      <c r="G147" t="s">
        <v>20</v>
      </c>
      <c r="H147" t="s">
        <v>21</v>
      </c>
      <c r="I147" t="s">
        <v>36</v>
      </c>
      <c r="J147">
        <v>7</v>
      </c>
      <c r="K147" s="4" t="str" cm="1">
        <f t="array" ref="K147">_xlfn.IFS(J147&lt;=5,"0-5",J147&lt;=10,"6-10",J147&lt;=15,"11-15",J147&lt;=20,"16-20",J147&gt;20,"21+")</f>
        <v>6-10</v>
      </c>
      <c r="L147" t="s">
        <v>28</v>
      </c>
      <c r="M147" s="2" t="str">
        <f>SUBSTITUTE(L147,"$","")</f>
        <v>40</v>
      </c>
      <c r="N147" s="8">
        <f t="shared" si="26"/>
        <v>40</v>
      </c>
      <c r="O147">
        <v>1.4</v>
      </c>
      <c r="P147" t="b">
        <v>0</v>
      </c>
      <c r="Q147" t="s">
        <v>2072</v>
      </c>
      <c r="R147" s="1">
        <v>0.81</v>
      </c>
      <c r="S147" s="3">
        <f t="shared" ref="S147:S150" si="30">R147</f>
        <v>0.81</v>
      </c>
    </row>
    <row r="148" spans="1:19" x14ac:dyDescent="0.3">
      <c r="A148" t="s">
        <v>369</v>
      </c>
      <c r="B148" t="s">
        <v>370</v>
      </c>
      <c r="C148" t="str">
        <f t="shared" si="29"/>
        <v>Erica Davis</v>
      </c>
      <c r="D148" t="s">
        <v>12</v>
      </c>
      <c r="E148" t="str">
        <f t="shared" si="25"/>
        <v>Female</v>
      </c>
      <c r="F148">
        <v>54</v>
      </c>
      <c r="G148" t="s">
        <v>131</v>
      </c>
      <c r="H148" t="s">
        <v>132</v>
      </c>
      <c r="I148" t="s">
        <v>9</v>
      </c>
      <c r="J148">
        <v>4</v>
      </c>
      <c r="K148" s="4" t="str" cm="1">
        <f t="array" ref="K148">_xlfn.IFS(J148&lt;=5,"0-5",J148&lt;=10,"6-10",J148&lt;=15,"11-15",J148&lt;=20,"16-20",J148&gt;20,"21+")</f>
        <v>0-5</v>
      </c>
      <c r="N148" s="8" t="str">
        <f t="shared" si="26"/>
        <v/>
      </c>
      <c r="O148">
        <v>1.4</v>
      </c>
      <c r="P148" t="b">
        <v>1</v>
      </c>
      <c r="Q148" t="s">
        <v>2073</v>
      </c>
      <c r="R148" s="1">
        <v>0.74</v>
      </c>
      <c r="S148" s="3">
        <f t="shared" si="30"/>
        <v>0.74</v>
      </c>
    </row>
    <row r="149" spans="1:19" x14ac:dyDescent="0.3">
      <c r="A149" t="s">
        <v>371</v>
      </c>
      <c r="B149" t="s">
        <v>372</v>
      </c>
      <c r="C149" t="str">
        <f t="shared" si="29"/>
        <v>Wayne Gonzales</v>
      </c>
      <c r="D149" t="s">
        <v>84</v>
      </c>
      <c r="E149" t="str">
        <f t="shared" si="25"/>
        <v>Male</v>
      </c>
      <c r="F149">
        <v>36</v>
      </c>
      <c r="G149" t="s">
        <v>20</v>
      </c>
      <c r="H149" t="s">
        <v>21</v>
      </c>
      <c r="I149" t="s">
        <v>65</v>
      </c>
      <c r="J149">
        <v>7</v>
      </c>
      <c r="K149" s="4" t="str" cm="1">
        <f t="array" ref="K149">_xlfn.IFS(J149&lt;=5,"0-5",J149&lt;=10,"6-10",J149&lt;=15,"11-15",J149&lt;=20,"16-20",J149&gt;20,"21+")</f>
        <v>6-10</v>
      </c>
      <c r="L149">
        <v>30</v>
      </c>
      <c r="M149" s="2">
        <f>L149</f>
        <v>30</v>
      </c>
      <c r="N149" s="8">
        <f t="shared" si="26"/>
        <v>30</v>
      </c>
      <c r="O149">
        <v>0</v>
      </c>
      <c r="P149" t="s">
        <v>23</v>
      </c>
      <c r="Q149" t="s">
        <v>2072</v>
      </c>
      <c r="R149" s="1">
        <v>0.88</v>
      </c>
      <c r="S149" s="3">
        <f t="shared" si="30"/>
        <v>0.88</v>
      </c>
    </row>
    <row r="150" spans="1:19" x14ac:dyDescent="0.3">
      <c r="A150" t="s">
        <v>373</v>
      </c>
      <c r="B150" t="s">
        <v>374</v>
      </c>
      <c r="C150" t="str">
        <f t="shared" si="29"/>
        <v>Gary Ballard</v>
      </c>
      <c r="D150" t="s">
        <v>19</v>
      </c>
      <c r="E150" t="str">
        <f t="shared" si="25"/>
        <v>Male</v>
      </c>
      <c r="F150">
        <v>25</v>
      </c>
      <c r="G150" t="s">
        <v>171</v>
      </c>
      <c r="H150" t="s">
        <v>64</v>
      </c>
      <c r="I150" t="s">
        <v>43</v>
      </c>
      <c r="J150">
        <v>0</v>
      </c>
      <c r="K150" s="4" t="str" cm="1">
        <f t="array" ref="K150">_xlfn.IFS(J150&lt;=5,"0-5",J150&lt;=10,"6-10",J150&lt;=15,"11-15",J150&lt;=20,"16-20",J150&gt;20,"21+")</f>
        <v>0-5</v>
      </c>
      <c r="L150">
        <v>40</v>
      </c>
      <c r="M150" s="2">
        <f>L150</f>
        <v>40</v>
      </c>
      <c r="N150" s="8">
        <f t="shared" si="26"/>
        <v>40</v>
      </c>
      <c r="O150">
        <v>0</v>
      </c>
      <c r="P150">
        <v>0</v>
      </c>
      <c r="Q150" t="s">
        <v>2072</v>
      </c>
      <c r="R150" s="1">
        <v>0.9</v>
      </c>
      <c r="S150" s="3">
        <f t="shared" si="30"/>
        <v>0.9</v>
      </c>
    </row>
    <row r="151" spans="1:19" x14ac:dyDescent="0.3">
      <c r="A151" t="s">
        <v>375</v>
      </c>
      <c r="B151" t="s">
        <v>376</v>
      </c>
      <c r="C151" t="str">
        <f t="shared" si="29"/>
        <v>Maria Mcguire</v>
      </c>
      <c r="D151" t="s">
        <v>12</v>
      </c>
      <c r="E151" t="str">
        <f t="shared" si="25"/>
        <v>Female</v>
      </c>
      <c r="F151">
        <v>37</v>
      </c>
      <c r="G151" t="s">
        <v>116</v>
      </c>
      <c r="H151" t="s">
        <v>117</v>
      </c>
      <c r="I151" t="s">
        <v>43</v>
      </c>
      <c r="J151">
        <v>15</v>
      </c>
      <c r="K151" s="4" t="str" cm="1">
        <f t="array" ref="K151">_xlfn.IFS(J151&lt;=5,"0-5",J151&lt;=10,"6-10",J151&lt;=15,"11-15",J151&lt;=20,"16-20",J151&gt;20,"21+")</f>
        <v>11-15</v>
      </c>
      <c r="L151" t="s">
        <v>28</v>
      </c>
      <c r="M151" s="2" t="str">
        <f>SUBSTITUTE(L151,"$","")</f>
        <v>40</v>
      </c>
      <c r="N151" s="8">
        <f t="shared" si="26"/>
        <v>40</v>
      </c>
      <c r="O151">
        <v>2.9</v>
      </c>
      <c r="P151" t="b">
        <v>0</v>
      </c>
      <c r="Q151" t="s">
        <v>2072</v>
      </c>
    </row>
    <row r="152" spans="1:19" x14ac:dyDescent="0.3">
      <c r="A152" t="s">
        <v>377</v>
      </c>
      <c r="B152" t="s">
        <v>378</v>
      </c>
      <c r="C152" t="str">
        <f t="shared" si="29"/>
        <v>Matthew Richards</v>
      </c>
      <c r="D152" t="s">
        <v>84</v>
      </c>
      <c r="E152" t="str">
        <f t="shared" si="25"/>
        <v>Male</v>
      </c>
      <c r="G152" t="s">
        <v>54</v>
      </c>
      <c r="H152" t="s">
        <v>55</v>
      </c>
      <c r="I152" t="s">
        <v>43</v>
      </c>
      <c r="J152">
        <v>10</v>
      </c>
      <c r="K152" s="4" t="str" cm="1">
        <f t="array" ref="K152">_xlfn.IFS(J152&lt;=5,"0-5",J152&lt;=10,"6-10",J152&lt;=15,"11-15",J152&lt;=20,"16-20",J152&gt;20,"21+")</f>
        <v>6-10</v>
      </c>
      <c r="L152" t="s">
        <v>47</v>
      </c>
      <c r="M152" s="2" t="str">
        <f>TRIM(MID(L152,FIND(" ",L152)+1,LEN(L152)))</f>
        <v>40</v>
      </c>
      <c r="N152" s="8">
        <f t="shared" si="26"/>
        <v>40</v>
      </c>
      <c r="O152">
        <v>0</v>
      </c>
    </row>
    <row r="153" spans="1:19" x14ac:dyDescent="0.3">
      <c r="A153" t="s">
        <v>379</v>
      </c>
      <c r="B153" t="s">
        <v>380</v>
      </c>
      <c r="C153" t="str">
        <f t="shared" si="29"/>
        <v>Patrick Malone</v>
      </c>
      <c r="D153" t="s">
        <v>40</v>
      </c>
      <c r="E153" t="str">
        <f t="shared" si="25"/>
        <v>Male</v>
      </c>
      <c r="F153">
        <v>29</v>
      </c>
      <c r="G153" t="s">
        <v>182</v>
      </c>
      <c r="H153" t="s">
        <v>64</v>
      </c>
      <c r="I153" t="s">
        <v>43</v>
      </c>
      <c r="J153">
        <v>11</v>
      </c>
      <c r="K153" s="4" t="str" cm="1">
        <f t="array" ref="K153">_xlfn.IFS(J153&lt;=5,"0-5",J153&lt;=10,"6-10",J153&lt;=15,"11-15",J153&lt;=20,"16-20",J153&gt;20,"21+")</f>
        <v>11-15</v>
      </c>
      <c r="L153">
        <v>20</v>
      </c>
      <c r="M153" s="2">
        <f>L153</f>
        <v>20</v>
      </c>
      <c r="N153" s="8">
        <f t="shared" si="26"/>
        <v>20</v>
      </c>
      <c r="O153">
        <v>2.7</v>
      </c>
      <c r="P153" t="s">
        <v>151</v>
      </c>
      <c r="Q153" t="s">
        <v>2072</v>
      </c>
      <c r="R153" s="1">
        <v>0.93</v>
      </c>
      <c r="S153" s="3">
        <f>R153</f>
        <v>0.93</v>
      </c>
    </row>
    <row r="154" spans="1:19" x14ac:dyDescent="0.3">
      <c r="A154" t="s">
        <v>381</v>
      </c>
      <c r="B154" t="s">
        <v>382</v>
      </c>
      <c r="C154" t="str">
        <f t="shared" si="29"/>
        <v>Cindy Martin</v>
      </c>
      <c r="D154" t="s">
        <v>31</v>
      </c>
      <c r="E154" t="str">
        <f t="shared" si="25"/>
        <v>Female</v>
      </c>
      <c r="F154">
        <v>55</v>
      </c>
      <c r="G154" t="s">
        <v>63</v>
      </c>
      <c r="H154" t="s">
        <v>64</v>
      </c>
      <c r="I154" t="s">
        <v>15</v>
      </c>
      <c r="J154">
        <v>12</v>
      </c>
      <c r="K154" s="4" t="str" cm="1">
        <f t="array" ref="K154">_xlfn.IFS(J154&lt;=5,"0-5",J154&lt;=10,"6-10",J154&lt;=15,"11-15",J154&lt;=20,"16-20",J154&gt;20,"21+")</f>
        <v>11-15</v>
      </c>
      <c r="L154">
        <v>100</v>
      </c>
      <c r="M154" s="2">
        <f>L154</f>
        <v>100</v>
      </c>
      <c r="N154" s="8">
        <f t="shared" si="26"/>
        <v>100</v>
      </c>
      <c r="O154">
        <v>1.8</v>
      </c>
      <c r="P154">
        <v>1</v>
      </c>
      <c r="Q154" t="s">
        <v>2073</v>
      </c>
    </row>
    <row r="155" spans="1:19" x14ac:dyDescent="0.3">
      <c r="A155" t="s">
        <v>383</v>
      </c>
      <c r="B155" t="s">
        <v>384</v>
      </c>
      <c r="C155" t="str">
        <f t="shared" si="29"/>
        <v>Anne Edwards</v>
      </c>
      <c r="D155" t="s">
        <v>69</v>
      </c>
      <c r="E155" t="str">
        <f t="shared" si="25"/>
        <v>Female</v>
      </c>
      <c r="F155">
        <v>38</v>
      </c>
      <c r="G155" t="s">
        <v>77</v>
      </c>
      <c r="H155" t="s">
        <v>78</v>
      </c>
      <c r="I155" t="s">
        <v>81</v>
      </c>
      <c r="J155">
        <v>20</v>
      </c>
      <c r="K155" s="4" t="str" cm="1">
        <f t="array" ref="K155">_xlfn.IFS(J155&lt;=5,"0-5",J155&lt;=10,"6-10",J155&lt;=15,"11-15",J155&lt;=20,"16-20",J155&gt;20,"21+")</f>
        <v>16-20</v>
      </c>
      <c r="L155" t="s">
        <v>162</v>
      </c>
      <c r="M155" s="2" t="str">
        <f>SUBSTITUTE(L155,"$","")</f>
        <v>75</v>
      </c>
      <c r="N155" s="8">
        <f t="shared" si="26"/>
        <v>75</v>
      </c>
      <c r="O155">
        <v>1.1000000000000001</v>
      </c>
      <c r="P155" t="s">
        <v>151</v>
      </c>
      <c r="Q155" t="s">
        <v>2072</v>
      </c>
      <c r="R155" s="1">
        <v>0.71</v>
      </c>
      <c r="S155" s="3">
        <f t="shared" ref="S155:S156" si="31">R155</f>
        <v>0.71</v>
      </c>
    </row>
    <row r="156" spans="1:19" x14ac:dyDescent="0.3">
      <c r="A156" t="s">
        <v>385</v>
      </c>
      <c r="B156" t="s">
        <v>386</v>
      </c>
      <c r="C156" t="str">
        <f t="shared" si="29"/>
        <v>Mitchell Martin</v>
      </c>
      <c r="D156" t="s">
        <v>89</v>
      </c>
      <c r="E156" t="str">
        <f t="shared" si="25"/>
        <v>Male</v>
      </c>
      <c r="F156">
        <v>47</v>
      </c>
      <c r="G156" t="s">
        <v>104</v>
      </c>
      <c r="H156" t="s">
        <v>105</v>
      </c>
      <c r="I156" t="s">
        <v>81</v>
      </c>
      <c r="J156">
        <v>29</v>
      </c>
      <c r="K156" s="4" t="str" cm="1">
        <f t="array" ref="K156">_xlfn.IFS(J156&lt;=5,"0-5",J156&lt;=10,"6-10",J156&lt;=15,"11-15",J156&lt;=20,"16-20",J156&gt;20,"21+")</f>
        <v>21+</v>
      </c>
      <c r="L156" t="s">
        <v>28</v>
      </c>
      <c r="M156" s="2" t="str">
        <f>SUBSTITUTE(L156,"$","")</f>
        <v>40</v>
      </c>
      <c r="N156" s="8">
        <f t="shared" si="26"/>
        <v>40</v>
      </c>
      <c r="O156">
        <v>4.3</v>
      </c>
      <c r="P156">
        <v>1</v>
      </c>
      <c r="Q156" t="s">
        <v>2073</v>
      </c>
      <c r="R156" s="1">
        <v>0.95</v>
      </c>
      <c r="S156" s="3">
        <f t="shared" si="31"/>
        <v>0.95</v>
      </c>
    </row>
    <row r="157" spans="1:19" x14ac:dyDescent="0.3">
      <c r="A157" t="s">
        <v>387</v>
      </c>
      <c r="B157" t="s">
        <v>388</v>
      </c>
      <c r="C157" t="str">
        <f t="shared" si="29"/>
        <v>Mitchell Patrick</v>
      </c>
      <c r="D157" t="s">
        <v>84</v>
      </c>
      <c r="E157" t="str">
        <f t="shared" si="25"/>
        <v>Male</v>
      </c>
      <c r="F157">
        <v>60</v>
      </c>
      <c r="G157" t="s">
        <v>99</v>
      </c>
      <c r="H157" t="s">
        <v>100</v>
      </c>
      <c r="I157" t="s">
        <v>27</v>
      </c>
      <c r="J157">
        <v>15</v>
      </c>
      <c r="K157" s="4" t="str" cm="1">
        <f t="array" ref="K157">_xlfn.IFS(J157&lt;=5,"0-5",J157&lt;=10,"6-10",J157&lt;=15,"11-15",J157&lt;=20,"16-20",J157&gt;20,"21+")</f>
        <v>11-15</v>
      </c>
      <c r="L157">
        <v>100</v>
      </c>
      <c r="M157" s="2">
        <f>L157</f>
        <v>100</v>
      </c>
      <c r="N157" s="8">
        <f t="shared" si="26"/>
        <v>100</v>
      </c>
      <c r="O157">
        <v>1.5</v>
      </c>
      <c r="P157">
        <v>0</v>
      </c>
      <c r="Q157" t="s">
        <v>2072</v>
      </c>
      <c r="R157">
        <v>80</v>
      </c>
      <c r="S157" s="3">
        <f>R157/100</f>
        <v>0.8</v>
      </c>
    </row>
    <row r="158" spans="1:19" x14ac:dyDescent="0.3">
      <c r="A158" t="s">
        <v>389</v>
      </c>
      <c r="B158" t="s">
        <v>390</v>
      </c>
      <c r="C158" t="str">
        <f t="shared" si="29"/>
        <v>Rebecca Lyons</v>
      </c>
      <c r="D158" t="s">
        <v>12</v>
      </c>
      <c r="E158" t="str">
        <f t="shared" si="25"/>
        <v>Female</v>
      </c>
      <c r="F158">
        <v>43</v>
      </c>
      <c r="G158" t="s">
        <v>7</v>
      </c>
      <c r="H158" t="s">
        <v>8</v>
      </c>
      <c r="I158" t="s">
        <v>43</v>
      </c>
      <c r="J158">
        <v>9</v>
      </c>
      <c r="K158" s="4" t="str" cm="1">
        <f t="array" ref="K158">_xlfn.IFS(J158&lt;=5,"0-5",J158&lt;=10,"6-10",J158&lt;=15,"11-15",J158&lt;=20,"16-20",J158&gt;20,"21+")</f>
        <v>6-10</v>
      </c>
      <c r="L158" t="s">
        <v>113</v>
      </c>
      <c r="M158" s="2" t="str">
        <f>SUBSTITUTE(L158,"$","")</f>
        <v>20</v>
      </c>
      <c r="N158" s="8">
        <f t="shared" si="26"/>
        <v>20</v>
      </c>
      <c r="O158">
        <v>2.2000000000000002</v>
      </c>
      <c r="P158" t="s">
        <v>23</v>
      </c>
      <c r="Q158" t="s">
        <v>2072</v>
      </c>
    </row>
    <row r="159" spans="1:19" x14ac:dyDescent="0.3">
      <c r="A159" t="s">
        <v>391</v>
      </c>
      <c r="B159" t="s">
        <v>392</v>
      </c>
      <c r="C159" t="str">
        <f t="shared" si="29"/>
        <v>Christian Lopez</v>
      </c>
      <c r="D159" t="s">
        <v>89</v>
      </c>
      <c r="E159" t="str">
        <f t="shared" si="25"/>
        <v>Male</v>
      </c>
      <c r="F159">
        <v>56</v>
      </c>
      <c r="G159" t="s">
        <v>145</v>
      </c>
      <c r="H159" t="s">
        <v>146</v>
      </c>
      <c r="I159" t="s">
        <v>43</v>
      </c>
      <c r="K159" s="4" t="str" cm="1">
        <f t="array" ref="K159">_xlfn.IFS(J159&lt;=5,"0-5",J159&lt;=10,"6-10",J159&lt;=15,"11-15",J159&lt;=20,"16-20",J159&gt;20,"21+")</f>
        <v>0-5</v>
      </c>
      <c r="L159">
        <v>100</v>
      </c>
      <c r="M159" s="2">
        <f>L159</f>
        <v>100</v>
      </c>
      <c r="N159" s="8">
        <f t="shared" si="26"/>
        <v>100</v>
      </c>
      <c r="O159">
        <v>3.2</v>
      </c>
      <c r="P159">
        <v>0</v>
      </c>
      <c r="Q159" t="s">
        <v>2072</v>
      </c>
      <c r="R159" s="1">
        <v>0.62</v>
      </c>
      <c r="S159" s="3">
        <f t="shared" ref="S159:S163" si="32">R159</f>
        <v>0.62</v>
      </c>
    </row>
    <row r="160" spans="1:19" x14ac:dyDescent="0.3">
      <c r="A160" t="s">
        <v>393</v>
      </c>
      <c r="B160" t="s">
        <v>394</v>
      </c>
      <c r="C160" t="str">
        <f t="shared" si="29"/>
        <v>Nathan Blair</v>
      </c>
      <c r="D160" t="s">
        <v>19</v>
      </c>
      <c r="E160" t="str">
        <f t="shared" si="25"/>
        <v>Male</v>
      </c>
      <c r="F160">
        <v>42</v>
      </c>
      <c r="G160" t="s">
        <v>116</v>
      </c>
      <c r="H160" t="s">
        <v>117</v>
      </c>
      <c r="I160" t="s">
        <v>81</v>
      </c>
      <c r="J160">
        <v>2</v>
      </c>
      <c r="K160" s="4" t="str" cm="1">
        <f t="array" ref="K160">_xlfn.IFS(J160&lt;=5,"0-5",J160&lt;=10,"6-10",J160&lt;=15,"11-15",J160&lt;=20,"16-20",J160&gt;20,"21+")</f>
        <v>0-5</v>
      </c>
      <c r="L160" t="s">
        <v>56</v>
      </c>
      <c r="M160" s="2" t="str">
        <f>SUBSTITUTE(L160,"$","")</f>
        <v>50</v>
      </c>
      <c r="N160" s="8">
        <f t="shared" si="26"/>
        <v>50</v>
      </c>
      <c r="O160">
        <v>1.9</v>
      </c>
      <c r="P160" t="b">
        <v>0</v>
      </c>
      <c r="Q160" t="s">
        <v>2072</v>
      </c>
      <c r="R160" s="1">
        <v>0.95</v>
      </c>
      <c r="S160" s="3">
        <f t="shared" si="32"/>
        <v>0.95</v>
      </c>
    </row>
    <row r="161" spans="1:19" x14ac:dyDescent="0.3">
      <c r="A161" t="s">
        <v>395</v>
      </c>
      <c r="B161" t="s">
        <v>396</v>
      </c>
      <c r="C161" t="str">
        <f t="shared" si="29"/>
        <v>Patricia Lopez</v>
      </c>
      <c r="D161" t="s">
        <v>69</v>
      </c>
      <c r="E161" t="str">
        <f t="shared" si="25"/>
        <v>Female</v>
      </c>
      <c r="F161">
        <v>20</v>
      </c>
      <c r="G161" t="s">
        <v>182</v>
      </c>
      <c r="H161" t="s">
        <v>64</v>
      </c>
      <c r="I161" t="s">
        <v>22</v>
      </c>
      <c r="J161">
        <v>0</v>
      </c>
      <c r="K161" s="4" t="str" cm="1">
        <f t="array" ref="K161">_xlfn.IFS(J161&lt;=5,"0-5",J161&lt;=10,"6-10",J161&lt;=15,"11-15",J161&lt;=20,"16-20",J161&gt;20,"21+")</f>
        <v>0-5</v>
      </c>
      <c r="L161">
        <v>40</v>
      </c>
      <c r="M161" s="2">
        <f>L161</f>
        <v>40</v>
      </c>
      <c r="N161" s="8">
        <f t="shared" si="26"/>
        <v>40</v>
      </c>
      <c r="O161">
        <v>2.5</v>
      </c>
      <c r="P161">
        <v>0</v>
      </c>
      <c r="Q161" t="s">
        <v>2072</v>
      </c>
      <c r="R161" s="1">
        <v>0.79</v>
      </c>
      <c r="S161" s="3">
        <f t="shared" si="32"/>
        <v>0.79</v>
      </c>
    </row>
    <row r="162" spans="1:19" x14ac:dyDescent="0.3">
      <c r="A162" t="s">
        <v>397</v>
      </c>
      <c r="B162" t="s">
        <v>398</v>
      </c>
      <c r="C162" t="str">
        <f t="shared" si="29"/>
        <v>Michelle Wu</v>
      </c>
      <c r="D162" t="s">
        <v>31</v>
      </c>
      <c r="E162" t="str">
        <f t="shared" si="25"/>
        <v>Female</v>
      </c>
      <c r="F162">
        <v>47</v>
      </c>
      <c r="G162" t="s">
        <v>41</v>
      </c>
      <c r="H162" t="s">
        <v>42</v>
      </c>
      <c r="I162" t="s">
        <v>65</v>
      </c>
      <c r="J162">
        <v>12</v>
      </c>
      <c r="K162" s="4" t="str" cm="1">
        <f t="array" ref="K162">_xlfn.IFS(J162&lt;=5,"0-5",J162&lt;=10,"6-10",J162&lt;=15,"11-15",J162&lt;=20,"16-20",J162&gt;20,"21+")</f>
        <v>11-15</v>
      </c>
      <c r="L162">
        <v>40</v>
      </c>
      <c r="M162" s="2">
        <f>L162</f>
        <v>40</v>
      </c>
      <c r="N162" s="8">
        <f t="shared" si="26"/>
        <v>40</v>
      </c>
      <c r="O162">
        <v>4.5</v>
      </c>
      <c r="P162" t="s">
        <v>151</v>
      </c>
      <c r="Q162" t="s">
        <v>2072</v>
      </c>
      <c r="R162" s="1">
        <v>0.62</v>
      </c>
      <c r="S162" s="3">
        <f t="shared" si="32"/>
        <v>0.62</v>
      </c>
    </row>
    <row r="163" spans="1:19" x14ac:dyDescent="0.3">
      <c r="A163" t="s">
        <v>399</v>
      </c>
      <c r="B163" t="s">
        <v>400</v>
      </c>
      <c r="C163" t="str">
        <f t="shared" si="29"/>
        <v>Donald Mitchell</v>
      </c>
      <c r="D163" t="s">
        <v>40</v>
      </c>
      <c r="E163" t="str">
        <f t="shared" si="25"/>
        <v>Male</v>
      </c>
      <c r="G163" t="s">
        <v>63</v>
      </c>
      <c r="H163" t="s">
        <v>64</v>
      </c>
      <c r="I163" t="s">
        <v>43</v>
      </c>
      <c r="J163">
        <v>12</v>
      </c>
      <c r="K163" s="4" t="str" cm="1">
        <f t="array" ref="K163">_xlfn.IFS(J163&lt;=5,"0-5",J163&lt;=10,"6-10",J163&lt;=15,"11-15",J163&lt;=20,"16-20",J163&gt;20,"21+")</f>
        <v>11-15</v>
      </c>
      <c r="L163" t="s">
        <v>37</v>
      </c>
      <c r="M163" s="2" t="str">
        <f>SUBSTITUTE(L163,"$","")</f>
        <v>30</v>
      </c>
      <c r="N163" s="8">
        <f t="shared" si="26"/>
        <v>30</v>
      </c>
      <c r="O163">
        <v>4.0999999999999996</v>
      </c>
      <c r="P163" t="s">
        <v>151</v>
      </c>
      <c r="Q163" t="s">
        <v>2072</v>
      </c>
      <c r="R163" s="1">
        <v>0.68</v>
      </c>
      <c r="S163" s="3">
        <f t="shared" si="32"/>
        <v>0.68</v>
      </c>
    </row>
    <row r="164" spans="1:19" x14ac:dyDescent="0.3">
      <c r="A164" t="s">
        <v>401</v>
      </c>
      <c r="B164" t="s">
        <v>402</v>
      </c>
      <c r="C164" t="str">
        <f t="shared" si="29"/>
        <v>Sean Gordon</v>
      </c>
      <c r="D164" t="s">
        <v>84</v>
      </c>
      <c r="E164" t="str">
        <f t="shared" si="25"/>
        <v>Male</v>
      </c>
      <c r="F164">
        <v>56</v>
      </c>
      <c r="G164" t="s">
        <v>41</v>
      </c>
      <c r="H164" t="s">
        <v>42</v>
      </c>
      <c r="I164" t="s">
        <v>81</v>
      </c>
      <c r="J164">
        <v>15</v>
      </c>
      <c r="K164" s="4" t="str" cm="1">
        <f t="array" ref="K164">_xlfn.IFS(J164&lt;=5,"0-5",J164&lt;=10,"6-10",J164&lt;=15,"11-15",J164&lt;=20,"16-20",J164&gt;20,"21+")</f>
        <v>11-15</v>
      </c>
      <c r="L164" t="s">
        <v>44</v>
      </c>
      <c r="M164" s="2" t="str">
        <f>TRIM(MID(L164,FIND(" ",L164)+1,LEN(L164)))</f>
        <v>75</v>
      </c>
      <c r="N164" s="8">
        <f t="shared" si="26"/>
        <v>75</v>
      </c>
      <c r="O164">
        <v>0</v>
      </c>
      <c r="P164" t="s">
        <v>151</v>
      </c>
      <c r="Q164" t="s">
        <v>2072</v>
      </c>
    </row>
    <row r="165" spans="1:19" x14ac:dyDescent="0.3">
      <c r="A165" t="s">
        <v>403</v>
      </c>
      <c r="B165" t="s">
        <v>404</v>
      </c>
      <c r="C165" t="str">
        <f t="shared" si="29"/>
        <v>Gregory Clarke</v>
      </c>
      <c r="D165" t="s">
        <v>89</v>
      </c>
      <c r="E165" t="str">
        <f t="shared" si="25"/>
        <v>Male</v>
      </c>
      <c r="F165">
        <v>59</v>
      </c>
      <c r="G165" t="s">
        <v>59</v>
      </c>
      <c r="H165" t="s">
        <v>14</v>
      </c>
      <c r="I165" t="s">
        <v>81</v>
      </c>
      <c r="J165">
        <v>29</v>
      </c>
      <c r="K165" s="4" t="str" cm="1">
        <f t="array" ref="K165">_xlfn.IFS(J165&lt;=5,"0-5",J165&lt;=10,"6-10",J165&lt;=15,"11-15",J165&lt;=20,"16-20",J165&gt;20,"21+")</f>
        <v>21+</v>
      </c>
      <c r="L165" t="s">
        <v>44</v>
      </c>
      <c r="M165" s="2" t="str">
        <f>TRIM(MID(L165,FIND(" ",L165)+1,LEN(L165)))</f>
        <v>75</v>
      </c>
      <c r="N165" s="8">
        <f t="shared" si="26"/>
        <v>75</v>
      </c>
      <c r="P165">
        <v>0</v>
      </c>
      <c r="Q165" t="s">
        <v>2072</v>
      </c>
      <c r="R165" s="1">
        <v>0.8</v>
      </c>
      <c r="S165" s="3">
        <f t="shared" ref="S165:S169" si="33">R165</f>
        <v>0.8</v>
      </c>
    </row>
    <row r="166" spans="1:19" x14ac:dyDescent="0.3">
      <c r="A166" t="s">
        <v>405</v>
      </c>
      <c r="B166" t="s">
        <v>406</v>
      </c>
      <c r="C166" t="str">
        <f t="shared" si="29"/>
        <v>Steven Whitney</v>
      </c>
      <c r="D166" t="s">
        <v>53</v>
      </c>
      <c r="E166" t="str">
        <f t="shared" si="25"/>
        <v>Male</v>
      </c>
      <c r="F166">
        <v>56</v>
      </c>
      <c r="G166" t="s">
        <v>77</v>
      </c>
      <c r="H166" t="s">
        <v>78</v>
      </c>
      <c r="I166" t="s">
        <v>70</v>
      </c>
      <c r="J166">
        <v>15</v>
      </c>
      <c r="K166" s="4" t="str" cm="1">
        <f t="array" ref="K166">_xlfn.IFS(J166&lt;=5,"0-5",J166&lt;=10,"6-10",J166&lt;=15,"11-15",J166&lt;=20,"16-20",J166&gt;20,"21+")</f>
        <v>11-15</v>
      </c>
      <c r="L166">
        <v>40</v>
      </c>
      <c r="M166" s="2">
        <f>L166</f>
        <v>40</v>
      </c>
      <c r="N166" s="8">
        <f t="shared" si="26"/>
        <v>40</v>
      </c>
      <c r="O166">
        <v>3.7</v>
      </c>
      <c r="R166" s="1">
        <v>0.92</v>
      </c>
      <c r="S166" s="3">
        <f t="shared" si="33"/>
        <v>0.92</v>
      </c>
    </row>
    <row r="167" spans="1:19" x14ac:dyDescent="0.3">
      <c r="A167" t="s">
        <v>407</v>
      </c>
      <c r="B167" t="s">
        <v>408</v>
      </c>
      <c r="C167" t="str">
        <f t="shared" si="29"/>
        <v>Robin Acosta</v>
      </c>
      <c r="D167" t="s">
        <v>31</v>
      </c>
      <c r="E167" t="str">
        <f t="shared" si="25"/>
        <v>Female</v>
      </c>
      <c r="F167">
        <v>31</v>
      </c>
      <c r="G167" t="s">
        <v>145</v>
      </c>
      <c r="H167" t="s">
        <v>146</v>
      </c>
      <c r="I167" t="s">
        <v>27</v>
      </c>
      <c r="K167" s="4" t="str" cm="1">
        <f t="array" ref="K167">_xlfn.IFS(J167&lt;=5,"0-5",J167&lt;=10,"6-10",J167&lt;=15,"11-15",J167&lt;=20,"16-20",J167&gt;20,"21+")</f>
        <v>0-5</v>
      </c>
      <c r="L167" t="s">
        <v>44</v>
      </c>
      <c r="M167" s="2" t="str">
        <f>TRIM(MID(L167,FIND(" ",L167)+1,LEN(L167)))</f>
        <v>75</v>
      </c>
      <c r="N167" s="8">
        <f t="shared" si="26"/>
        <v>75</v>
      </c>
      <c r="O167">
        <v>1.3</v>
      </c>
      <c r="P167">
        <v>1</v>
      </c>
      <c r="Q167" t="s">
        <v>2073</v>
      </c>
      <c r="R167" s="1">
        <v>0.65</v>
      </c>
      <c r="S167" s="3">
        <f t="shared" si="33"/>
        <v>0.65</v>
      </c>
    </row>
    <row r="168" spans="1:19" x14ac:dyDescent="0.3">
      <c r="A168" t="s">
        <v>409</v>
      </c>
      <c r="B168" t="s">
        <v>410</v>
      </c>
      <c r="C168" t="str">
        <f t="shared" si="29"/>
        <v>John Smith</v>
      </c>
      <c r="D168" t="s">
        <v>40</v>
      </c>
      <c r="E168" t="str">
        <f t="shared" si="25"/>
        <v>Male</v>
      </c>
      <c r="F168">
        <v>60</v>
      </c>
      <c r="G168" t="s">
        <v>104</v>
      </c>
      <c r="H168" t="s">
        <v>105</v>
      </c>
      <c r="I168" t="s">
        <v>15</v>
      </c>
      <c r="J168">
        <v>33</v>
      </c>
      <c r="K168" s="4" t="str" cm="1">
        <f t="array" ref="K168">_xlfn.IFS(J168&lt;=5,"0-5",J168&lt;=10,"6-10",J168&lt;=15,"11-15",J168&lt;=20,"16-20",J168&gt;20,"21+")</f>
        <v>21+</v>
      </c>
      <c r="L168">
        <v>40</v>
      </c>
      <c r="M168" s="2">
        <f t="shared" ref="M168:M173" si="34">L168</f>
        <v>40</v>
      </c>
      <c r="N168" s="8">
        <f t="shared" si="26"/>
        <v>40</v>
      </c>
      <c r="O168">
        <v>3.6</v>
      </c>
      <c r="P168">
        <v>1</v>
      </c>
      <c r="Q168" t="s">
        <v>2073</v>
      </c>
      <c r="R168" s="1">
        <v>0.87</v>
      </c>
      <c r="S168" s="3">
        <f t="shared" si="33"/>
        <v>0.87</v>
      </c>
    </row>
    <row r="169" spans="1:19" x14ac:dyDescent="0.3">
      <c r="A169" t="s">
        <v>411</v>
      </c>
      <c r="B169" t="s">
        <v>412</v>
      </c>
      <c r="C169" t="str">
        <f t="shared" si="29"/>
        <v>Susan Baker</v>
      </c>
      <c r="D169" t="s">
        <v>12</v>
      </c>
      <c r="E169" t="str">
        <f t="shared" si="25"/>
        <v>Female</v>
      </c>
      <c r="F169">
        <v>31</v>
      </c>
      <c r="G169" t="s">
        <v>120</v>
      </c>
      <c r="H169" t="s">
        <v>14</v>
      </c>
      <c r="I169" t="s">
        <v>27</v>
      </c>
      <c r="J169">
        <v>10</v>
      </c>
      <c r="K169" s="4" t="str" cm="1">
        <f t="array" ref="K169">_xlfn.IFS(J169&lt;=5,"0-5",J169&lt;=10,"6-10",J169&lt;=15,"11-15",J169&lt;=20,"16-20",J169&gt;20,"21+")</f>
        <v>6-10</v>
      </c>
      <c r="L169">
        <v>75</v>
      </c>
      <c r="M169" s="2">
        <f t="shared" si="34"/>
        <v>75</v>
      </c>
      <c r="N169" s="8">
        <f t="shared" si="26"/>
        <v>75</v>
      </c>
      <c r="O169">
        <v>0</v>
      </c>
      <c r="P169" t="s">
        <v>151</v>
      </c>
      <c r="Q169" t="s">
        <v>2072</v>
      </c>
      <c r="R169" s="1">
        <v>0.7</v>
      </c>
      <c r="S169" s="3">
        <f t="shared" si="33"/>
        <v>0.7</v>
      </c>
    </row>
    <row r="170" spans="1:19" x14ac:dyDescent="0.3">
      <c r="A170" t="s">
        <v>413</v>
      </c>
      <c r="B170" t="s">
        <v>414</v>
      </c>
      <c r="C170" t="str">
        <f t="shared" si="29"/>
        <v>Anthony Larsen</v>
      </c>
      <c r="D170" t="s">
        <v>53</v>
      </c>
      <c r="E170" t="str">
        <f t="shared" si="25"/>
        <v>Male</v>
      </c>
      <c r="F170">
        <v>60</v>
      </c>
      <c r="G170" t="s">
        <v>63</v>
      </c>
      <c r="H170" t="s">
        <v>64</v>
      </c>
      <c r="I170" t="s">
        <v>70</v>
      </c>
      <c r="J170">
        <v>20</v>
      </c>
      <c r="K170" s="4" t="str" cm="1">
        <f t="array" ref="K170">_xlfn.IFS(J170&lt;=5,"0-5",J170&lt;=10,"6-10",J170&lt;=15,"11-15",J170&lt;=20,"16-20",J170&gt;20,"21+")</f>
        <v>16-20</v>
      </c>
      <c r="L170">
        <v>40</v>
      </c>
      <c r="M170" s="2">
        <f t="shared" si="34"/>
        <v>40</v>
      </c>
      <c r="N170" s="8">
        <f t="shared" si="26"/>
        <v>40</v>
      </c>
      <c r="O170">
        <v>1.4</v>
      </c>
      <c r="P170" t="s">
        <v>151</v>
      </c>
      <c r="Q170" t="s">
        <v>2072</v>
      </c>
      <c r="R170">
        <v>87</v>
      </c>
      <c r="S170" s="3">
        <f>R170/100</f>
        <v>0.87</v>
      </c>
    </row>
    <row r="171" spans="1:19" x14ac:dyDescent="0.3">
      <c r="A171" t="s">
        <v>415</v>
      </c>
      <c r="B171" t="s">
        <v>416</v>
      </c>
      <c r="C171" t="str">
        <f t="shared" si="29"/>
        <v>Nicholas Carpenter</v>
      </c>
      <c r="D171" t="s">
        <v>53</v>
      </c>
      <c r="E171" t="str">
        <f t="shared" si="25"/>
        <v>Male</v>
      </c>
      <c r="F171">
        <v>46</v>
      </c>
      <c r="G171" t="s">
        <v>127</v>
      </c>
      <c r="H171" t="s">
        <v>128</v>
      </c>
      <c r="I171" t="s">
        <v>81</v>
      </c>
      <c r="J171">
        <v>23</v>
      </c>
      <c r="K171" s="4" t="str" cm="1">
        <f t="array" ref="K171">_xlfn.IFS(J171&lt;=5,"0-5",J171&lt;=10,"6-10",J171&lt;=15,"11-15",J171&lt;=20,"16-20",J171&gt;20,"21+")</f>
        <v>21+</v>
      </c>
      <c r="L171">
        <v>20</v>
      </c>
      <c r="M171" s="2">
        <f t="shared" si="34"/>
        <v>20</v>
      </c>
      <c r="N171" s="8">
        <f t="shared" si="26"/>
        <v>20</v>
      </c>
      <c r="O171">
        <v>2.9</v>
      </c>
      <c r="P171" t="s">
        <v>23</v>
      </c>
      <c r="Q171" t="s">
        <v>2072</v>
      </c>
      <c r="R171" s="1">
        <v>0.72</v>
      </c>
      <c r="S171" s="3">
        <f t="shared" ref="S171:S173" si="35">R171</f>
        <v>0.72</v>
      </c>
    </row>
    <row r="172" spans="1:19" x14ac:dyDescent="0.3">
      <c r="A172" t="s">
        <v>417</v>
      </c>
      <c r="B172" t="s">
        <v>418</v>
      </c>
      <c r="C172" t="str">
        <f t="shared" si="29"/>
        <v>Debra Salazar</v>
      </c>
      <c r="D172" t="s">
        <v>26</v>
      </c>
      <c r="E172" t="str">
        <f t="shared" si="25"/>
        <v>Female</v>
      </c>
      <c r="G172" t="s">
        <v>34</v>
      </c>
      <c r="H172" t="s">
        <v>35</v>
      </c>
      <c r="I172" t="s">
        <v>9</v>
      </c>
      <c r="K172" s="4" t="str" cm="1">
        <f t="array" ref="K172">_xlfn.IFS(J172&lt;=5,"0-5",J172&lt;=10,"6-10",J172&lt;=15,"11-15",J172&lt;=20,"16-20",J172&gt;20,"21+")</f>
        <v>0-5</v>
      </c>
      <c r="L172">
        <v>40</v>
      </c>
      <c r="M172" s="2">
        <f t="shared" si="34"/>
        <v>40</v>
      </c>
      <c r="N172" s="8">
        <f t="shared" si="26"/>
        <v>40</v>
      </c>
      <c r="O172">
        <v>2.8</v>
      </c>
      <c r="P172" t="s">
        <v>23</v>
      </c>
      <c r="Q172" t="s">
        <v>2072</v>
      </c>
      <c r="R172" s="1">
        <v>0.8</v>
      </c>
      <c r="S172" s="3">
        <f t="shared" si="35"/>
        <v>0.8</v>
      </c>
    </row>
    <row r="173" spans="1:19" x14ac:dyDescent="0.3">
      <c r="A173" t="s">
        <v>419</v>
      </c>
      <c r="B173" t="s">
        <v>420</v>
      </c>
      <c r="C173" t="str">
        <f t="shared" si="29"/>
        <v>William Smith</v>
      </c>
      <c r="D173" t="s">
        <v>89</v>
      </c>
      <c r="E173" t="str">
        <f t="shared" si="25"/>
        <v>Male</v>
      </c>
      <c r="F173">
        <v>34</v>
      </c>
      <c r="G173" t="s">
        <v>77</v>
      </c>
      <c r="H173" t="s">
        <v>78</v>
      </c>
      <c r="I173" t="s">
        <v>65</v>
      </c>
      <c r="J173">
        <v>0</v>
      </c>
      <c r="K173" s="4" t="str" cm="1">
        <f t="array" ref="K173">_xlfn.IFS(J173&lt;=5,"0-5",J173&lt;=10,"6-10",J173&lt;=15,"11-15",J173&lt;=20,"16-20",J173&gt;20,"21+")</f>
        <v>0-5</v>
      </c>
      <c r="L173">
        <v>20</v>
      </c>
      <c r="M173" s="2">
        <f t="shared" si="34"/>
        <v>20</v>
      </c>
      <c r="N173" s="8">
        <f t="shared" si="26"/>
        <v>20</v>
      </c>
      <c r="O173">
        <v>1.7</v>
      </c>
      <c r="P173">
        <v>0</v>
      </c>
      <c r="Q173" t="s">
        <v>2072</v>
      </c>
      <c r="R173" s="1">
        <v>0.66</v>
      </c>
      <c r="S173" s="3">
        <f t="shared" si="35"/>
        <v>0.66</v>
      </c>
    </row>
    <row r="174" spans="1:19" x14ac:dyDescent="0.3">
      <c r="A174" t="s">
        <v>421</v>
      </c>
      <c r="B174" t="s">
        <v>422</v>
      </c>
      <c r="C174" t="str">
        <f t="shared" si="29"/>
        <v>Caroline Gross</v>
      </c>
      <c r="D174" t="s">
        <v>6</v>
      </c>
      <c r="E174" t="str">
        <f t="shared" si="25"/>
        <v>Female</v>
      </c>
      <c r="F174">
        <v>42</v>
      </c>
      <c r="G174" t="s">
        <v>34</v>
      </c>
      <c r="H174" t="s">
        <v>35</v>
      </c>
      <c r="I174" t="s">
        <v>22</v>
      </c>
      <c r="J174">
        <v>7</v>
      </c>
      <c r="K174" s="4" t="str" cm="1">
        <f t="array" ref="K174">_xlfn.IFS(J174&lt;=5,"0-5",J174&lt;=10,"6-10",J174&lt;=15,"11-15",J174&lt;=20,"16-20",J174&gt;20,"21+")</f>
        <v>6-10</v>
      </c>
      <c r="L174" t="s">
        <v>47</v>
      </c>
      <c r="M174" s="2" t="str">
        <f>TRIM(MID(L174,FIND(" ",L174)+1,LEN(L174)))</f>
        <v>40</v>
      </c>
      <c r="N174" s="8">
        <f t="shared" si="26"/>
        <v>40</v>
      </c>
      <c r="O174">
        <v>0</v>
      </c>
      <c r="P174">
        <v>1</v>
      </c>
      <c r="Q174" t="s">
        <v>2073</v>
      </c>
    </row>
    <row r="175" spans="1:19" x14ac:dyDescent="0.3">
      <c r="A175" t="s">
        <v>423</v>
      </c>
      <c r="B175" t="s">
        <v>424</v>
      </c>
      <c r="C175" t="str">
        <f t="shared" si="29"/>
        <v>Jeremy Sawyer</v>
      </c>
      <c r="D175" t="s">
        <v>84</v>
      </c>
      <c r="E175" t="str">
        <f t="shared" si="25"/>
        <v>Male</v>
      </c>
      <c r="F175">
        <v>31</v>
      </c>
      <c r="G175" t="s">
        <v>59</v>
      </c>
      <c r="H175" t="s">
        <v>14</v>
      </c>
      <c r="I175" t="s">
        <v>43</v>
      </c>
      <c r="J175">
        <v>4</v>
      </c>
      <c r="K175" s="4" t="str" cm="1">
        <f t="array" ref="K175">_xlfn.IFS(J175&lt;=5,"0-5",J175&lt;=10,"6-10",J175&lt;=15,"11-15",J175&lt;=20,"16-20",J175&gt;20,"21+")</f>
        <v>0-5</v>
      </c>
      <c r="L175" t="s">
        <v>44</v>
      </c>
      <c r="M175" s="2" t="str">
        <f>TRIM(MID(L175,FIND(" ",L175)+1,LEN(L175)))</f>
        <v>75</v>
      </c>
      <c r="N175" s="8">
        <f t="shared" si="26"/>
        <v>75</v>
      </c>
      <c r="O175">
        <v>1.1000000000000001</v>
      </c>
      <c r="P175" t="b">
        <v>1</v>
      </c>
      <c r="Q175" t="s">
        <v>2073</v>
      </c>
      <c r="R175" s="1">
        <v>0.64</v>
      </c>
      <c r="S175" s="3">
        <f t="shared" ref="S175:S187" si="36">R175</f>
        <v>0.64</v>
      </c>
    </row>
    <row r="176" spans="1:19" x14ac:dyDescent="0.3">
      <c r="A176" t="s">
        <v>425</v>
      </c>
      <c r="B176" t="s">
        <v>426</v>
      </c>
      <c r="C176" t="str">
        <f t="shared" si="29"/>
        <v>Eduardo Burns</v>
      </c>
      <c r="D176" t="s">
        <v>19</v>
      </c>
      <c r="E176" t="str">
        <f t="shared" si="25"/>
        <v>Male</v>
      </c>
      <c r="F176">
        <v>29</v>
      </c>
      <c r="G176" t="s">
        <v>99</v>
      </c>
      <c r="H176" t="s">
        <v>100</v>
      </c>
      <c r="I176" t="s">
        <v>65</v>
      </c>
      <c r="J176">
        <v>9</v>
      </c>
      <c r="K176" s="4" t="str" cm="1">
        <f t="array" ref="K176">_xlfn.IFS(J176&lt;=5,"0-5",J176&lt;=10,"6-10",J176&lt;=15,"11-15",J176&lt;=20,"16-20",J176&gt;20,"21+")</f>
        <v>6-10</v>
      </c>
      <c r="L176">
        <v>20</v>
      </c>
      <c r="M176" s="2">
        <f>L176</f>
        <v>20</v>
      </c>
      <c r="N176" s="8">
        <f t="shared" si="26"/>
        <v>20</v>
      </c>
      <c r="R176" s="1">
        <v>0.68</v>
      </c>
      <c r="S176" s="3">
        <f t="shared" si="36"/>
        <v>0.68</v>
      </c>
    </row>
    <row r="177" spans="1:19" x14ac:dyDescent="0.3">
      <c r="A177" t="s">
        <v>427</v>
      </c>
      <c r="B177" t="s">
        <v>428</v>
      </c>
      <c r="C177" t="str">
        <f t="shared" si="29"/>
        <v>Amanda Jones</v>
      </c>
      <c r="D177" t="s">
        <v>31</v>
      </c>
      <c r="E177" t="str">
        <f t="shared" si="25"/>
        <v>Female</v>
      </c>
      <c r="F177">
        <v>57</v>
      </c>
      <c r="G177" t="s">
        <v>13</v>
      </c>
      <c r="H177" t="s">
        <v>14</v>
      </c>
      <c r="I177" t="s">
        <v>22</v>
      </c>
      <c r="J177">
        <v>17</v>
      </c>
      <c r="K177" s="4" t="str" cm="1">
        <f t="array" ref="K177">_xlfn.IFS(J177&lt;=5,"0-5",J177&lt;=10,"6-10",J177&lt;=15,"11-15",J177&lt;=20,"16-20",J177&gt;20,"21+")</f>
        <v>16-20</v>
      </c>
      <c r="L177">
        <v>20</v>
      </c>
      <c r="M177" s="2">
        <f>L177</f>
        <v>20</v>
      </c>
      <c r="N177" s="8">
        <f t="shared" si="26"/>
        <v>20</v>
      </c>
      <c r="O177">
        <v>3.6</v>
      </c>
      <c r="P177">
        <v>0</v>
      </c>
      <c r="Q177" t="s">
        <v>2072</v>
      </c>
      <c r="R177" s="1">
        <v>0.63</v>
      </c>
      <c r="S177" s="3">
        <f t="shared" si="36"/>
        <v>0.63</v>
      </c>
    </row>
    <row r="178" spans="1:19" x14ac:dyDescent="0.3">
      <c r="A178" t="s">
        <v>429</v>
      </c>
      <c r="B178" t="s">
        <v>430</v>
      </c>
      <c r="C178" t="str">
        <f t="shared" si="29"/>
        <v>Frederick Ware</v>
      </c>
      <c r="D178" t="s">
        <v>53</v>
      </c>
      <c r="E178" t="str">
        <f t="shared" si="25"/>
        <v>Male</v>
      </c>
      <c r="F178">
        <v>47</v>
      </c>
      <c r="G178" t="s">
        <v>85</v>
      </c>
      <c r="H178" t="s">
        <v>86</v>
      </c>
      <c r="I178" t="s">
        <v>81</v>
      </c>
      <c r="J178">
        <v>8</v>
      </c>
      <c r="K178" s="4" t="str" cm="1">
        <f t="array" ref="K178">_xlfn.IFS(J178&lt;=5,"0-5",J178&lt;=10,"6-10",J178&lt;=15,"11-15",J178&lt;=20,"16-20",J178&gt;20,"21+")</f>
        <v>6-10</v>
      </c>
      <c r="L178">
        <v>20</v>
      </c>
      <c r="M178" s="2">
        <f>L178</f>
        <v>20</v>
      </c>
      <c r="N178" s="8">
        <f t="shared" si="26"/>
        <v>20</v>
      </c>
      <c r="O178">
        <v>4.5</v>
      </c>
      <c r="P178">
        <v>1</v>
      </c>
      <c r="Q178" t="s">
        <v>2073</v>
      </c>
      <c r="R178" s="1">
        <v>0.72</v>
      </c>
      <c r="S178" s="3">
        <f t="shared" si="36"/>
        <v>0.72</v>
      </c>
    </row>
    <row r="179" spans="1:19" x14ac:dyDescent="0.3">
      <c r="A179" t="s">
        <v>431</v>
      </c>
      <c r="B179" t="s">
        <v>432</v>
      </c>
      <c r="C179" t="str">
        <f t="shared" si="29"/>
        <v>Michael Black</v>
      </c>
      <c r="D179" t="s">
        <v>53</v>
      </c>
      <c r="E179" t="str">
        <f t="shared" si="25"/>
        <v>Male</v>
      </c>
      <c r="F179">
        <v>47</v>
      </c>
      <c r="G179" t="s">
        <v>145</v>
      </c>
      <c r="H179" t="s">
        <v>146</v>
      </c>
      <c r="I179" t="s">
        <v>36</v>
      </c>
      <c r="J179">
        <v>14</v>
      </c>
      <c r="K179" s="4" t="str" cm="1">
        <f t="array" ref="K179">_xlfn.IFS(J179&lt;=5,"0-5",J179&lt;=10,"6-10",J179&lt;=15,"11-15",J179&lt;=20,"16-20",J179&gt;20,"21+")</f>
        <v>11-15</v>
      </c>
      <c r="L179" t="s">
        <v>37</v>
      </c>
      <c r="M179" s="2" t="str">
        <f>SUBSTITUTE(L179,"$","")</f>
        <v>30</v>
      </c>
      <c r="N179" s="8">
        <f t="shared" si="26"/>
        <v>30</v>
      </c>
      <c r="O179">
        <v>0</v>
      </c>
      <c r="P179" t="b">
        <v>1</v>
      </c>
      <c r="Q179" t="s">
        <v>2073</v>
      </c>
      <c r="R179" s="1">
        <v>0.86</v>
      </c>
      <c r="S179" s="3">
        <f t="shared" si="36"/>
        <v>0.86</v>
      </c>
    </row>
    <row r="180" spans="1:19" x14ac:dyDescent="0.3">
      <c r="A180" t="s">
        <v>433</v>
      </c>
      <c r="B180" t="s">
        <v>434</v>
      </c>
      <c r="C180" t="str">
        <f t="shared" si="29"/>
        <v>Patricia Sanders</v>
      </c>
      <c r="D180" t="s">
        <v>12</v>
      </c>
      <c r="E180" t="str">
        <f t="shared" si="25"/>
        <v>Female</v>
      </c>
      <c r="F180">
        <v>45</v>
      </c>
      <c r="G180" t="s">
        <v>127</v>
      </c>
      <c r="H180" t="s">
        <v>128</v>
      </c>
      <c r="I180" t="s">
        <v>22</v>
      </c>
      <c r="J180">
        <v>21</v>
      </c>
      <c r="K180" s="4" t="str" cm="1">
        <f t="array" ref="K180">_xlfn.IFS(J180&lt;=5,"0-5",J180&lt;=10,"6-10",J180&lt;=15,"11-15",J180&lt;=20,"16-20",J180&gt;20,"21+")</f>
        <v>21+</v>
      </c>
      <c r="L180" t="s">
        <v>101</v>
      </c>
      <c r="M180" s="2" t="str">
        <f>TRIM(MID(L180,FIND(" ",L180)+1,LEN(L180)))</f>
        <v>30</v>
      </c>
      <c r="N180" s="8">
        <f t="shared" si="26"/>
        <v>30</v>
      </c>
      <c r="O180">
        <v>1.5</v>
      </c>
      <c r="P180">
        <v>1</v>
      </c>
      <c r="Q180" t="s">
        <v>2073</v>
      </c>
      <c r="R180" s="1">
        <v>0.73</v>
      </c>
      <c r="S180" s="3">
        <f t="shared" si="36"/>
        <v>0.73</v>
      </c>
    </row>
    <row r="181" spans="1:19" x14ac:dyDescent="0.3">
      <c r="A181" t="s">
        <v>435</v>
      </c>
      <c r="B181" t="s">
        <v>436</v>
      </c>
      <c r="C181" t="str">
        <f t="shared" si="29"/>
        <v>Marc Joseph</v>
      </c>
      <c r="D181" t="s">
        <v>40</v>
      </c>
      <c r="E181" t="str">
        <f t="shared" si="25"/>
        <v>Male</v>
      </c>
      <c r="F181">
        <v>24</v>
      </c>
      <c r="G181" t="s">
        <v>54</v>
      </c>
      <c r="H181" t="s">
        <v>55</v>
      </c>
      <c r="I181" t="s">
        <v>106</v>
      </c>
      <c r="J181">
        <v>1</v>
      </c>
      <c r="K181" s="4" t="str" cm="1">
        <f t="array" ref="K181">_xlfn.IFS(J181&lt;=5,"0-5",J181&lt;=10,"6-10",J181&lt;=15,"11-15",J181&lt;=20,"16-20",J181&gt;20,"21+")</f>
        <v>0-5</v>
      </c>
      <c r="L181" t="s">
        <v>37</v>
      </c>
      <c r="M181" s="2" t="str">
        <f>SUBSTITUTE(L181,"$","")</f>
        <v>30</v>
      </c>
      <c r="N181" s="8">
        <f t="shared" si="26"/>
        <v>30</v>
      </c>
      <c r="O181">
        <v>3.7</v>
      </c>
      <c r="P181" t="s">
        <v>151</v>
      </c>
      <c r="Q181" t="s">
        <v>2072</v>
      </c>
      <c r="R181" s="1">
        <v>0.95</v>
      </c>
      <c r="S181" s="3">
        <f t="shared" si="36"/>
        <v>0.95</v>
      </c>
    </row>
    <row r="182" spans="1:19" x14ac:dyDescent="0.3">
      <c r="A182" t="s">
        <v>437</v>
      </c>
      <c r="B182" t="s">
        <v>438</v>
      </c>
      <c r="C182" t="str">
        <f t="shared" si="29"/>
        <v>Vanessa White</v>
      </c>
      <c r="D182" t="s">
        <v>12</v>
      </c>
      <c r="E182" t="str">
        <f t="shared" si="25"/>
        <v>Female</v>
      </c>
      <c r="F182">
        <v>31</v>
      </c>
      <c r="G182" t="s">
        <v>63</v>
      </c>
      <c r="H182" t="s">
        <v>64</v>
      </c>
      <c r="I182" t="s">
        <v>15</v>
      </c>
      <c r="J182">
        <v>12</v>
      </c>
      <c r="K182" s="4" t="str" cm="1">
        <f t="array" ref="K182">_xlfn.IFS(J182&lt;=5,"0-5",J182&lt;=10,"6-10",J182&lt;=15,"11-15",J182&lt;=20,"16-20",J182&gt;20,"21+")</f>
        <v>11-15</v>
      </c>
      <c r="L182">
        <v>20</v>
      </c>
      <c r="M182" s="2">
        <f>L182</f>
        <v>20</v>
      </c>
      <c r="N182" s="8">
        <f t="shared" si="26"/>
        <v>20</v>
      </c>
      <c r="O182">
        <v>2.2999999999999998</v>
      </c>
      <c r="P182" t="b">
        <v>0</v>
      </c>
      <c r="Q182" t="s">
        <v>2072</v>
      </c>
      <c r="R182" s="1">
        <v>0.9</v>
      </c>
      <c r="S182" s="3">
        <f t="shared" si="36"/>
        <v>0.9</v>
      </c>
    </row>
    <row r="183" spans="1:19" x14ac:dyDescent="0.3">
      <c r="A183" t="s">
        <v>439</v>
      </c>
      <c r="B183" t="s">
        <v>440</v>
      </c>
      <c r="C183" t="str">
        <f t="shared" si="29"/>
        <v>Jennifer Garcia</v>
      </c>
      <c r="D183" t="s">
        <v>26</v>
      </c>
      <c r="E183" t="str">
        <f t="shared" si="25"/>
        <v>Female</v>
      </c>
      <c r="F183">
        <v>20</v>
      </c>
      <c r="G183" t="s">
        <v>171</v>
      </c>
      <c r="H183" t="s">
        <v>64</v>
      </c>
      <c r="I183" t="s">
        <v>22</v>
      </c>
      <c r="J183">
        <v>2</v>
      </c>
      <c r="K183" s="4" t="str" cm="1">
        <f t="array" ref="K183">_xlfn.IFS(J183&lt;=5,"0-5",J183&lt;=10,"6-10",J183&lt;=15,"11-15",J183&lt;=20,"16-20",J183&gt;20,"21+")</f>
        <v>0-5</v>
      </c>
      <c r="L183" t="s">
        <v>113</v>
      </c>
      <c r="M183" s="2" t="str">
        <f>SUBSTITUTE(L183,"$","")</f>
        <v>20</v>
      </c>
      <c r="N183" s="8">
        <f t="shared" si="26"/>
        <v>20</v>
      </c>
      <c r="O183">
        <v>2.8</v>
      </c>
      <c r="P183">
        <v>0</v>
      </c>
      <c r="Q183" t="s">
        <v>2072</v>
      </c>
      <c r="R183" s="1">
        <v>0.78</v>
      </c>
      <c r="S183" s="3">
        <f t="shared" si="36"/>
        <v>0.78</v>
      </c>
    </row>
    <row r="184" spans="1:19" x14ac:dyDescent="0.3">
      <c r="A184" t="s">
        <v>441</v>
      </c>
      <c r="B184" t="s">
        <v>442</v>
      </c>
      <c r="C184" t="str">
        <f t="shared" si="29"/>
        <v>Michael Zavala</v>
      </c>
      <c r="D184" t="s">
        <v>53</v>
      </c>
      <c r="E184" t="str">
        <f t="shared" si="25"/>
        <v>Male</v>
      </c>
      <c r="F184">
        <v>38</v>
      </c>
      <c r="G184" t="s">
        <v>77</v>
      </c>
      <c r="H184" t="s">
        <v>78</v>
      </c>
      <c r="I184" t="s">
        <v>27</v>
      </c>
      <c r="J184">
        <v>3</v>
      </c>
      <c r="K184" s="4" t="str" cm="1">
        <f t="array" ref="K184">_xlfn.IFS(J184&lt;=5,"0-5",J184&lt;=10,"6-10",J184&lt;=15,"11-15",J184&lt;=20,"16-20",J184&gt;20,"21+")</f>
        <v>0-5</v>
      </c>
      <c r="L184">
        <v>30</v>
      </c>
      <c r="M184" s="2">
        <f>L184</f>
        <v>30</v>
      </c>
      <c r="N184" s="8">
        <f t="shared" si="26"/>
        <v>30</v>
      </c>
      <c r="O184">
        <v>3.5</v>
      </c>
      <c r="P184" t="s">
        <v>151</v>
      </c>
      <c r="Q184" t="s">
        <v>2072</v>
      </c>
      <c r="R184" s="1">
        <v>0.97</v>
      </c>
      <c r="S184" s="3">
        <f t="shared" si="36"/>
        <v>0.97</v>
      </c>
    </row>
    <row r="185" spans="1:19" x14ac:dyDescent="0.3">
      <c r="A185" t="s">
        <v>443</v>
      </c>
      <c r="B185" t="s">
        <v>444</v>
      </c>
      <c r="C185" t="str">
        <f t="shared" si="29"/>
        <v>Kimberly Williams</v>
      </c>
      <c r="D185" t="s">
        <v>31</v>
      </c>
      <c r="E185" t="str">
        <f t="shared" si="25"/>
        <v>Female</v>
      </c>
      <c r="F185">
        <v>33</v>
      </c>
      <c r="G185" t="s">
        <v>20</v>
      </c>
      <c r="H185" t="s">
        <v>21</v>
      </c>
      <c r="I185" t="s">
        <v>65</v>
      </c>
      <c r="J185">
        <v>11</v>
      </c>
      <c r="K185" s="4" t="str" cm="1">
        <f t="array" ref="K185">_xlfn.IFS(J185&lt;=5,"0-5",J185&lt;=10,"6-10",J185&lt;=15,"11-15",J185&lt;=20,"16-20",J185&gt;20,"21+")</f>
        <v>11-15</v>
      </c>
      <c r="N185" s="8" t="str">
        <f t="shared" si="26"/>
        <v/>
      </c>
      <c r="O185">
        <v>0</v>
      </c>
      <c r="P185" t="s">
        <v>60</v>
      </c>
      <c r="Q185" t="s">
        <v>2073</v>
      </c>
      <c r="R185" s="1">
        <v>0.65</v>
      </c>
      <c r="S185" s="3">
        <f t="shared" si="36"/>
        <v>0.65</v>
      </c>
    </row>
    <row r="186" spans="1:19" x14ac:dyDescent="0.3">
      <c r="A186" t="s">
        <v>445</v>
      </c>
      <c r="B186" t="s">
        <v>446</v>
      </c>
      <c r="C186" t="str">
        <f t="shared" si="29"/>
        <v>Elizabeth Jenkins</v>
      </c>
      <c r="D186" t="s">
        <v>26</v>
      </c>
      <c r="E186" t="str">
        <f t="shared" si="25"/>
        <v>Female</v>
      </c>
      <c r="F186">
        <v>31</v>
      </c>
      <c r="G186" t="s">
        <v>13</v>
      </c>
      <c r="H186" t="s">
        <v>14</v>
      </c>
      <c r="I186" t="s">
        <v>27</v>
      </c>
      <c r="J186">
        <v>4</v>
      </c>
      <c r="K186" s="4" t="str" cm="1">
        <f t="array" ref="K186">_xlfn.IFS(J186&lt;=5,"0-5",J186&lt;=10,"6-10",J186&lt;=15,"11-15",J186&lt;=20,"16-20",J186&gt;20,"21+")</f>
        <v>0-5</v>
      </c>
      <c r="L186">
        <v>40</v>
      </c>
      <c r="M186" s="2">
        <f>L186</f>
        <v>40</v>
      </c>
      <c r="N186" s="8">
        <f t="shared" si="26"/>
        <v>40</v>
      </c>
      <c r="O186">
        <v>3.2</v>
      </c>
      <c r="P186">
        <v>1</v>
      </c>
      <c r="Q186" t="s">
        <v>2073</v>
      </c>
      <c r="R186" s="1">
        <v>0.78</v>
      </c>
      <c r="S186" s="3">
        <f t="shared" si="36"/>
        <v>0.78</v>
      </c>
    </row>
    <row r="187" spans="1:19" x14ac:dyDescent="0.3">
      <c r="A187" t="s">
        <v>447</v>
      </c>
      <c r="B187" t="s">
        <v>448</v>
      </c>
      <c r="C187" t="str">
        <f t="shared" si="29"/>
        <v>Brandon Ford</v>
      </c>
      <c r="D187" t="s">
        <v>40</v>
      </c>
      <c r="E187" t="str">
        <f t="shared" si="25"/>
        <v>Male</v>
      </c>
      <c r="F187">
        <v>41</v>
      </c>
      <c r="G187" t="s">
        <v>182</v>
      </c>
      <c r="H187" t="s">
        <v>64</v>
      </c>
      <c r="I187" t="s">
        <v>106</v>
      </c>
      <c r="J187">
        <v>21</v>
      </c>
      <c r="K187" s="4" t="str" cm="1">
        <f t="array" ref="K187">_xlfn.IFS(J187&lt;=5,"0-5",J187&lt;=10,"6-10",J187&lt;=15,"11-15",J187&lt;=20,"16-20",J187&gt;20,"21+")</f>
        <v>21+</v>
      </c>
      <c r="L187">
        <v>50</v>
      </c>
      <c r="M187" s="2">
        <f>L187</f>
        <v>50</v>
      </c>
      <c r="N187" s="8">
        <f t="shared" si="26"/>
        <v>50</v>
      </c>
      <c r="O187">
        <v>3.3</v>
      </c>
      <c r="P187" t="s">
        <v>66</v>
      </c>
      <c r="Q187" t="s">
        <v>2073</v>
      </c>
      <c r="R187" s="1">
        <v>0.65</v>
      </c>
      <c r="S187" s="3">
        <f t="shared" si="36"/>
        <v>0.65</v>
      </c>
    </row>
    <row r="188" spans="1:19" x14ac:dyDescent="0.3">
      <c r="A188" t="s">
        <v>449</v>
      </c>
      <c r="B188" t="s">
        <v>450</v>
      </c>
      <c r="C188" t="str">
        <f t="shared" si="29"/>
        <v>Justin House</v>
      </c>
      <c r="D188" t="s">
        <v>53</v>
      </c>
      <c r="E188" t="str">
        <f t="shared" si="25"/>
        <v>Male</v>
      </c>
      <c r="F188">
        <v>54</v>
      </c>
      <c r="G188" t="s">
        <v>54</v>
      </c>
      <c r="H188" t="s">
        <v>55</v>
      </c>
      <c r="I188" t="s">
        <v>27</v>
      </c>
      <c r="J188">
        <v>0</v>
      </c>
      <c r="K188" s="4" t="str" cm="1">
        <f t="array" ref="K188">_xlfn.IFS(J188&lt;=5,"0-5",J188&lt;=10,"6-10",J188&lt;=15,"11-15",J188&lt;=20,"16-20",J188&gt;20,"21+")</f>
        <v>0-5</v>
      </c>
      <c r="L188" t="s">
        <v>113</v>
      </c>
      <c r="M188" s="2" t="str">
        <f>SUBSTITUTE(L188,"$","")</f>
        <v>20</v>
      </c>
      <c r="N188" s="8">
        <f t="shared" si="26"/>
        <v>20</v>
      </c>
      <c r="O188">
        <v>4.9000000000000004</v>
      </c>
    </row>
    <row r="189" spans="1:19" x14ac:dyDescent="0.3">
      <c r="A189" t="s">
        <v>451</v>
      </c>
      <c r="B189" t="s">
        <v>452</v>
      </c>
      <c r="C189" t="str">
        <f t="shared" si="29"/>
        <v>Henry Mullen</v>
      </c>
      <c r="D189" t="s">
        <v>19</v>
      </c>
      <c r="E189" t="str">
        <f t="shared" si="25"/>
        <v>Male</v>
      </c>
      <c r="F189">
        <v>50</v>
      </c>
      <c r="G189" t="s">
        <v>171</v>
      </c>
      <c r="H189" t="s">
        <v>64</v>
      </c>
      <c r="I189" t="s">
        <v>43</v>
      </c>
      <c r="J189">
        <v>6</v>
      </c>
      <c r="K189" s="4" t="str" cm="1">
        <f t="array" ref="K189">_xlfn.IFS(J189&lt;=5,"0-5",J189&lt;=10,"6-10",J189&lt;=15,"11-15",J189&lt;=20,"16-20",J189&gt;20,"21+")</f>
        <v>6-10</v>
      </c>
      <c r="L189">
        <v>30</v>
      </c>
      <c r="M189" s="2">
        <f>L189</f>
        <v>30</v>
      </c>
      <c r="N189" s="8">
        <f t="shared" si="26"/>
        <v>30</v>
      </c>
      <c r="O189">
        <v>2.2000000000000002</v>
      </c>
      <c r="P189">
        <v>1</v>
      </c>
      <c r="Q189" t="s">
        <v>2073</v>
      </c>
      <c r="R189" s="1">
        <v>0.95</v>
      </c>
      <c r="S189" s="3">
        <f t="shared" ref="S189:S190" si="37">R189</f>
        <v>0.95</v>
      </c>
    </row>
    <row r="190" spans="1:19" x14ac:dyDescent="0.3">
      <c r="A190" t="s">
        <v>453</v>
      </c>
      <c r="B190" t="s">
        <v>454</v>
      </c>
      <c r="C190" t="str">
        <f t="shared" si="29"/>
        <v>Jesse Cochran</v>
      </c>
      <c r="D190" t="s">
        <v>53</v>
      </c>
      <c r="E190" t="str">
        <f t="shared" si="25"/>
        <v>Male</v>
      </c>
      <c r="F190">
        <v>48</v>
      </c>
      <c r="G190" t="s">
        <v>99</v>
      </c>
      <c r="H190" t="s">
        <v>100</v>
      </c>
      <c r="I190" t="s">
        <v>106</v>
      </c>
      <c r="J190">
        <v>18</v>
      </c>
      <c r="K190" s="4" t="str" cm="1">
        <f t="array" ref="K190">_xlfn.IFS(J190&lt;=5,"0-5",J190&lt;=10,"6-10",J190&lt;=15,"11-15",J190&lt;=20,"16-20",J190&gt;20,"21+")</f>
        <v>16-20</v>
      </c>
      <c r="L190" t="s">
        <v>47</v>
      </c>
      <c r="M190" s="2" t="str">
        <f>TRIM(MID(L190,FIND(" ",L190)+1,LEN(L190)))</f>
        <v>40</v>
      </c>
      <c r="N190" s="8">
        <f t="shared" si="26"/>
        <v>40</v>
      </c>
      <c r="P190">
        <v>1</v>
      </c>
      <c r="Q190" t="s">
        <v>2073</v>
      </c>
      <c r="R190" s="1">
        <v>0.88</v>
      </c>
      <c r="S190" s="3">
        <f t="shared" si="37"/>
        <v>0.88</v>
      </c>
    </row>
    <row r="191" spans="1:19" x14ac:dyDescent="0.3">
      <c r="A191" t="s">
        <v>455</v>
      </c>
      <c r="B191" t="s">
        <v>456</v>
      </c>
      <c r="C191" t="str">
        <f t="shared" si="29"/>
        <v>Melissa Rich</v>
      </c>
      <c r="D191" t="s">
        <v>6</v>
      </c>
      <c r="E191" t="str">
        <f t="shared" si="25"/>
        <v>Female</v>
      </c>
      <c r="F191">
        <v>49</v>
      </c>
      <c r="G191" t="s">
        <v>171</v>
      </c>
      <c r="H191" t="s">
        <v>64</v>
      </c>
      <c r="I191" t="s">
        <v>22</v>
      </c>
      <c r="K191" s="4" t="str" cm="1">
        <f t="array" ref="K191">_xlfn.IFS(J191&lt;=5,"0-5",J191&lt;=10,"6-10",J191&lt;=15,"11-15",J191&lt;=20,"16-20",J191&gt;20,"21+")</f>
        <v>0-5</v>
      </c>
      <c r="N191" s="8" t="str">
        <f t="shared" si="26"/>
        <v/>
      </c>
      <c r="O191">
        <v>1.8</v>
      </c>
      <c r="P191">
        <v>0</v>
      </c>
      <c r="Q191" t="s">
        <v>2072</v>
      </c>
    </row>
    <row r="192" spans="1:19" x14ac:dyDescent="0.3">
      <c r="A192" t="s">
        <v>457</v>
      </c>
      <c r="B192" t="s">
        <v>458</v>
      </c>
      <c r="C192" t="str">
        <f t="shared" si="29"/>
        <v>Patrick Dunlap</v>
      </c>
      <c r="D192" t="s">
        <v>89</v>
      </c>
      <c r="E192" t="str">
        <f t="shared" si="25"/>
        <v>Male</v>
      </c>
      <c r="F192">
        <v>21</v>
      </c>
      <c r="G192" t="s">
        <v>104</v>
      </c>
      <c r="H192" t="s">
        <v>105</v>
      </c>
      <c r="I192" t="s">
        <v>22</v>
      </c>
      <c r="J192">
        <v>1</v>
      </c>
      <c r="K192" s="4" t="str" cm="1">
        <f t="array" ref="K192">_xlfn.IFS(J192&lt;=5,"0-5",J192&lt;=10,"6-10",J192&lt;=15,"11-15",J192&lt;=20,"16-20",J192&gt;20,"21+")</f>
        <v>0-5</v>
      </c>
      <c r="L192">
        <v>75</v>
      </c>
      <c r="M192" s="2">
        <f>L192</f>
        <v>75</v>
      </c>
      <c r="N192" s="8">
        <f t="shared" si="26"/>
        <v>75</v>
      </c>
      <c r="O192">
        <v>4.5999999999999996</v>
      </c>
      <c r="P192">
        <v>0</v>
      </c>
      <c r="Q192" t="s">
        <v>2072</v>
      </c>
      <c r="R192" s="1">
        <v>0.92</v>
      </c>
      <c r="S192" s="3">
        <f t="shared" ref="S192:S197" si="38">R192</f>
        <v>0.92</v>
      </c>
    </row>
    <row r="193" spans="1:19" x14ac:dyDescent="0.3">
      <c r="A193" t="s">
        <v>459</v>
      </c>
      <c r="B193" t="s">
        <v>460</v>
      </c>
      <c r="C193" t="str">
        <f t="shared" si="29"/>
        <v>Troy Carson</v>
      </c>
      <c r="D193" t="s">
        <v>84</v>
      </c>
      <c r="E193" t="str">
        <f t="shared" si="25"/>
        <v>Male</v>
      </c>
      <c r="F193">
        <v>58</v>
      </c>
      <c r="G193" t="s">
        <v>13</v>
      </c>
      <c r="H193" t="s">
        <v>14</v>
      </c>
      <c r="I193" t="s">
        <v>22</v>
      </c>
      <c r="J193">
        <v>20</v>
      </c>
      <c r="K193" s="4" t="str" cm="1">
        <f t="array" ref="K193">_xlfn.IFS(J193&lt;=5,"0-5",J193&lt;=10,"6-10",J193&lt;=15,"11-15",J193&lt;=20,"16-20",J193&gt;20,"21+")</f>
        <v>16-20</v>
      </c>
      <c r="L193">
        <v>75</v>
      </c>
      <c r="M193" s="2">
        <f>L193</f>
        <v>75</v>
      </c>
      <c r="N193" s="8">
        <f t="shared" si="26"/>
        <v>75</v>
      </c>
      <c r="O193">
        <v>2.8</v>
      </c>
      <c r="P193" t="s">
        <v>151</v>
      </c>
      <c r="Q193" t="s">
        <v>2072</v>
      </c>
      <c r="R193" s="1">
        <v>0.75</v>
      </c>
      <c r="S193" s="3">
        <f t="shared" si="38"/>
        <v>0.75</v>
      </c>
    </row>
    <row r="194" spans="1:19" x14ac:dyDescent="0.3">
      <c r="A194" t="s">
        <v>461</v>
      </c>
      <c r="B194" t="s">
        <v>255</v>
      </c>
      <c r="C194" t="str">
        <f t="shared" si="29"/>
        <v>Matthew Smith</v>
      </c>
      <c r="D194" t="s">
        <v>53</v>
      </c>
      <c r="E194" t="str">
        <f t="shared" ref="E194:E257" si="39">IF(LOWER(LEFT(D194,1))="f","Female","Male")</f>
        <v>Male</v>
      </c>
      <c r="F194">
        <v>41</v>
      </c>
      <c r="G194" t="s">
        <v>7</v>
      </c>
      <c r="H194" t="s">
        <v>8</v>
      </c>
      <c r="I194" t="s">
        <v>81</v>
      </c>
      <c r="K194" s="4" t="str" cm="1">
        <f t="array" ref="K194">_xlfn.IFS(J194&lt;=5,"0-5",J194&lt;=10,"6-10",J194&lt;=15,"11-15",J194&lt;=20,"16-20",J194&gt;20,"21+")</f>
        <v>0-5</v>
      </c>
      <c r="L194" t="s">
        <v>37</v>
      </c>
      <c r="M194" s="2" t="str">
        <f>SUBSTITUTE(L194,"$","")</f>
        <v>30</v>
      </c>
      <c r="N194" s="8">
        <f t="shared" si="26"/>
        <v>30</v>
      </c>
      <c r="O194">
        <v>1.4</v>
      </c>
      <c r="P194" t="b">
        <v>0</v>
      </c>
      <c r="Q194" t="s">
        <v>2072</v>
      </c>
      <c r="R194" s="1">
        <v>0.74</v>
      </c>
      <c r="S194" s="3">
        <f t="shared" si="38"/>
        <v>0.74</v>
      </c>
    </row>
    <row r="195" spans="1:19" x14ac:dyDescent="0.3">
      <c r="A195" t="s">
        <v>462</v>
      </c>
      <c r="B195" t="s">
        <v>463</v>
      </c>
      <c r="C195" t="str">
        <f t="shared" si="29"/>
        <v>Jennifer Cherry</v>
      </c>
      <c r="D195" t="s">
        <v>26</v>
      </c>
      <c r="E195" t="str">
        <f t="shared" si="39"/>
        <v>Female</v>
      </c>
      <c r="F195">
        <v>58</v>
      </c>
      <c r="G195" t="s">
        <v>116</v>
      </c>
      <c r="H195" t="s">
        <v>117</v>
      </c>
      <c r="I195" t="s">
        <v>9</v>
      </c>
      <c r="J195">
        <v>25</v>
      </c>
      <c r="K195" s="4" t="str" cm="1">
        <f t="array" ref="K195">_xlfn.IFS(J195&lt;=5,"0-5",J195&lt;=10,"6-10",J195&lt;=15,"11-15",J195&lt;=20,"16-20",J195&gt;20,"21+")</f>
        <v>21+</v>
      </c>
      <c r="L195" t="s">
        <v>37</v>
      </c>
      <c r="M195" s="2" t="str">
        <f>SUBSTITUTE(L195,"$","")</f>
        <v>30</v>
      </c>
      <c r="N195" s="8">
        <f t="shared" ref="N195:N258" si="40">IF(M195="", "", VALUE(M195))</f>
        <v>30</v>
      </c>
      <c r="O195">
        <v>4.2</v>
      </c>
      <c r="P195" t="s">
        <v>66</v>
      </c>
      <c r="Q195" t="s">
        <v>2073</v>
      </c>
      <c r="R195" s="1">
        <v>0.71</v>
      </c>
      <c r="S195" s="3">
        <f t="shared" si="38"/>
        <v>0.71</v>
      </c>
    </row>
    <row r="196" spans="1:19" x14ac:dyDescent="0.3">
      <c r="A196" t="s">
        <v>464</v>
      </c>
      <c r="B196" t="s">
        <v>465</v>
      </c>
      <c r="C196" t="str">
        <f t="shared" si="29"/>
        <v>Brandi Tucker</v>
      </c>
      <c r="D196" t="s">
        <v>31</v>
      </c>
      <c r="E196" t="str">
        <f t="shared" si="39"/>
        <v>Female</v>
      </c>
      <c r="F196">
        <v>50</v>
      </c>
      <c r="G196" t="s">
        <v>145</v>
      </c>
      <c r="H196" t="s">
        <v>146</v>
      </c>
      <c r="I196" t="s">
        <v>22</v>
      </c>
      <c r="J196">
        <v>20</v>
      </c>
      <c r="K196" s="4" t="str" cm="1">
        <f t="array" ref="K196">_xlfn.IFS(J196&lt;=5,"0-5",J196&lt;=10,"6-10",J196&lt;=15,"11-15",J196&lt;=20,"16-20",J196&gt;20,"21+")</f>
        <v>16-20</v>
      </c>
      <c r="L196" t="s">
        <v>47</v>
      </c>
      <c r="M196" s="2" t="str">
        <f>TRIM(MID(L196,FIND(" ",L196)+1,LEN(L196)))</f>
        <v>40</v>
      </c>
      <c r="N196" s="8">
        <f t="shared" si="40"/>
        <v>40</v>
      </c>
      <c r="O196">
        <v>3.6</v>
      </c>
      <c r="P196">
        <v>1</v>
      </c>
      <c r="Q196" t="s">
        <v>2073</v>
      </c>
      <c r="R196" s="1">
        <v>0.89</v>
      </c>
      <c r="S196" s="3">
        <f t="shared" si="38"/>
        <v>0.89</v>
      </c>
    </row>
    <row r="197" spans="1:19" x14ac:dyDescent="0.3">
      <c r="A197" t="s">
        <v>466</v>
      </c>
      <c r="B197" t="s">
        <v>467</v>
      </c>
      <c r="C197" t="str">
        <f t="shared" si="29"/>
        <v>Zachary Burke</v>
      </c>
      <c r="D197" t="s">
        <v>40</v>
      </c>
      <c r="E197" t="str">
        <f t="shared" si="39"/>
        <v>Male</v>
      </c>
      <c r="F197">
        <v>52</v>
      </c>
      <c r="G197" t="s">
        <v>41</v>
      </c>
      <c r="H197" t="s">
        <v>42</v>
      </c>
      <c r="I197" t="s">
        <v>27</v>
      </c>
      <c r="J197">
        <v>33</v>
      </c>
      <c r="K197" s="4" t="str" cm="1">
        <f t="array" ref="K197">_xlfn.IFS(J197&lt;=5,"0-5",J197&lt;=10,"6-10",J197&lt;=15,"11-15",J197&lt;=20,"16-20",J197&gt;20,"21+")</f>
        <v>21+</v>
      </c>
      <c r="L197" t="s">
        <v>221</v>
      </c>
      <c r="M197" s="2" t="str">
        <f>SUBSTITUTE(L197,"$","")</f>
        <v>100</v>
      </c>
      <c r="N197" s="8">
        <f t="shared" si="40"/>
        <v>100</v>
      </c>
      <c r="O197">
        <v>1.6</v>
      </c>
      <c r="R197" s="1">
        <v>0.66</v>
      </c>
      <c r="S197" s="3">
        <f t="shared" si="38"/>
        <v>0.66</v>
      </c>
    </row>
    <row r="198" spans="1:19" x14ac:dyDescent="0.3">
      <c r="A198" t="s">
        <v>468</v>
      </c>
      <c r="B198" t="s">
        <v>469</v>
      </c>
      <c r="C198" t="str">
        <f t="shared" si="29"/>
        <v>Thomas Jones</v>
      </c>
      <c r="D198" t="s">
        <v>40</v>
      </c>
      <c r="E198" t="str">
        <f t="shared" si="39"/>
        <v>Male</v>
      </c>
      <c r="F198">
        <v>34</v>
      </c>
      <c r="G198" t="s">
        <v>34</v>
      </c>
      <c r="H198" t="s">
        <v>35</v>
      </c>
      <c r="I198" t="s">
        <v>43</v>
      </c>
      <c r="J198">
        <v>6</v>
      </c>
      <c r="K198" s="4" t="str" cm="1">
        <f t="array" ref="K198">_xlfn.IFS(J198&lt;=5,"0-5",J198&lt;=10,"6-10",J198&lt;=15,"11-15",J198&lt;=20,"16-20",J198&gt;20,"21+")</f>
        <v>6-10</v>
      </c>
      <c r="L198" t="s">
        <v>221</v>
      </c>
      <c r="M198" s="2" t="str">
        <f>SUBSTITUTE(L198,"$","")</f>
        <v>100</v>
      </c>
      <c r="N198" s="8">
        <f t="shared" si="40"/>
        <v>100</v>
      </c>
      <c r="O198">
        <v>2</v>
      </c>
      <c r="P198" t="s">
        <v>151</v>
      </c>
      <c r="Q198" t="s">
        <v>2072</v>
      </c>
    </row>
    <row r="199" spans="1:19" x14ac:dyDescent="0.3">
      <c r="A199" t="s">
        <v>470</v>
      </c>
      <c r="B199" t="s">
        <v>471</v>
      </c>
      <c r="C199" t="str">
        <f t="shared" si="29"/>
        <v>Brian Dunn</v>
      </c>
      <c r="D199" t="s">
        <v>89</v>
      </c>
      <c r="E199" t="str">
        <f t="shared" si="39"/>
        <v>Male</v>
      </c>
      <c r="F199">
        <v>32</v>
      </c>
      <c r="G199" t="s">
        <v>127</v>
      </c>
      <c r="H199" t="s">
        <v>128</v>
      </c>
      <c r="I199" t="s">
        <v>106</v>
      </c>
      <c r="J199">
        <v>11</v>
      </c>
      <c r="K199" s="4" t="str" cm="1">
        <f t="array" ref="K199">_xlfn.IFS(J199&lt;=5,"0-5",J199&lt;=10,"6-10",J199&lt;=15,"11-15",J199&lt;=20,"16-20",J199&gt;20,"21+")</f>
        <v>11-15</v>
      </c>
      <c r="L199">
        <v>40</v>
      </c>
      <c r="M199" s="2">
        <f>L199</f>
        <v>40</v>
      </c>
      <c r="N199" s="8">
        <f t="shared" si="40"/>
        <v>40</v>
      </c>
      <c r="O199">
        <v>4.3</v>
      </c>
      <c r="P199" t="b">
        <v>1</v>
      </c>
      <c r="Q199" t="s">
        <v>2073</v>
      </c>
      <c r="R199" s="1">
        <v>0.86</v>
      </c>
      <c r="S199" s="3">
        <f t="shared" ref="S199:S201" si="41">R199</f>
        <v>0.86</v>
      </c>
    </row>
    <row r="200" spans="1:19" x14ac:dyDescent="0.3">
      <c r="A200" t="s">
        <v>472</v>
      </c>
      <c r="B200" t="s">
        <v>473</v>
      </c>
      <c r="C200" t="str">
        <f t="shared" si="29"/>
        <v>Shirley Strickland</v>
      </c>
      <c r="D200" t="s">
        <v>26</v>
      </c>
      <c r="E200" t="str">
        <f t="shared" si="39"/>
        <v>Female</v>
      </c>
      <c r="F200">
        <v>50</v>
      </c>
      <c r="G200" t="s">
        <v>85</v>
      </c>
      <c r="H200" t="s">
        <v>86</v>
      </c>
      <c r="I200" t="s">
        <v>22</v>
      </c>
      <c r="J200">
        <v>28</v>
      </c>
      <c r="K200" s="4" t="str" cm="1">
        <f t="array" ref="K200">_xlfn.IFS(J200&lt;=5,"0-5",J200&lt;=10,"6-10",J200&lt;=15,"11-15",J200&lt;=20,"16-20",J200&gt;20,"21+")</f>
        <v>21+</v>
      </c>
      <c r="L200" t="s">
        <v>221</v>
      </c>
      <c r="M200" s="2" t="str">
        <f>SUBSTITUTE(L200,"$","")</f>
        <v>100</v>
      </c>
      <c r="N200" s="8">
        <f t="shared" si="40"/>
        <v>100</v>
      </c>
      <c r="O200">
        <v>4.9000000000000004</v>
      </c>
      <c r="P200" t="s">
        <v>66</v>
      </c>
      <c r="Q200" t="s">
        <v>2073</v>
      </c>
      <c r="R200" s="1">
        <v>0.86</v>
      </c>
      <c r="S200" s="3">
        <f t="shared" si="41"/>
        <v>0.86</v>
      </c>
    </row>
    <row r="201" spans="1:19" x14ac:dyDescent="0.3">
      <c r="A201" t="s">
        <v>474</v>
      </c>
      <c r="B201" t="s">
        <v>475</v>
      </c>
      <c r="C201" t="str">
        <f t="shared" si="29"/>
        <v>Nicole Meyers</v>
      </c>
      <c r="D201" t="s">
        <v>31</v>
      </c>
      <c r="E201" t="str">
        <f t="shared" si="39"/>
        <v>Female</v>
      </c>
      <c r="F201">
        <v>39</v>
      </c>
      <c r="G201" t="s">
        <v>63</v>
      </c>
      <c r="H201" t="s">
        <v>64</v>
      </c>
      <c r="I201" t="s">
        <v>43</v>
      </c>
      <c r="J201">
        <v>11</v>
      </c>
      <c r="K201" s="4" t="str" cm="1">
        <f t="array" ref="K201">_xlfn.IFS(J201&lt;=5,"0-5",J201&lt;=10,"6-10",J201&lt;=15,"11-15",J201&lt;=20,"16-20",J201&gt;20,"21+")</f>
        <v>11-15</v>
      </c>
      <c r="L201">
        <v>100</v>
      </c>
      <c r="M201" s="2">
        <f>L201</f>
        <v>100</v>
      </c>
      <c r="N201" s="8">
        <f t="shared" si="40"/>
        <v>100</v>
      </c>
      <c r="O201">
        <v>3.5</v>
      </c>
      <c r="P201" t="s">
        <v>66</v>
      </c>
      <c r="Q201" t="s">
        <v>2073</v>
      </c>
      <c r="R201" s="1">
        <v>0.82</v>
      </c>
      <c r="S201" s="3">
        <f t="shared" si="41"/>
        <v>0.82</v>
      </c>
    </row>
    <row r="202" spans="1:19" x14ac:dyDescent="0.3">
      <c r="A202" t="s">
        <v>476</v>
      </c>
      <c r="B202" t="s">
        <v>477</v>
      </c>
      <c r="C202" t="str">
        <f t="shared" si="29"/>
        <v>Jill Stephens</v>
      </c>
      <c r="D202" t="s">
        <v>6</v>
      </c>
      <c r="E202" t="str">
        <f t="shared" si="39"/>
        <v>Female</v>
      </c>
      <c r="F202">
        <v>25</v>
      </c>
      <c r="G202" t="s">
        <v>182</v>
      </c>
      <c r="H202" t="s">
        <v>64</v>
      </c>
      <c r="I202" t="s">
        <v>36</v>
      </c>
      <c r="J202">
        <v>2</v>
      </c>
      <c r="K202" s="4" t="str" cm="1">
        <f t="array" ref="K202">_xlfn.IFS(J202&lt;=5,"0-5",J202&lt;=10,"6-10",J202&lt;=15,"11-15",J202&lt;=20,"16-20",J202&gt;20,"21+")</f>
        <v>0-5</v>
      </c>
      <c r="L202">
        <v>100</v>
      </c>
      <c r="M202" s="2">
        <f>L202</f>
        <v>100</v>
      </c>
      <c r="N202" s="8">
        <f t="shared" si="40"/>
        <v>100</v>
      </c>
      <c r="O202">
        <v>2.5</v>
      </c>
      <c r="P202" t="s">
        <v>151</v>
      </c>
      <c r="Q202" t="s">
        <v>2072</v>
      </c>
      <c r="R202">
        <v>87</v>
      </c>
      <c r="S202" s="3">
        <f>R202/100</f>
        <v>0.87</v>
      </c>
    </row>
    <row r="203" spans="1:19" x14ac:dyDescent="0.3">
      <c r="A203" t="s">
        <v>478</v>
      </c>
      <c r="B203" t="s">
        <v>479</v>
      </c>
      <c r="C203" t="str">
        <f t="shared" si="29"/>
        <v>Heidi Miranda</v>
      </c>
      <c r="D203" t="s">
        <v>12</v>
      </c>
      <c r="E203" t="str">
        <f t="shared" si="39"/>
        <v>Female</v>
      </c>
      <c r="F203">
        <v>55</v>
      </c>
      <c r="G203" t="s">
        <v>167</v>
      </c>
      <c r="H203" t="s">
        <v>168</v>
      </c>
      <c r="I203" t="s">
        <v>106</v>
      </c>
      <c r="J203">
        <v>7</v>
      </c>
      <c r="K203" s="4" t="str" cm="1">
        <f t="array" ref="K203">_xlfn.IFS(J203&lt;=5,"0-5",J203&lt;=10,"6-10",J203&lt;=15,"11-15",J203&lt;=20,"16-20",J203&gt;20,"21+")</f>
        <v>6-10</v>
      </c>
      <c r="L203">
        <v>100</v>
      </c>
      <c r="M203" s="2">
        <f>L203</f>
        <v>100</v>
      </c>
      <c r="N203" s="8">
        <f t="shared" si="40"/>
        <v>100</v>
      </c>
      <c r="O203">
        <v>1.7</v>
      </c>
      <c r="P203">
        <v>1</v>
      </c>
      <c r="Q203" t="s">
        <v>2073</v>
      </c>
      <c r="R203" s="1">
        <v>0.8</v>
      </c>
      <c r="S203" s="3">
        <f t="shared" ref="S203:S205" si="42">R203</f>
        <v>0.8</v>
      </c>
    </row>
    <row r="204" spans="1:19" x14ac:dyDescent="0.3">
      <c r="A204" t="s">
        <v>480</v>
      </c>
      <c r="B204" t="s">
        <v>481</v>
      </c>
      <c r="C204" t="str">
        <f t="shared" si="29"/>
        <v>Jesus Martinez</v>
      </c>
      <c r="D204" t="s">
        <v>40</v>
      </c>
      <c r="E204" t="str">
        <f t="shared" si="39"/>
        <v>Male</v>
      </c>
      <c r="F204">
        <v>42</v>
      </c>
      <c r="G204" t="s">
        <v>7</v>
      </c>
      <c r="H204" t="s">
        <v>8</v>
      </c>
      <c r="I204" t="s">
        <v>81</v>
      </c>
      <c r="J204">
        <v>10</v>
      </c>
      <c r="K204" s="4" t="str" cm="1">
        <f t="array" ref="K204">_xlfn.IFS(J204&lt;=5,"0-5",J204&lt;=10,"6-10",J204&lt;=15,"11-15",J204&lt;=20,"16-20",J204&gt;20,"21+")</f>
        <v>6-10</v>
      </c>
      <c r="L204" t="s">
        <v>16</v>
      </c>
      <c r="M204" s="2" t="str">
        <f>TRIM(MID(L204,FIND(" ",L204)+1,LEN(L204)))</f>
        <v>100</v>
      </c>
      <c r="N204" s="8">
        <f t="shared" si="40"/>
        <v>100</v>
      </c>
      <c r="O204">
        <v>4.5999999999999996</v>
      </c>
      <c r="P204" t="s">
        <v>66</v>
      </c>
      <c r="Q204" t="s">
        <v>2073</v>
      </c>
      <c r="R204" s="1">
        <v>0.71</v>
      </c>
      <c r="S204" s="3">
        <f t="shared" si="42"/>
        <v>0.71</v>
      </c>
    </row>
    <row r="205" spans="1:19" x14ac:dyDescent="0.3">
      <c r="A205" t="s">
        <v>482</v>
      </c>
      <c r="B205" t="s">
        <v>483</v>
      </c>
      <c r="C205" t="str">
        <f t="shared" si="29"/>
        <v>Adam Payne</v>
      </c>
      <c r="D205" t="s">
        <v>19</v>
      </c>
      <c r="E205" t="str">
        <f t="shared" si="39"/>
        <v>Male</v>
      </c>
      <c r="F205">
        <v>43</v>
      </c>
      <c r="G205" t="s">
        <v>116</v>
      </c>
      <c r="H205" t="s">
        <v>117</v>
      </c>
      <c r="I205" t="s">
        <v>15</v>
      </c>
      <c r="J205">
        <v>6</v>
      </c>
      <c r="K205" s="4" t="str" cm="1">
        <f t="array" ref="K205">_xlfn.IFS(J205&lt;=5,"0-5",J205&lt;=10,"6-10",J205&lt;=15,"11-15",J205&lt;=20,"16-20",J205&gt;20,"21+")</f>
        <v>6-10</v>
      </c>
      <c r="L205">
        <v>50</v>
      </c>
      <c r="M205" s="2">
        <f>L205</f>
        <v>50</v>
      </c>
      <c r="N205" s="8">
        <f t="shared" si="40"/>
        <v>50</v>
      </c>
      <c r="P205" t="s">
        <v>23</v>
      </c>
      <c r="Q205" t="s">
        <v>2072</v>
      </c>
      <c r="R205" s="1">
        <v>0.77</v>
      </c>
      <c r="S205" s="3">
        <f t="shared" si="42"/>
        <v>0.77</v>
      </c>
    </row>
    <row r="206" spans="1:19" x14ac:dyDescent="0.3">
      <c r="A206" t="s">
        <v>484</v>
      </c>
      <c r="B206" t="s">
        <v>485</v>
      </c>
      <c r="C206" t="str">
        <f t="shared" si="29"/>
        <v>Walter Williams</v>
      </c>
      <c r="D206" t="s">
        <v>40</v>
      </c>
      <c r="E206" t="str">
        <f t="shared" si="39"/>
        <v>Male</v>
      </c>
      <c r="F206">
        <v>54</v>
      </c>
      <c r="G206" t="s">
        <v>7</v>
      </c>
      <c r="H206" t="s">
        <v>8</v>
      </c>
      <c r="I206" t="s">
        <v>81</v>
      </c>
      <c r="J206">
        <v>29</v>
      </c>
      <c r="K206" s="4" t="str" cm="1">
        <f t="array" ref="K206">_xlfn.IFS(J206&lt;=5,"0-5",J206&lt;=10,"6-10",J206&lt;=15,"11-15",J206&lt;=20,"16-20",J206&gt;20,"21+")</f>
        <v>21+</v>
      </c>
      <c r="L206" t="s">
        <v>37</v>
      </c>
      <c r="M206" s="2" t="str">
        <f>SUBSTITUTE(L206,"$","")</f>
        <v>30</v>
      </c>
      <c r="N206" s="8">
        <f t="shared" si="40"/>
        <v>30</v>
      </c>
      <c r="O206">
        <v>1.7</v>
      </c>
      <c r="P206">
        <v>0</v>
      </c>
      <c r="Q206" t="s">
        <v>2072</v>
      </c>
      <c r="R206">
        <v>68</v>
      </c>
      <c r="S206" s="3">
        <f>R206/100</f>
        <v>0.68</v>
      </c>
    </row>
    <row r="207" spans="1:19" x14ac:dyDescent="0.3">
      <c r="A207" t="s">
        <v>486</v>
      </c>
      <c r="B207" t="s">
        <v>487</v>
      </c>
      <c r="C207" t="str">
        <f t="shared" si="29"/>
        <v>Shannon Farmer</v>
      </c>
      <c r="D207" t="s">
        <v>12</v>
      </c>
      <c r="E207" t="str">
        <f t="shared" si="39"/>
        <v>Female</v>
      </c>
      <c r="F207">
        <v>21</v>
      </c>
      <c r="G207" t="s">
        <v>131</v>
      </c>
      <c r="H207" t="s">
        <v>132</v>
      </c>
      <c r="I207" t="s">
        <v>22</v>
      </c>
      <c r="J207">
        <v>0</v>
      </c>
      <c r="K207" s="4" t="str" cm="1">
        <f t="array" ref="K207">_xlfn.IFS(J207&lt;=5,"0-5",J207&lt;=10,"6-10",J207&lt;=15,"11-15",J207&lt;=20,"16-20",J207&gt;20,"21+")</f>
        <v>0-5</v>
      </c>
      <c r="L207">
        <v>20</v>
      </c>
      <c r="M207" s="2">
        <f>L207</f>
        <v>20</v>
      </c>
      <c r="N207" s="8">
        <f t="shared" si="40"/>
        <v>20</v>
      </c>
      <c r="O207">
        <v>1.8</v>
      </c>
      <c r="P207" t="s">
        <v>23</v>
      </c>
      <c r="Q207" t="s">
        <v>2072</v>
      </c>
      <c r="R207" s="1">
        <v>0.91</v>
      </c>
      <c r="S207" s="3">
        <f t="shared" ref="S207:S209" si="43">R207</f>
        <v>0.91</v>
      </c>
    </row>
    <row r="208" spans="1:19" x14ac:dyDescent="0.3">
      <c r="A208" t="s">
        <v>488</v>
      </c>
      <c r="B208" t="s">
        <v>489</v>
      </c>
      <c r="C208" t="str">
        <f t="shared" si="29"/>
        <v>Peter Reyes</v>
      </c>
      <c r="D208" t="s">
        <v>40</v>
      </c>
      <c r="E208" t="str">
        <f t="shared" si="39"/>
        <v>Male</v>
      </c>
      <c r="F208">
        <v>46</v>
      </c>
      <c r="G208" t="s">
        <v>120</v>
      </c>
      <c r="H208" t="s">
        <v>14</v>
      </c>
      <c r="I208" t="s">
        <v>65</v>
      </c>
      <c r="J208">
        <v>5</v>
      </c>
      <c r="K208" s="4" t="str" cm="1">
        <f t="array" ref="K208">_xlfn.IFS(J208&lt;=5,"0-5",J208&lt;=10,"6-10",J208&lt;=15,"11-15",J208&lt;=20,"16-20",J208&gt;20,"21+")</f>
        <v>0-5</v>
      </c>
      <c r="L208">
        <v>20</v>
      </c>
      <c r="M208" s="2">
        <f>L208</f>
        <v>20</v>
      </c>
      <c r="N208" s="8">
        <f t="shared" si="40"/>
        <v>20</v>
      </c>
      <c r="O208">
        <v>2.2000000000000002</v>
      </c>
      <c r="P208" t="b">
        <v>0</v>
      </c>
      <c r="Q208" t="s">
        <v>2072</v>
      </c>
      <c r="R208" s="1">
        <v>0.75</v>
      </c>
      <c r="S208" s="3">
        <f t="shared" si="43"/>
        <v>0.75</v>
      </c>
    </row>
    <row r="209" spans="1:19" x14ac:dyDescent="0.3">
      <c r="A209" t="s">
        <v>490</v>
      </c>
      <c r="B209" t="s">
        <v>491</v>
      </c>
      <c r="C209" t="str">
        <f t="shared" si="29"/>
        <v>Kristen Knight</v>
      </c>
      <c r="D209" t="s">
        <v>6</v>
      </c>
      <c r="E209" t="str">
        <f t="shared" si="39"/>
        <v>Female</v>
      </c>
      <c r="F209">
        <v>30</v>
      </c>
      <c r="G209" t="s">
        <v>182</v>
      </c>
      <c r="H209" t="s">
        <v>64</v>
      </c>
      <c r="I209" t="s">
        <v>9</v>
      </c>
      <c r="J209">
        <v>11</v>
      </c>
      <c r="K209" s="4" t="str" cm="1">
        <f t="array" ref="K209">_xlfn.IFS(J209&lt;=5,"0-5",J209&lt;=10,"6-10",J209&lt;=15,"11-15",J209&lt;=20,"16-20",J209&gt;20,"21+")</f>
        <v>11-15</v>
      </c>
      <c r="L209">
        <v>40</v>
      </c>
      <c r="M209" s="2">
        <f>L209</f>
        <v>40</v>
      </c>
      <c r="N209" s="8">
        <f t="shared" si="40"/>
        <v>40</v>
      </c>
      <c r="O209">
        <v>1</v>
      </c>
      <c r="P209" t="s">
        <v>23</v>
      </c>
      <c r="Q209" t="s">
        <v>2072</v>
      </c>
      <c r="R209" s="1">
        <v>0.9</v>
      </c>
      <c r="S209" s="3">
        <f t="shared" si="43"/>
        <v>0.9</v>
      </c>
    </row>
    <row r="210" spans="1:19" x14ac:dyDescent="0.3">
      <c r="A210" t="s">
        <v>492</v>
      </c>
      <c r="B210" t="s">
        <v>493</v>
      </c>
      <c r="C210" t="str">
        <f>TRIM(MID(B210,FIND(" ",B210)+1,LEN(B210)))</f>
        <v>Moore Jr.</v>
      </c>
      <c r="D210" t="s">
        <v>19</v>
      </c>
      <c r="E210" t="str">
        <f t="shared" si="39"/>
        <v>Male</v>
      </c>
      <c r="F210">
        <v>36</v>
      </c>
      <c r="G210" t="s">
        <v>167</v>
      </c>
      <c r="H210" t="s">
        <v>168</v>
      </c>
      <c r="I210" t="s">
        <v>106</v>
      </c>
      <c r="J210">
        <v>11</v>
      </c>
      <c r="K210" s="4" t="str" cm="1">
        <f t="array" ref="K210">_xlfn.IFS(J210&lt;=5,"0-5",J210&lt;=10,"6-10",J210&lt;=15,"11-15",J210&lt;=20,"16-20",J210&gt;20,"21+")</f>
        <v>11-15</v>
      </c>
      <c r="L210" t="s">
        <v>162</v>
      </c>
      <c r="M210" s="2" t="str">
        <f>SUBSTITUTE(L210,"$","")</f>
        <v>75</v>
      </c>
      <c r="N210" s="8">
        <f t="shared" si="40"/>
        <v>75</v>
      </c>
      <c r="O210">
        <v>3.2</v>
      </c>
      <c r="P210">
        <v>0</v>
      </c>
      <c r="Q210" t="s">
        <v>2072</v>
      </c>
      <c r="R210">
        <v>93</v>
      </c>
      <c r="S210" s="3">
        <f>R210/100</f>
        <v>0.93</v>
      </c>
    </row>
    <row r="211" spans="1:19" x14ac:dyDescent="0.3">
      <c r="A211" t="s">
        <v>494</v>
      </c>
      <c r="B211" t="s">
        <v>495</v>
      </c>
      <c r="C211" t="str">
        <f t="shared" ref="C211:C233" si="44">B211</f>
        <v>Jennifer Rowe</v>
      </c>
      <c r="D211" t="s">
        <v>69</v>
      </c>
      <c r="E211" t="str">
        <f t="shared" si="39"/>
        <v>Female</v>
      </c>
      <c r="F211">
        <v>47</v>
      </c>
      <c r="G211" t="s">
        <v>20</v>
      </c>
      <c r="H211" t="s">
        <v>21</v>
      </c>
      <c r="I211" t="s">
        <v>43</v>
      </c>
      <c r="J211">
        <v>15</v>
      </c>
      <c r="K211" s="4" t="str" cm="1">
        <f t="array" ref="K211">_xlfn.IFS(J211&lt;=5,"0-5",J211&lt;=10,"6-10",J211&lt;=15,"11-15",J211&lt;=20,"16-20",J211&gt;20,"21+")</f>
        <v>11-15</v>
      </c>
      <c r="L211">
        <v>40</v>
      </c>
      <c r="M211" s="2">
        <f>L211</f>
        <v>40</v>
      </c>
      <c r="N211" s="8">
        <f t="shared" si="40"/>
        <v>40</v>
      </c>
      <c r="O211">
        <v>2.1</v>
      </c>
      <c r="P211" t="s">
        <v>60</v>
      </c>
      <c r="Q211" t="s">
        <v>2073</v>
      </c>
      <c r="R211" s="1">
        <v>0.94</v>
      </c>
      <c r="S211" s="3">
        <f>R211</f>
        <v>0.94</v>
      </c>
    </row>
    <row r="212" spans="1:19" x14ac:dyDescent="0.3">
      <c r="A212" t="s">
        <v>496</v>
      </c>
      <c r="B212" t="s">
        <v>497</v>
      </c>
      <c r="C212" t="str">
        <f t="shared" si="44"/>
        <v>Mikayla Henry</v>
      </c>
      <c r="D212" t="s">
        <v>26</v>
      </c>
      <c r="E212" t="str">
        <f t="shared" si="39"/>
        <v>Female</v>
      </c>
      <c r="F212">
        <v>43</v>
      </c>
      <c r="G212" t="s">
        <v>120</v>
      </c>
      <c r="H212" t="s">
        <v>14</v>
      </c>
      <c r="I212" t="s">
        <v>15</v>
      </c>
      <c r="J212">
        <v>1</v>
      </c>
      <c r="K212" s="4" t="str" cm="1">
        <f t="array" ref="K212">_xlfn.IFS(J212&lt;=5,"0-5",J212&lt;=10,"6-10",J212&lt;=15,"11-15",J212&lt;=20,"16-20",J212&gt;20,"21+")</f>
        <v>0-5</v>
      </c>
      <c r="L212" t="s">
        <v>90</v>
      </c>
      <c r="M212" s="2" t="str">
        <f>TRIM(MID(L212,FIND(" ",L212)+1,LEN(L212)))</f>
        <v>50</v>
      </c>
      <c r="N212" s="8">
        <f t="shared" si="40"/>
        <v>50</v>
      </c>
      <c r="O212">
        <v>4.5999999999999996</v>
      </c>
      <c r="P212" t="b">
        <v>1</v>
      </c>
      <c r="Q212" t="s">
        <v>2073</v>
      </c>
      <c r="R212">
        <v>64</v>
      </c>
      <c r="S212" s="3">
        <f>R212/100</f>
        <v>0.64</v>
      </c>
    </row>
    <row r="213" spans="1:19" x14ac:dyDescent="0.3">
      <c r="A213" t="s">
        <v>498</v>
      </c>
      <c r="B213" t="s">
        <v>499</v>
      </c>
      <c r="C213" t="str">
        <f t="shared" si="44"/>
        <v>Jacob Kerr</v>
      </c>
      <c r="D213" t="s">
        <v>40</v>
      </c>
      <c r="E213" t="str">
        <f t="shared" si="39"/>
        <v>Male</v>
      </c>
      <c r="F213">
        <v>57</v>
      </c>
      <c r="G213" t="s">
        <v>104</v>
      </c>
      <c r="H213" t="s">
        <v>105</v>
      </c>
      <c r="I213" t="s">
        <v>70</v>
      </c>
      <c r="J213">
        <v>8</v>
      </c>
      <c r="K213" s="4" t="str" cm="1">
        <f t="array" ref="K213">_xlfn.IFS(J213&lt;=5,"0-5",J213&lt;=10,"6-10",J213&lt;=15,"11-15",J213&lt;=20,"16-20",J213&gt;20,"21+")</f>
        <v>6-10</v>
      </c>
      <c r="L213" t="s">
        <v>113</v>
      </c>
      <c r="M213" s="2" t="str">
        <f>SUBSTITUTE(L213,"$","")</f>
        <v>20</v>
      </c>
      <c r="N213" s="8">
        <f t="shared" si="40"/>
        <v>20</v>
      </c>
      <c r="O213">
        <v>0</v>
      </c>
      <c r="P213" t="s">
        <v>60</v>
      </c>
      <c r="Q213" t="s">
        <v>2073</v>
      </c>
      <c r="R213" s="1">
        <v>0.84</v>
      </c>
      <c r="S213" s="3">
        <f t="shared" ref="S213:S220" si="45">R213</f>
        <v>0.84</v>
      </c>
    </row>
    <row r="214" spans="1:19" x14ac:dyDescent="0.3">
      <c r="A214" t="s">
        <v>500</v>
      </c>
      <c r="B214" t="s">
        <v>501</v>
      </c>
      <c r="C214" t="str">
        <f t="shared" si="44"/>
        <v>Ryan Johnson</v>
      </c>
      <c r="D214" t="s">
        <v>19</v>
      </c>
      <c r="E214" t="str">
        <f t="shared" si="39"/>
        <v>Male</v>
      </c>
      <c r="F214">
        <v>52</v>
      </c>
      <c r="G214" t="s">
        <v>7</v>
      </c>
      <c r="H214" t="s">
        <v>8</v>
      </c>
      <c r="I214" t="s">
        <v>106</v>
      </c>
      <c r="J214">
        <v>30</v>
      </c>
      <c r="K214" s="4" t="str" cm="1">
        <f t="array" ref="K214">_xlfn.IFS(J214&lt;=5,"0-5",J214&lt;=10,"6-10",J214&lt;=15,"11-15",J214&lt;=20,"16-20",J214&gt;20,"21+")</f>
        <v>21+</v>
      </c>
      <c r="L214" t="s">
        <v>113</v>
      </c>
      <c r="M214" s="2" t="str">
        <f>SUBSTITUTE(L214,"$","")</f>
        <v>20</v>
      </c>
      <c r="N214" s="8">
        <f t="shared" si="40"/>
        <v>20</v>
      </c>
      <c r="O214">
        <v>2.8</v>
      </c>
      <c r="P214" t="s">
        <v>151</v>
      </c>
      <c r="Q214" t="s">
        <v>2072</v>
      </c>
      <c r="R214" s="1">
        <v>0.87</v>
      </c>
      <c r="S214" s="3">
        <f t="shared" si="45"/>
        <v>0.87</v>
      </c>
    </row>
    <row r="215" spans="1:19" x14ac:dyDescent="0.3">
      <c r="A215" t="s">
        <v>502</v>
      </c>
      <c r="B215" t="s">
        <v>503</v>
      </c>
      <c r="C215" t="str">
        <f t="shared" si="44"/>
        <v>Michael Ruiz</v>
      </c>
      <c r="D215" t="s">
        <v>53</v>
      </c>
      <c r="E215" t="str">
        <f t="shared" si="39"/>
        <v>Male</v>
      </c>
      <c r="G215" t="s">
        <v>20</v>
      </c>
      <c r="H215" t="s">
        <v>21</v>
      </c>
      <c r="I215" t="s">
        <v>9</v>
      </c>
      <c r="J215">
        <v>8</v>
      </c>
      <c r="K215" s="4" t="str" cm="1">
        <f t="array" ref="K215">_xlfn.IFS(J215&lt;=5,"0-5",J215&lt;=10,"6-10",J215&lt;=15,"11-15",J215&lt;=20,"16-20",J215&gt;20,"21+")</f>
        <v>6-10</v>
      </c>
      <c r="L215" t="s">
        <v>28</v>
      </c>
      <c r="M215" s="2" t="str">
        <f>SUBSTITUTE(L215,"$","")</f>
        <v>40</v>
      </c>
      <c r="N215" s="8">
        <f t="shared" si="40"/>
        <v>40</v>
      </c>
      <c r="O215">
        <v>0</v>
      </c>
      <c r="P215" t="s">
        <v>23</v>
      </c>
      <c r="Q215" t="s">
        <v>2072</v>
      </c>
      <c r="R215" s="1">
        <v>0.64</v>
      </c>
      <c r="S215" s="3">
        <f t="shared" si="45"/>
        <v>0.64</v>
      </c>
    </row>
    <row r="216" spans="1:19" x14ac:dyDescent="0.3">
      <c r="A216" t="s">
        <v>504</v>
      </c>
      <c r="B216" t="s">
        <v>505</v>
      </c>
      <c r="C216" t="str">
        <f t="shared" si="44"/>
        <v>Monica Roberts</v>
      </c>
      <c r="D216" t="s">
        <v>31</v>
      </c>
      <c r="E216" t="str">
        <f t="shared" si="39"/>
        <v>Female</v>
      </c>
      <c r="F216">
        <v>22</v>
      </c>
      <c r="G216" t="s">
        <v>41</v>
      </c>
      <c r="H216" t="s">
        <v>42</v>
      </c>
      <c r="I216" t="s">
        <v>106</v>
      </c>
      <c r="J216">
        <v>0</v>
      </c>
      <c r="K216" s="4" t="str" cm="1">
        <f t="array" ref="K216">_xlfn.IFS(J216&lt;=5,"0-5",J216&lt;=10,"6-10",J216&lt;=15,"11-15",J216&lt;=20,"16-20",J216&gt;20,"21+")</f>
        <v>0-5</v>
      </c>
      <c r="L216">
        <v>100</v>
      </c>
      <c r="M216" s="2">
        <f>L216</f>
        <v>100</v>
      </c>
      <c r="N216" s="8">
        <f t="shared" si="40"/>
        <v>100</v>
      </c>
      <c r="O216">
        <v>2.7</v>
      </c>
      <c r="P216" t="b">
        <v>1</v>
      </c>
      <c r="Q216" t="s">
        <v>2073</v>
      </c>
      <c r="R216" s="1">
        <v>0.64</v>
      </c>
      <c r="S216" s="3">
        <f t="shared" si="45"/>
        <v>0.64</v>
      </c>
    </row>
    <row r="217" spans="1:19" x14ac:dyDescent="0.3">
      <c r="A217" t="s">
        <v>506</v>
      </c>
      <c r="B217" t="s">
        <v>507</v>
      </c>
      <c r="C217" t="str">
        <f t="shared" si="44"/>
        <v>Danny Brown</v>
      </c>
      <c r="D217" t="s">
        <v>40</v>
      </c>
      <c r="E217" t="str">
        <f t="shared" si="39"/>
        <v>Male</v>
      </c>
      <c r="G217" t="s">
        <v>85</v>
      </c>
      <c r="H217" t="s">
        <v>86</v>
      </c>
      <c r="I217" t="s">
        <v>106</v>
      </c>
      <c r="J217">
        <v>12</v>
      </c>
      <c r="K217" s="4" t="str" cm="1">
        <f t="array" ref="K217">_xlfn.IFS(J217&lt;=5,"0-5",J217&lt;=10,"6-10",J217&lt;=15,"11-15",J217&lt;=20,"16-20",J217&gt;20,"21+")</f>
        <v>11-15</v>
      </c>
      <c r="L217" t="s">
        <v>113</v>
      </c>
      <c r="M217" s="2" t="str">
        <f>SUBSTITUTE(L217,"$","")</f>
        <v>20</v>
      </c>
      <c r="N217" s="8">
        <f t="shared" si="40"/>
        <v>20</v>
      </c>
      <c r="O217">
        <v>0</v>
      </c>
      <c r="P217" t="b">
        <v>1</v>
      </c>
      <c r="Q217" t="s">
        <v>2073</v>
      </c>
      <c r="R217" s="1">
        <v>0.8</v>
      </c>
      <c r="S217" s="3">
        <f t="shared" si="45"/>
        <v>0.8</v>
      </c>
    </row>
    <row r="218" spans="1:19" x14ac:dyDescent="0.3">
      <c r="A218" t="s">
        <v>508</v>
      </c>
      <c r="B218" t="s">
        <v>509</v>
      </c>
      <c r="C218" t="str">
        <f t="shared" si="44"/>
        <v>Karen Larsen</v>
      </c>
      <c r="D218" t="s">
        <v>26</v>
      </c>
      <c r="E218" t="str">
        <f t="shared" si="39"/>
        <v>Female</v>
      </c>
      <c r="F218">
        <v>58</v>
      </c>
      <c r="G218" t="s">
        <v>182</v>
      </c>
      <c r="H218" t="s">
        <v>64</v>
      </c>
      <c r="I218" t="s">
        <v>15</v>
      </c>
      <c r="J218">
        <v>4</v>
      </c>
      <c r="K218" s="4" t="str" cm="1">
        <f t="array" ref="K218">_xlfn.IFS(J218&lt;=5,"0-5",J218&lt;=10,"6-10",J218&lt;=15,"11-15",J218&lt;=20,"16-20",J218&gt;20,"21+")</f>
        <v>0-5</v>
      </c>
      <c r="L218" t="s">
        <v>56</v>
      </c>
      <c r="M218" s="2" t="str">
        <f>SUBSTITUTE(L218,"$","")</f>
        <v>50</v>
      </c>
      <c r="N218" s="8">
        <f t="shared" si="40"/>
        <v>50</v>
      </c>
      <c r="O218">
        <v>3.1</v>
      </c>
      <c r="P218">
        <v>0</v>
      </c>
      <c r="Q218" t="s">
        <v>2072</v>
      </c>
      <c r="R218" s="1">
        <v>0.9</v>
      </c>
      <c r="S218" s="3">
        <f t="shared" si="45"/>
        <v>0.9</v>
      </c>
    </row>
    <row r="219" spans="1:19" x14ac:dyDescent="0.3">
      <c r="A219" t="s">
        <v>510</v>
      </c>
      <c r="B219" t="s">
        <v>511</v>
      </c>
      <c r="C219" t="str">
        <f t="shared" si="44"/>
        <v>Robert Evans</v>
      </c>
      <c r="D219" t="s">
        <v>84</v>
      </c>
      <c r="E219" t="str">
        <f t="shared" si="39"/>
        <v>Male</v>
      </c>
      <c r="F219">
        <v>39</v>
      </c>
      <c r="G219" t="s">
        <v>104</v>
      </c>
      <c r="H219" t="s">
        <v>105</v>
      </c>
      <c r="I219" t="s">
        <v>27</v>
      </c>
      <c r="J219">
        <v>14</v>
      </c>
      <c r="K219" s="4" t="str" cm="1">
        <f t="array" ref="K219">_xlfn.IFS(J219&lt;=5,"0-5",J219&lt;=10,"6-10",J219&lt;=15,"11-15",J219&lt;=20,"16-20",J219&gt;20,"21+")</f>
        <v>11-15</v>
      </c>
      <c r="L219" t="s">
        <v>16</v>
      </c>
      <c r="M219" s="2" t="str">
        <f>TRIM(MID(L219,FIND(" ",L219)+1,LEN(L219)))</f>
        <v>100</v>
      </c>
      <c r="N219" s="8">
        <f t="shared" si="40"/>
        <v>100</v>
      </c>
      <c r="O219">
        <v>0</v>
      </c>
      <c r="P219" t="s">
        <v>66</v>
      </c>
      <c r="Q219" t="s">
        <v>2073</v>
      </c>
      <c r="R219" s="1">
        <v>0.92</v>
      </c>
      <c r="S219" s="3">
        <f t="shared" si="45"/>
        <v>0.92</v>
      </c>
    </row>
    <row r="220" spans="1:19" x14ac:dyDescent="0.3">
      <c r="A220" t="s">
        <v>512</v>
      </c>
      <c r="B220" t="s">
        <v>513</v>
      </c>
      <c r="C220" t="str">
        <f t="shared" si="44"/>
        <v>Sean Poole</v>
      </c>
      <c r="D220" t="s">
        <v>84</v>
      </c>
      <c r="E220" t="str">
        <f t="shared" si="39"/>
        <v>Male</v>
      </c>
      <c r="F220">
        <v>32</v>
      </c>
      <c r="G220" t="s">
        <v>41</v>
      </c>
      <c r="H220" t="s">
        <v>42</v>
      </c>
      <c r="I220" t="s">
        <v>22</v>
      </c>
      <c r="J220">
        <v>14</v>
      </c>
      <c r="K220" s="4" t="str" cm="1">
        <f t="array" ref="K220">_xlfn.IFS(J220&lt;=5,"0-5",J220&lt;=10,"6-10",J220&lt;=15,"11-15",J220&lt;=20,"16-20",J220&gt;20,"21+")</f>
        <v>11-15</v>
      </c>
      <c r="N220" s="8" t="str">
        <f t="shared" si="40"/>
        <v/>
      </c>
      <c r="P220">
        <v>0</v>
      </c>
      <c r="Q220" t="s">
        <v>2072</v>
      </c>
      <c r="R220" s="1">
        <v>0.96</v>
      </c>
      <c r="S220" s="3">
        <f t="shared" si="45"/>
        <v>0.96</v>
      </c>
    </row>
    <row r="221" spans="1:19" x14ac:dyDescent="0.3">
      <c r="A221" t="s">
        <v>514</v>
      </c>
      <c r="B221" t="s">
        <v>515</v>
      </c>
      <c r="C221" t="str">
        <f t="shared" si="44"/>
        <v>Richard Quinn</v>
      </c>
      <c r="D221" t="s">
        <v>40</v>
      </c>
      <c r="E221" t="str">
        <f t="shared" si="39"/>
        <v>Male</v>
      </c>
      <c r="F221">
        <v>37</v>
      </c>
      <c r="G221" t="s">
        <v>120</v>
      </c>
      <c r="H221" t="s">
        <v>14</v>
      </c>
      <c r="I221" t="s">
        <v>65</v>
      </c>
      <c r="J221">
        <v>2</v>
      </c>
      <c r="K221" s="4" t="str" cm="1">
        <f t="array" ref="K221">_xlfn.IFS(J221&lt;=5,"0-5",J221&lt;=10,"6-10",J221&lt;=15,"11-15",J221&lt;=20,"16-20",J221&gt;20,"21+")</f>
        <v>0-5</v>
      </c>
      <c r="L221" t="s">
        <v>37</v>
      </c>
      <c r="M221" s="2" t="str">
        <f>SUBSTITUTE(L221,"$","")</f>
        <v>30</v>
      </c>
      <c r="N221" s="8">
        <f t="shared" si="40"/>
        <v>30</v>
      </c>
      <c r="O221">
        <v>2.2999999999999998</v>
      </c>
      <c r="P221" t="s">
        <v>60</v>
      </c>
      <c r="Q221" t="s">
        <v>2073</v>
      </c>
    </row>
    <row r="222" spans="1:19" x14ac:dyDescent="0.3">
      <c r="A222" t="s">
        <v>516</v>
      </c>
      <c r="B222" t="s">
        <v>517</v>
      </c>
      <c r="C222" t="str">
        <f t="shared" si="44"/>
        <v>Jennifer Gonzalez</v>
      </c>
      <c r="D222" t="s">
        <v>12</v>
      </c>
      <c r="E222" t="str">
        <f t="shared" si="39"/>
        <v>Female</v>
      </c>
      <c r="F222">
        <v>21</v>
      </c>
      <c r="G222" t="s">
        <v>167</v>
      </c>
      <c r="H222" t="s">
        <v>168</v>
      </c>
      <c r="I222" t="s">
        <v>70</v>
      </c>
      <c r="J222">
        <v>2</v>
      </c>
      <c r="K222" s="4" t="str" cm="1">
        <f t="array" ref="K222">_xlfn.IFS(J222&lt;=5,"0-5",J222&lt;=10,"6-10",J222&lt;=15,"11-15",J222&lt;=20,"16-20",J222&gt;20,"21+")</f>
        <v>0-5</v>
      </c>
      <c r="L222">
        <v>100</v>
      </c>
      <c r="M222" s="2">
        <f>L222</f>
        <v>100</v>
      </c>
      <c r="N222" s="8">
        <f t="shared" si="40"/>
        <v>100</v>
      </c>
      <c r="O222">
        <v>2.4</v>
      </c>
      <c r="P222" t="s">
        <v>66</v>
      </c>
      <c r="Q222" t="s">
        <v>2073</v>
      </c>
    </row>
    <row r="223" spans="1:19" x14ac:dyDescent="0.3">
      <c r="A223" t="s">
        <v>518</v>
      </c>
      <c r="B223" t="s">
        <v>519</v>
      </c>
      <c r="C223" t="str">
        <f t="shared" si="44"/>
        <v>James Skinner</v>
      </c>
      <c r="D223" t="s">
        <v>53</v>
      </c>
      <c r="E223" t="str">
        <f t="shared" si="39"/>
        <v>Male</v>
      </c>
      <c r="F223">
        <v>41</v>
      </c>
      <c r="G223" t="s">
        <v>104</v>
      </c>
      <c r="H223" t="s">
        <v>105</v>
      </c>
      <c r="I223" t="s">
        <v>106</v>
      </c>
      <c r="J223">
        <v>4</v>
      </c>
      <c r="K223" s="4" t="str" cm="1">
        <f t="array" ref="K223">_xlfn.IFS(J223&lt;=5,"0-5",J223&lt;=10,"6-10",J223&lt;=15,"11-15",J223&lt;=20,"16-20",J223&gt;20,"21+")</f>
        <v>0-5</v>
      </c>
      <c r="L223">
        <v>75</v>
      </c>
      <c r="M223" s="2">
        <f>L223</f>
        <v>75</v>
      </c>
      <c r="N223" s="8">
        <f t="shared" si="40"/>
        <v>75</v>
      </c>
      <c r="O223">
        <v>2.6</v>
      </c>
      <c r="R223" s="1">
        <v>0.85</v>
      </c>
      <c r="S223" s="3">
        <f t="shared" ref="S223:S226" si="46">R223</f>
        <v>0.85</v>
      </c>
    </row>
    <row r="224" spans="1:19" x14ac:dyDescent="0.3">
      <c r="A224" t="s">
        <v>520</v>
      </c>
      <c r="B224" t="s">
        <v>521</v>
      </c>
      <c r="C224" t="str">
        <f t="shared" si="44"/>
        <v>Michelle Hill</v>
      </c>
      <c r="D224" t="s">
        <v>6</v>
      </c>
      <c r="E224" t="str">
        <f t="shared" si="39"/>
        <v>Female</v>
      </c>
      <c r="F224">
        <v>21</v>
      </c>
      <c r="G224" t="s">
        <v>120</v>
      </c>
      <c r="H224" t="s">
        <v>14</v>
      </c>
      <c r="I224" t="s">
        <v>36</v>
      </c>
      <c r="J224">
        <v>0</v>
      </c>
      <c r="K224" s="4" t="str" cm="1">
        <f t="array" ref="K224">_xlfn.IFS(J224&lt;=5,"0-5",J224&lt;=10,"6-10",J224&lt;=15,"11-15",J224&lt;=20,"16-20",J224&gt;20,"21+")</f>
        <v>0-5</v>
      </c>
      <c r="L224" t="s">
        <v>47</v>
      </c>
      <c r="M224" s="2" t="str">
        <f>TRIM(MID(L224,FIND(" ",L224)+1,LEN(L224)))</f>
        <v>40</v>
      </c>
      <c r="N224" s="8">
        <f t="shared" si="40"/>
        <v>40</v>
      </c>
      <c r="O224">
        <v>1.1000000000000001</v>
      </c>
      <c r="P224">
        <v>0</v>
      </c>
      <c r="Q224" t="s">
        <v>2072</v>
      </c>
      <c r="R224" s="1">
        <v>0.79</v>
      </c>
      <c r="S224" s="3">
        <f t="shared" si="46"/>
        <v>0.79</v>
      </c>
    </row>
    <row r="225" spans="1:19" x14ac:dyDescent="0.3">
      <c r="A225" t="s">
        <v>522</v>
      </c>
      <c r="B225" t="s">
        <v>523</v>
      </c>
      <c r="C225" t="str">
        <f t="shared" si="44"/>
        <v>Jacqueline Williams</v>
      </c>
      <c r="D225" t="s">
        <v>26</v>
      </c>
      <c r="E225" t="str">
        <f t="shared" si="39"/>
        <v>Female</v>
      </c>
      <c r="F225">
        <v>58</v>
      </c>
      <c r="G225" t="s">
        <v>167</v>
      </c>
      <c r="H225" t="s">
        <v>168</v>
      </c>
      <c r="I225" t="s">
        <v>106</v>
      </c>
      <c r="J225">
        <v>9</v>
      </c>
      <c r="K225" s="4" t="str" cm="1">
        <f t="array" ref="K225">_xlfn.IFS(J225&lt;=5,"0-5",J225&lt;=10,"6-10",J225&lt;=15,"11-15",J225&lt;=20,"16-20",J225&gt;20,"21+")</f>
        <v>6-10</v>
      </c>
      <c r="L225">
        <v>30</v>
      </c>
      <c r="M225" s="2">
        <f>L225</f>
        <v>30</v>
      </c>
      <c r="N225" s="8">
        <f t="shared" si="40"/>
        <v>30</v>
      </c>
      <c r="O225">
        <v>0</v>
      </c>
      <c r="P225">
        <v>1</v>
      </c>
      <c r="Q225" t="s">
        <v>2073</v>
      </c>
      <c r="R225" s="1">
        <v>0.65</v>
      </c>
      <c r="S225" s="3">
        <f t="shared" si="46"/>
        <v>0.65</v>
      </c>
    </row>
    <row r="226" spans="1:19" x14ac:dyDescent="0.3">
      <c r="A226" t="s">
        <v>524</v>
      </c>
      <c r="B226" t="s">
        <v>525</v>
      </c>
      <c r="C226" t="str">
        <f t="shared" si="44"/>
        <v>Darrell Johnson</v>
      </c>
      <c r="D226" t="s">
        <v>89</v>
      </c>
      <c r="E226" t="str">
        <f t="shared" si="39"/>
        <v>Male</v>
      </c>
      <c r="F226">
        <v>60</v>
      </c>
      <c r="G226" t="s">
        <v>120</v>
      </c>
      <c r="H226" t="s">
        <v>14</v>
      </c>
      <c r="I226" t="s">
        <v>106</v>
      </c>
      <c r="J226">
        <v>3</v>
      </c>
      <c r="K226" s="4" t="str" cm="1">
        <f t="array" ref="K226">_xlfn.IFS(J226&lt;=5,"0-5",J226&lt;=10,"6-10",J226&lt;=15,"11-15",J226&lt;=20,"16-20",J226&gt;20,"21+")</f>
        <v>0-5</v>
      </c>
      <c r="L226">
        <v>40</v>
      </c>
      <c r="M226" s="2">
        <f>L226</f>
        <v>40</v>
      </c>
      <c r="N226" s="8">
        <f t="shared" si="40"/>
        <v>40</v>
      </c>
      <c r="O226">
        <v>4.7</v>
      </c>
      <c r="P226" t="b">
        <v>0</v>
      </c>
      <c r="Q226" t="s">
        <v>2072</v>
      </c>
      <c r="R226" s="1">
        <v>0.63</v>
      </c>
      <c r="S226" s="3">
        <f t="shared" si="46"/>
        <v>0.63</v>
      </c>
    </row>
    <row r="227" spans="1:19" x14ac:dyDescent="0.3">
      <c r="A227" t="s">
        <v>526</v>
      </c>
      <c r="B227" t="s">
        <v>527</v>
      </c>
      <c r="C227" t="str">
        <f t="shared" si="44"/>
        <v>Ryan Crawford</v>
      </c>
      <c r="D227" t="s">
        <v>84</v>
      </c>
      <c r="E227" t="str">
        <f t="shared" si="39"/>
        <v>Male</v>
      </c>
      <c r="F227">
        <v>27</v>
      </c>
      <c r="G227" t="s">
        <v>145</v>
      </c>
      <c r="H227" t="s">
        <v>146</v>
      </c>
      <c r="I227" t="s">
        <v>27</v>
      </c>
      <c r="J227">
        <v>2</v>
      </c>
      <c r="K227" s="4" t="str" cm="1">
        <f t="array" ref="K227">_xlfn.IFS(J227&lt;=5,"0-5",J227&lt;=10,"6-10",J227&lt;=15,"11-15",J227&lt;=20,"16-20",J227&gt;20,"21+")</f>
        <v>0-5</v>
      </c>
      <c r="L227" t="s">
        <v>28</v>
      </c>
      <c r="M227" s="2" t="str">
        <f>SUBSTITUTE(L227,"$","")</f>
        <v>40</v>
      </c>
      <c r="N227" s="8">
        <f t="shared" si="40"/>
        <v>40</v>
      </c>
      <c r="O227">
        <v>1.2</v>
      </c>
      <c r="P227" t="b">
        <v>0</v>
      </c>
      <c r="Q227" t="s">
        <v>2072</v>
      </c>
    </row>
    <row r="228" spans="1:19" x14ac:dyDescent="0.3">
      <c r="A228" t="s">
        <v>528</v>
      </c>
      <c r="B228" t="s">
        <v>529</v>
      </c>
      <c r="C228" t="str">
        <f t="shared" si="44"/>
        <v>Chelsea Barber</v>
      </c>
      <c r="D228" t="s">
        <v>6</v>
      </c>
      <c r="E228" t="str">
        <f t="shared" si="39"/>
        <v>Female</v>
      </c>
      <c r="F228">
        <v>29</v>
      </c>
      <c r="G228" t="s">
        <v>20</v>
      </c>
      <c r="H228" t="s">
        <v>21</v>
      </c>
      <c r="I228" t="s">
        <v>106</v>
      </c>
      <c r="J228">
        <v>10</v>
      </c>
      <c r="K228" s="4" t="str" cm="1">
        <f t="array" ref="K228">_xlfn.IFS(J228&lt;=5,"0-5",J228&lt;=10,"6-10",J228&lt;=15,"11-15",J228&lt;=20,"16-20",J228&gt;20,"21+")</f>
        <v>6-10</v>
      </c>
      <c r="L228" t="s">
        <v>47</v>
      </c>
      <c r="M228" s="2" t="str">
        <f>TRIM(MID(L228,FIND(" ",L228)+1,LEN(L228)))</f>
        <v>40</v>
      </c>
      <c r="N228" s="8">
        <f t="shared" si="40"/>
        <v>40</v>
      </c>
      <c r="O228">
        <v>1.2</v>
      </c>
      <c r="P228" t="b">
        <v>0</v>
      </c>
      <c r="Q228" t="s">
        <v>2072</v>
      </c>
      <c r="R228" s="1">
        <v>0.78</v>
      </c>
      <c r="S228" s="3">
        <f t="shared" ref="S228:S230" si="47">R228</f>
        <v>0.78</v>
      </c>
    </row>
    <row r="229" spans="1:19" x14ac:dyDescent="0.3">
      <c r="A229" t="s">
        <v>530</v>
      </c>
      <c r="B229" t="s">
        <v>531</v>
      </c>
      <c r="C229" t="str">
        <f t="shared" si="44"/>
        <v>Elaine Martinez</v>
      </c>
      <c r="D229" t="s">
        <v>69</v>
      </c>
      <c r="E229" t="str">
        <f t="shared" si="39"/>
        <v>Female</v>
      </c>
      <c r="F229">
        <v>54</v>
      </c>
      <c r="G229" t="s">
        <v>120</v>
      </c>
      <c r="H229" t="s">
        <v>14</v>
      </c>
      <c r="I229" t="s">
        <v>22</v>
      </c>
      <c r="J229">
        <v>33</v>
      </c>
      <c r="K229" s="4" t="str" cm="1">
        <f t="array" ref="K229">_xlfn.IFS(J229&lt;=5,"0-5",J229&lt;=10,"6-10",J229&lt;=15,"11-15",J229&lt;=20,"16-20",J229&gt;20,"21+")</f>
        <v>21+</v>
      </c>
      <c r="L229" t="s">
        <v>162</v>
      </c>
      <c r="M229" s="2" t="str">
        <f>SUBSTITUTE(L229,"$","")</f>
        <v>75</v>
      </c>
      <c r="N229" s="8">
        <f t="shared" si="40"/>
        <v>75</v>
      </c>
      <c r="O229">
        <v>0</v>
      </c>
      <c r="P229">
        <v>1</v>
      </c>
      <c r="Q229" t="s">
        <v>2073</v>
      </c>
      <c r="R229" s="1">
        <v>0.62</v>
      </c>
      <c r="S229" s="3">
        <f t="shared" si="47"/>
        <v>0.62</v>
      </c>
    </row>
    <row r="230" spans="1:19" x14ac:dyDescent="0.3">
      <c r="A230" t="s">
        <v>532</v>
      </c>
      <c r="B230" t="s">
        <v>533</v>
      </c>
      <c r="C230" t="str">
        <f t="shared" si="44"/>
        <v>Joseph Kent</v>
      </c>
      <c r="D230" t="s">
        <v>84</v>
      </c>
      <c r="E230" t="str">
        <f t="shared" si="39"/>
        <v>Male</v>
      </c>
      <c r="F230">
        <v>52</v>
      </c>
      <c r="G230" t="s">
        <v>171</v>
      </c>
      <c r="H230" t="s">
        <v>64</v>
      </c>
      <c r="I230" t="s">
        <v>106</v>
      </c>
      <c r="J230">
        <v>12</v>
      </c>
      <c r="K230" s="4" t="str" cm="1">
        <f t="array" ref="K230">_xlfn.IFS(J230&lt;=5,"0-5",J230&lt;=10,"6-10",J230&lt;=15,"11-15",J230&lt;=20,"16-20",J230&gt;20,"21+")</f>
        <v>11-15</v>
      </c>
      <c r="L230">
        <v>40</v>
      </c>
      <c r="M230" s="2">
        <f>L230</f>
        <v>40</v>
      </c>
      <c r="N230" s="8">
        <f t="shared" si="40"/>
        <v>40</v>
      </c>
      <c r="O230">
        <v>1.2</v>
      </c>
      <c r="P230">
        <v>0</v>
      </c>
      <c r="Q230" t="s">
        <v>2072</v>
      </c>
      <c r="R230" s="1">
        <v>0.76</v>
      </c>
      <c r="S230" s="3">
        <f t="shared" si="47"/>
        <v>0.76</v>
      </c>
    </row>
    <row r="231" spans="1:19" x14ac:dyDescent="0.3">
      <c r="A231" t="s">
        <v>534</v>
      </c>
      <c r="B231" t="s">
        <v>535</v>
      </c>
      <c r="C231" t="str">
        <f t="shared" si="44"/>
        <v>Megan Welch</v>
      </c>
      <c r="D231" t="s">
        <v>12</v>
      </c>
      <c r="E231" t="str">
        <f t="shared" si="39"/>
        <v>Female</v>
      </c>
      <c r="F231">
        <v>55</v>
      </c>
      <c r="G231" t="s">
        <v>41</v>
      </c>
      <c r="H231" t="s">
        <v>42</v>
      </c>
      <c r="I231" t="s">
        <v>9</v>
      </c>
      <c r="J231">
        <v>18</v>
      </c>
      <c r="K231" s="4" t="str" cm="1">
        <f t="array" ref="K231">_xlfn.IFS(J231&lt;=5,"0-5",J231&lt;=10,"6-10",J231&lt;=15,"11-15",J231&lt;=20,"16-20",J231&gt;20,"21+")</f>
        <v>16-20</v>
      </c>
      <c r="L231">
        <v>100</v>
      </c>
      <c r="M231" s="2">
        <f>L231</f>
        <v>100</v>
      </c>
      <c r="N231" s="8">
        <f t="shared" si="40"/>
        <v>100</v>
      </c>
      <c r="O231">
        <v>2.9</v>
      </c>
      <c r="P231">
        <v>0</v>
      </c>
      <c r="Q231" t="s">
        <v>2072</v>
      </c>
      <c r="R231">
        <v>97</v>
      </c>
      <c r="S231" s="3">
        <f>R231/100</f>
        <v>0.97</v>
      </c>
    </row>
    <row r="232" spans="1:19" x14ac:dyDescent="0.3">
      <c r="A232" t="s">
        <v>536</v>
      </c>
      <c r="B232" t="s">
        <v>537</v>
      </c>
      <c r="C232" t="str">
        <f t="shared" si="44"/>
        <v>Stephen Ramirez</v>
      </c>
      <c r="D232" t="s">
        <v>19</v>
      </c>
      <c r="E232" t="str">
        <f t="shared" si="39"/>
        <v>Male</v>
      </c>
      <c r="F232">
        <v>37</v>
      </c>
      <c r="G232" t="s">
        <v>99</v>
      </c>
      <c r="H232" t="s">
        <v>100</v>
      </c>
      <c r="I232" t="s">
        <v>9</v>
      </c>
      <c r="J232">
        <v>4</v>
      </c>
      <c r="K232" s="4" t="str" cm="1">
        <f t="array" ref="K232">_xlfn.IFS(J232&lt;=5,"0-5",J232&lt;=10,"6-10",J232&lt;=15,"11-15",J232&lt;=20,"16-20",J232&gt;20,"21+")</f>
        <v>0-5</v>
      </c>
      <c r="N232" s="8" t="str">
        <f t="shared" si="40"/>
        <v/>
      </c>
      <c r="P232" t="s">
        <v>23</v>
      </c>
      <c r="Q232" t="s">
        <v>2072</v>
      </c>
    </row>
    <row r="233" spans="1:19" x14ac:dyDescent="0.3">
      <c r="A233" t="s">
        <v>538</v>
      </c>
      <c r="B233" t="s">
        <v>539</v>
      </c>
      <c r="C233" t="str">
        <f t="shared" si="44"/>
        <v>Chloe Gray</v>
      </c>
      <c r="D233" t="s">
        <v>6</v>
      </c>
      <c r="E233" t="str">
        <f t="shared" si="39"/>
        <v>Female</v>
      </c>
      <c r="F233">
        <v>34</v>
      </c>
      <c r="G233" t="s">
        <v>131</v>
      </c>
      <c r="H233" t="s">
        <v>132</v>
      </c>
      <c r="I233" t="s">
        <v>43</v>
      </c>
      <c r="J233">
        <v>11</v>
      </c>
      <c r="K233" s="4" t="str" cm="1">
        <f t="array" ref="K233">_xlfn.IFS(J233&lt;=5,"0-5",J233&lt;=10,"6-10",J233&lt;=15,"11-15",J233&lt;=20,"16-20",J233&gt;20,"21+")</f>
        <v>11-15</v>
      </c>
      <c r="L233" t="s">
        <v>56</v>
      </c>
      <c r="M233" s="2" t="str">
        <f>SUBSTITUTE(L233,"$","")</f>
        <v>50</v>
      </c>
      <c r="N233" s="8">
        <f t="shared" si="40"/>
        <v>50</v>
      </c>
      <c r="O233">
        <v>3.9</v>
      </c>
      <c r="P233">
        <v>1</v>
      </c>
      <c r="Q233" t="s">
        <v>2073</v>
      </c>
      <c r="R233" s="1">
        <v>0.82</v>
      </c>
      <c r="S233" s="3">
        <f t="shared" ref="S233:S234" si="48">R233</f>
        <v>0.82</v>
      </c>
    </row>
    <row r="234" spans="1:19" x14ac:dyDescent="0.3">
      <c r="A234" t="s">
        <v>540</v>
      </c>
      <c r="B234" t="s">
        <v>541</v>
      </c>
      <c r="C234" t="str">
        <f>TRIM(MID(B234,FIND(" ",B234)+1,LEN(B234)))</f>
        <v>Williams Jr.</v>
      </c>
      <c r="D234" t="s">
        <v>40</v>
      </c>
      <c r="E234" t="str">
        <f t="shared" si="39"/>
        <v>Male</v>
      </c>
      <c r="F234">
        <v>20</v>
      </c>
      <c r="G234" t="s">
        <v>127</v>
      </c>
      <c r="H234" t="s">
        <v>128</v>
      </c>
      <c r="I234" t="s">
        <v>43</v>
      </c>
      <c r="J234">
        <v>1</v>
      </c>
      <c r="K234" s="4" t="str" cm="1">
        <f t="array" ref="K234">_xlfn.IFS(J234&lt;=5,"0-5",J234&lt;=10,"6-10",J234&lt;=15,"11-15",J234&lt;=20,"16-20",J234&gt;20,"21+")</f>
        <v>0-5</v>
      </c>
      <c r="L234">
        <v>50</v>
      </c>
      <c r="M234" s="2">
        <f>L234</f>
        <v>50</v>
      </c>
      <c r="N234" s="8">
        <f t="shared" si="40"/>
        <v>50</v>
      </c>
      <c r="O234">
        <v>3.1</v>
      </c>
      <c r="R234" s="1">
        <v>0.71</v>
      </c>
      <c r="S234" s="3">
        <f t="shared" si="48"/>
        <v>0.71</v>
      </c>
    </row>
    <row r="235" spans="1:19" x14ac:dyDescent="0.3">
      <c r="A235" t="s">
        <v>542</v>
      </c>
      <c r="B235" t="s">
        <v>543</v>
      </c>
      <c r="C235" t="str">
        <f t="shared" ref="C235:C274" si="49">B235</f>
        <v>Matthew Martin</v>
      </c>
      <c r="D235" t="s">
        <v>40</v>
      </c>
      <c r="E235" t="str">
        <f t="shared" si="39"/>
        <v>Male</v>
      </c>
      <c r="F235">
        <v>22</v>
      </c>
      <c r="G235" t="s">
        <v>171</v>
      </c>
      <c r="H235" t="s">
        <v>64</v>
      </c>
      <c r="I235" t="s">
        <v>65</v>
      </c>
      <c r="J235">
        <v>2</v>
      </c>
      <c r="K235" s="4" t="str" cm="1">
        <f t="array" ref="K235">_xlfn.IFS(J235&lt;=5,"0-5",J235&lt;=10,"6-10",J235&lt;=15,"11-15",J235&lt;=20,"16-20",J235&gt;20,"21+")</f>
        <v>0-5</v>
      </c>
      <c r="N235" s="8" t="str">
        <f t="shared" si="40"/>
        <v/>
      </c>
      <c r="O235">
        <v>0</v>
      </c>
      <c r="P235">
        <v>1</v>
      </c>
      <c r="Q235" t="s">
        <v>2073</v>
      </c>
    </row>
    <row r="236" spans="1:19" x14ac:dyDescent="0.3">
      <c r="A236" t="s">
        <v>544</v>
      </c>
      <c r="B236" t="s">
        <v>545</v>
      </c>
      <c r="C236" t="str">
        <f t="shared" si="49"/>
        <v>Julia Murphy</v>
      </c>
      <c r="D236" t="s">
        <v>6</v>
      </c>
      <c r="E236" t="str">
        <f t="shared" si="39"/>
        <v>Female</v>
      </c>
      <c r="F236">
        <v>23</v>
      </c>
      <c r="G236" t="s">
        <v>104</v>
      </c>
      <c r="H236" t="s">
        <v>105</v>
      </c>
      <c r="I236" t="s">
        <v>22</v>
      </c>
      <c r="J236">
        <v>2</v>
      </c>
      <c r="K236" s="4" t="str" cm="1">
        <f t="array" ref="K236">_xlfn.IFS(J236&lt;=5,"0-5",J236&lt;=10,"6-10",J236&lt;=15,"11-15",J236&lt;=20,"16-20",J236&gt;20,"21+")</f>
        <v>0-5</v>
      </c>
      <c r="L236">
        <v>50</v>
      </c>
      <c r="M236" s="2">
        <f>L236</f>
        <v>50</v>
      </c>
      <c r="N236" s="8">
        <f t="shared" si="40"/>
        <v>50</v>
      </c>
      <c r="O236">
        <v>3.2</v>
      </c>
      <c r="P236" t="b">
        <v>1</v>
      </c>
      <c r="Q236" t="s">
        <v>2073</v>
      </c>
    </row>
    <row r="237" spans="1:19" x14ac:dyDescent="0.3">
      <c r="A237" t="s">
        <v>546</v>
      </c>
      <c r="B237" t="s">
        <v>547</v>
      </c>
      <c r="C237" t="str">
        <f t="shared" si="49"/>
        <v>Anna Evans</v>
      </c>
      <c r="D237" t="s">
        <v>26</v>
      </c>
      <c r="E237" t="str">
        <f t="shared" si="39"/>
        <v>Female</v>
      </c>
      <c r="F237">
        <v>53</v>
      </c>
      <c r="G237" t="s">
        <v>104</v>
      </c>
      <c r="H237" t="s">
        <v>105</v>
      </c>
      <c r="I237" t="s">
        <v>9</v>
      </c>
      <c r="J237">
        <v>34</v>
      </c>
      <c r="K237" s="4" t="str" cm="1">
        <f t="array" ref="K237">_xlfn.IFS(J237&lt;=5,"0-5",J237&lt;=10,"6-10",J237&lt;=15,"11-15",J237&lt;=20,"16-20",J237&gt;20,"21+")</f>
        <v>21+</v>
      </c>
      <c r="L237">
        <v>30</v>
      </c>
      <c r="M237" s="2">
        <f>L237</f>
        <v>30</v>
      </c>
      <c r="N237" s="8">
        <f t="shared" si="40"/>
        <v>30</v>
      </c>
      <c r="P237" t="s">
        <v>66</v>
      </c>
      <c r="Q237" t="s">
        <v>2073</v>
      </c>
    </row>
    <row r="238" spans="1:19" x14ac:dyDescent="0.3">
      <c r="A238" t="s">
        <v>548</v>
      </c>
      <c r="B238" t="s">
        <v>549</v>
      </c>
      <c r="C238" t="str">
        <f t="shared" si="49"/>
        <v>Brenda Fleming</v>
      </c>
      <c r="D238" t="s">
        <v>26</v>
      </c>
      <c r="E238" t="str">
        <f t="shared" si="39"/>
        <v>Female</v>
      </c>
      <c r="F238">
        <v>56</v>
      </c>
      <c r="G238" t="s">
        <v>104</v>
      </c>
      <c r="H238" t="s">
        <v>105</v>
      </c>
      <c r="I238" t="s">
        <v>22</v>
      </c>
      <c r="J238">
        <v>27</v>
      </c>
      <c r="K238" s="4" t="str" cm="1">
        <f t="array" ref="K238">_xlfn.IFS(J238&lt;=5,"0-5",J238&lt;=10,"6-10",J238&lt;=15,"11-15",J238&lt;=20,"16-20",J238&gt;20,"21+")</f>
        <v>21+</v>
      </c>
      <c r="L238">
        <v>100</v>
      </c>
      <c r="M238" s="2">
        <f>L238</f>
        <v>100</v>
      </c>
      <c r="N238" s="8">
        <f t="shared" si="40"/>
        <v>100</v>
      </c>
      <c r="O238">
        <v>4.7</v>
      </c>
      <c r="P238" t="b">
        <v>1</v>
      </c>
      <c r="Q238" t="s">
        <v>2073</v>
      </c>
      <c r="R238" s="1">
        <v>0.69</v>
      </c>
      <c r="S238" s="3">
        <f t="shared" ref="S238:S240" si="50">R238</f>
        <v>0.69</v>
      </c>
    </row>
    <row r="239" spans="1:19" x14ac:dyDescent="0.3">
      <c r="A239" t="s">
        <v>550</v>
      </c>
      <c r="B239" t="s">
        <v>551</v>
      </c>
      <c r="C239" t="str">
        <f t="shared" si="49"/>
        <v>Daniel Harrington</v>
      </c>
      <c r="D239" t="s">
        <v>84</v>
      </c>
      <c r="E239" t="str">
        <f t="shared" si="39"/>
        <v>Male</v>
      </c>
      <c r="F239">
        <v>27</v>
      </c>
      <c r="G239" t="s">
        <v>120</v>
      </c>
      <c r="H239" t="s">
        <v>14</v>
      </c>
      <c r="I239" t="s">
        <v>36</v>
      </c>
      <c r="J239">
        <v>4</v>
      </c>
      <c r="K239" s="4" t="str" cm="1">
        <f t="array" ref="K239">_xlfn.IFS(J239&lt;=5,"0-5",J239&lt;=10,"6-10",J239&lt;=15,"11-15",J239&lt;=20,"16-20",J239&gt;20,"21+")</f>
        <v>0-5</v>
      </c>
      <c r="L239">
        <v>75</v>
      </c>
      <c r="M239" s="2">
        <f>L239</f>
        <v>75</v>
      </c>
      <c r="N239" s="8">
        <f t="shared" si="40"/>
        <v>75</v>
      </c>
      <c r="O239">
        <v>5</v>
      </c>
      <c r="P239">
        <v>0</v>
      </c>
      <c r="Q239" t="s">
        <v>2072</v>
      </c>
      <c r="R239" s="1">
        <v>0.88</v>
      </c>
      <c r="S239" s="3">
        <f t="shared" si="50"/>
        <v>0.88</v>
      </c>
    </row>
    <row r="240" spans="1:19" x14ac:dyDescent="0.3">
      <c r="A240" t="s">
        <v>552</v>
      </c>
      <c r="B240" t="s">
        <v>553</v>
      </c>
      <c r="C240" t="str">
        <f t="shared" si="49"/>
        <v>Daniel Barnett</v>
      </c>
      <c r="D240" t="s">
        <v>89</v>
      </c>
      <c r="E240" t="str">
        <f t="shared" si="39"/>
        <v>Male</v>
      </c>
      <c r="F240">
        <v>34</v>
      </c>
      <c r="G240" t="s">
        <v>7</v>
      </c>
      <c r="H240" t="s">
        <v>8</v>
      </c>
      <c r="I240" t="s">
        <v>15</v>
      </c>
      <c r="J240">
        <v>11</v>
      </c>
      <c r="K240" s="4" t="str" cm="1">
        <f t="array" ref="K240">_xlfn.IFS(J240&lt;=5,"0-5",J240&lt;=10,"6-10",J240&lt;=15,"11-15",J240&lt;=20,"16-20",J240&gt;20,"21+")</f>
        <v>11-15</v>
      </c>
      <c r="L240" t="s">
        <v>47</v>
      </c>
      <c r="M240" s="2" t="str">
        <f>TRIM(MID(L240,FIND(" ",L240)+1,LEN(L240)))</f>
        <v>40</v>
      </c>
      <c r="N240" s="8">
        <f t="shared" si="40"/>
        <v>40</v>
      </c>
      <c r="P240" t="b">
        <v>0</v>
      </c>
      <c r="Q240" t="s">
        <v>2072</v>
      </c>
      <c r="R240" s="1">
        <v>0.67</v>
      </c>
      <c r="S240" s="3">
        <f t="shared" si="50"/>
        <v>0.67</v>
      </c>
    </row>
    <row r="241" spans="1:19" x14ac:dyDescent="0.3">
      <c r="A241" t="s">
        <v>554</v>
      </c>
      <c r="B241" t="s">
        <v>555</v>
      </c>
      <c r="C241" t="str">
        <f t="shared" si="49"/>
        <v>Mark Cummings</v>
      </c>
      <c r="D241" t="s">
        <v>84</v>
      </c>
      <c r="E241" t="str">
        <f t="shared" si="39"/>
        <v>Male</v>
      </c>
      <c r="F241">
        <v>29</v>
      </c>
      <c r="G241" t="s">
        <v>50</v>
      </c>
      <c r="H241" t="s">
        <v>14</v>
      </c>
      <c r="I241" t="s">
        <v>27</v>
      </c>
      <c r="J241">
        <v>4</v>
      </c>
      <c r="K241" s="4" t="str" cm="1">
        <f t="array" ref="K241">_xlfn.IFS(J241&lt;=5,"0-5",J241&lt;=10,"6-10",J241&lt;=15,"11-15",J241&lt;=20,"16-20",J241&gt;20,"21+")</f>
        <v>0-5</v>
      </c>
      <c r="L241" t="s">
        <v>90</v>
      </c>
      <c r="M241" s="2" t="str">
        <f>TRIM(MID(L241,FIND(" ",L241)+1,LEN(L241)))</f>
        <v>50</v>
      </c>
      <c r="N241" s="8">
        <f t="shared" si="40"/>
        <v>50</v>
      </c>
      <c r="O241">
        <v>4</v>
      </c>
      <c r="P241">
        <v>0</v>
      </c>
      <c r="Q241" t="s">
        <v>2072</v>
      </c>
    </row>
    <row r="242" spans="1:19" x14ac:dyDescent="0.3">
      <c r="A242" t="s">
        <v>556</v>
      </c>
      <c r="B242" t="s">
        <v>557</v>
      </c>
      <c r="C242" t="str">
        <f t="shared" si="49"/>
        <v>Christopher Guerra</v>
      </c>
      <c r="D242" t="s">
        <v>84</v>
      </c>
      <c r="E242" t="str">
        <f t="shared" si="39"/>
        <v>Male</v>
      </c>
      <c r="F242">
        <v>34</v>
      </c>
      <c r="G242" t="s">
        <v>85</v>
      </c>
      <c r="H242" t="s">
        <v>86</v>
      </c>
      <c r="I242" t="s">
        <v>36</v>
      </c>
      <c r="J242">
        <v>11</v>
      </c>
      <c r="K242" s="4" t="str" cm="1">
        <f t="array" ref="K242">_xlfn.IFS(J242&lt;=5,"0-5",J242&lt;=10,"6-10",J242&lt;=15,"11-15",J242&lt;=20,"16-20",J242&gt;20,"21+")</f>
        <v>11-15</v>
      </c>
      <c r="N242" s="8" t="str">
        <f t="shared" si="40"/>
        <v/>
      </c>
      <c r="O242">
        <v>1.2</v>
      </c>
      <c r="P242">
        <v>1</v>
      </c>
      <c r="Q242" t="s">
        <v>2073</v>
      </c>
    </row>
    <row r="243" spans="1:19" x14ac:dyDescent="0.3">
      <c r="A243" t="s">
        <v>558</v>
      </c>
      <c r="B243" t="s">
        <v>559</v>
      </c>
      <c r="C243" t="str">
        <f t="shared" si="49"/>
        <v>Sarah Ho</v>
      </c>
      <c r="D243" t="s">
        <v>31</v>
      </c>
      <c r="E243" t="str">
        <f t="shared" si="39"/>
        <v>Female</v>
      </c>
      <c r="F243">
        <v>32</v>
      </c>
      <c r="G243" t="s">
        <v>171</v>
      </c>
      <c r="H243" t="s">
        <v>64</v>
      </c>
      <c r="I243" t="s">
        <v>36</v>
      </c>
      <c r="J243">
        <v>1</v>
      </c>
      <c r="K243" s="4" t="str" cm="1">
        <f t="array" ref="K243">_xlfn.IFS(J243&lt;=5,"0-5",J243&lt;=10,"6-10",J243&lt;=15,"11-15",J243&lt;=20,"16-20",J243&gt;20,"21+")</f>
        <v>0-5</v>
      </c>
      <c r="L243">
        <v>100</v>
      </c>
      <c r="M243" s="2">
        <f>L243</f>
        <v>100</v>
      </c>
      <c r="N243" s="8">
        <f t="shared" si="40"/>
        <v>100</v>
      </c>
      <c r="O243">
        <v>4.7</v>
      </c>
      <c r="P243">
        <v>0</v>
      </c>
      <c r="Q243" t="s">
        <v>2072</v>
      </c>
      <c r="R243" s="1">
        <v>0.67</v>
      </c>
      <c r="S243" s="3">
        <f t="shared" ref="S243:S246" si="51">R243</f>
        <v>0.67</v>
      </c>
    </row>
    <row r="244" spans="1:19" x14ac:dyDescent="0.3">
      <c r="A244" t="s">
        <v>560</v>
      </c>
      <c r="B244" t="s">
        <v>561</v>
      </c>
      <c r="C244" t="str">
        <f t="shared" si="49"/>
        <v>Veronica Thomas</v>
      </c>
      <c r="D244" t="s">
        <v>6</v>
      </c>
      <c r="E244" t="str">
        <f t="shared" si="39"/>
        <v>Female</v>
      </c>
      <c r="F244">
        <v>21</v>
      </c>
      <c r="G244" t="s">
        <v>145</v>
      </c>
      <c r="H244" t="s">
        <v>146</v>
      </c>
      <c r="I244" t="s">
        <v>106</v>
      </c>
      <c r="J244">
        <v>2</v>
      </c>
      <c r="K244" s="4" t="str" cm="1">
        <f t="array" ref="K244">_xlfn.IFS(J244&lt;=5,"0-5",J244&lt;=10,"6-10",J244&lt;=15,"11-15",J244&lt;=20,"16-20",J244&gt;20,"21+")</f>
        <v>0-5</v>
      </c>
      <c r="L244">
        <v>20</v>
      </c>
      <c r="M244" s="2">
        <f>L244</f>
        <v>20</v>
      </c>
      <c r="N244" s="8">
        <f t="shared" si="40"/>
        <v>20</v>
      </c>
      <c r="O244">
        <v>2.4</v>
      </c>
      <c r="R244" s="1">
        <v>0.86</v>
      </c>
      <c r="S244" s="3">
        <f t="shared" si="51"/>
        <v>0.86</v>
      </c>
    </row>
    <row r="245" spans="1:19" x14ac:dyDescent="0.3">
      <c r="A245" t="s">
        <v>562</v>
      </c>
      <c r="B245" t="s">
        <v>563</v>
      </c>
      <c r="C245" t="str">
        <f t="shared" si="49"/>
        <v>Mitchell Watson</v>
      </c>
      <c r="D245" t="s">
        <v>53</v>
      </c>
      <c r="E245" t="str">
        <f t="shared" si="39"/>
        <v>Male</v>
      </c>
      <c r="F245">
        <v>20</v>
      </c>
      <c r="G245" t="s">
        <v>171</v>
      </c>
      <c r="H245" t="s">
        <v>64</v>
      </c>
      <c r="I245" t="s">
        <v>22</v>
      </c>
      <c r="J245">
        <v>2</v>
      </c>
      <c r="K245" s="4" t="str" cm="1">
        <f t="array" ref="K245">_xlfn.IFS(J245&lt;=5,"0-5",J245&lt;=10,"6-10",J245&lt;=15,"11-15",J245&lt;=20,"16-20",J245&gt;20,"21+")</f>
        <v>0-5</v>
      </c>
      <c r="N245" s="8" t="str">
        <f t="shared" si="40"/>
        <v/>
      </c>
      <c r="O245">
        <v>1.1000000000000001</v>
      </c>
      <c r="P245" t="b">
        <v>0</v>
      </c>
      <c r="Q245" t="s">
        <v>2072</v>
      </c>
      <c r="R245" s="1">
        <v>0.69</v>
      </c>
      <c r="S245" s="3">
        <f t="shared" si="51"/>
        <v>0.69</v>
      </c>
    </row>
    <row r="246" spans="1:19" x14ac:dyDescent="0.3">
      <c r="A246" t="s">
        <v>564</v>
      </c>
      <c r="B246" t="s">
        <v>565</v>
      </c>
      <c r="C246" t="str">
        <f t="shared" si="49"/>
        <v>Monica Murphy</v>
      </c>
      <c r="D246" t="s">
        <v>12</v>
      </c>
      <c r="E246" t="str">
        <f t="shared" si="39"/>
        <v>Female</v>
      </c>
      <c r="F246">
        <v>35</v>
      </c>
      <c r="G246" t="s">
        <v>50</v>
      </c>
      <c r="H246" t="s">
        <v>14</v>
      </c>
      <c r="I246" t="s">
        <v>15</v>
      </c>
      <c r="J246">
        <v>10</v>
      </c>
      <c r="K246" s="4" t="str" cm="1">
        <f t="array" ref="K246">_xlfn.IFS(J246&lt;=5,"0-5",J246&lt;=10,"6-10",J246&lt;=15,"11-15",J246&lt;=20,"16-20",J246&gt;20,"21+")</f>
        <v>6-10</v>
      </c>
      <c r="L246">
        <v>50</v>
      </c>
      <c r="M246" s="2">
        <f>L246</f>
        <v>50</v>
      </c>
      <c r="N246" s="8">
        <f t="shared" si="40"/>
        <v>50</v>
      </c>
      <c r="O246">
        <v>1.4</v>
      </c>
      <c r="P246" t="b">
        <v>1</v>
      </c>
      <c r="Q246" t="s">
        <v>2073</v>
      </c>
      <c r="R246" s="1">
        <v>0.85</v>
      </c>
      <c r="S246" s="3">
        <f t="shared" si="51"/>
        <v>0.85</v>
      </c>
    </row>
    <row r="247" spans="1:19" x14ac:dyDescent="0.3">
      <c r="A247" t="s">
        <v>566</v>
      </c>
      <c r="B247" t="s">
        <v>567</v>
      </c>
      <c r="C247" t="str">
        <f t="shared" si="49"/>
        <v>Kristen Williams</v>
      </c>
      <c r="D247" t="s">
        <v>6</v>
      </c>
      <c r="E247" t="str">
        <f t="shared" si="39"/>
        <v>Female</v>
      </c>
      <c r="F247">
        <v>47</v>
      </c>
      <c r="G247" t="s">
        <v>50</v>
      </c>
      <c r="H247" t="s">
        <v>14</v>
      </c>
      <c r="I247" t="s">
        <v>65</v>
      </c>
      <c r="J247">
        <v>18</v>
      </c>
      <c r="K247" s="4" t="str" cm="1">
        <f t="array" ref="K247">_xlfn.IFS(J247&lt;=5,"0-5",J247&lt;=10,"6-10",J247&lt;=15,"11-15",J247&lt;=20,"16-20",J247&gt;20,"21+")</f>
        <v>16-20</v>
      </c>
      <c r="L247">
        <v>40</v>
      </c>
      <c r="M247" s="2">
        <f>L247</f>
        <v>40</v>
      </c>
      <c r="N247" s="8">
        <f t="shared" si="40"/>
        <v>40</v>
      </c>
      <c r="O247">
        <v>3.4</v>
      </c>
      <c r="P247">
        <v>0</v>
      </c>
      <c r="Q247" t="s">
        <v>2072</v>
      </c>
      <c r="R247">
        <v>60</v>
      </c>
      <c r="S247" s="3">
        <f t="shared" ref="S247:S248" si="52">R247/100</f>
        <v>0.6</v>
      </c>
    </row>
    <row r="248" spans="1:19" x14ac:dyDescent="0.3">
      <c r="A248" t="s">
        <v>568</v>
      </c>
      <c r="B248" t="s">
        <v>569</v>
      </c>
      <c r="C248" t="str">
        <f t="shared" si="49"/>
        <v>Nicole Wright</v>
      </c>
      <c r="D248" t="s">
        <v>6</v>
      </c>
      <c r="E248" t="str">
        <f t="shared" si="39"/>
        <v>Female</v>
      </c>
      <c r="F248">
        <v>41</v>
      </c>
      <c r="G248" t="s">
        <v>54</v>
      </c>
      <c r="H248" t="s">
        <v>55</v>
      </c>
      <c r="I248" t="s">
        <v>9</v>
      </c>
      <c r="J248">
        <v>4</v>
      </c>
      <c r="K248" s="4" t="str" cm="1">
        <f t="array" ref="K248">_xlfn.IFS(J248&lt;=5,"0-5",J248&lt;=10,"6-10",J248&lt;=15,"11-15",J248&lt;=20,"16-20",J248&gt;20,"21+")</f>
        <v>0-5</v>
      </c>
      <c r="L248">
        <v>40</v>
      </c>
      <c r="M248" s="2">
        <f>L248</f>
        <v>40</v>
      </c>
      <c r="N248" s="8">
        <f t="shared" si="40"/>
        <v>40</v>
      </c>
      <c r="O248">
        <v>2.7</v>
      </c>
      <c r="P248">
        <v>1</v>
      </c>
      <c r="Q248" t="s">
        <v>2073</v>
      </c>
      <c r="R248">
        <v>70</v>
      </c>
      <c r="S248" s="3">
        <f t="shared" si="52"/>
        <v>0.7</v>
      </c>
    </row>
    <row r="249" spans="1:19" x14ac:dyDescent="0.3">
      <c r="A249" t="s">
        <v>570</v>
      </c>
      <c r="B249" t="s">
        <v>571</v>
      </c>
      <c r="C249" t="str">
        <f t="shared" si="49"/>
        <v>Andrew Ruiz</v>
      </c>
      <c r="D249" t="s">
        <v>19</v>
      </c>
      <c r="E249" t="str">
        <f t="shared" si="39"/>
        <v>Male</v>
      </c>
      <c r="F249">
        <v>58</v>
      </c>
      <c r="G249" t="s">
        <v>63</v>
      </c>
      <c r="H249" t="s">
        <v>64</v>
      </c>
      <c r="I249" t="s">
        <v>27</v>
      </c>
      <c r="J249">
        <v>23</v>
      </c>
      <c r="K249" s="4" t="str" cm="1">
        <f t="array" ref="K249">_xlfn.IFS(J249&lt;=5,"0-5",J249&lt;=10,"6-10",J249&lt;=15,"11-15",J249&lt;=20,"16-20",J249&gt;20,"21+")</f>
        <v>21+</v>
      </c>
      <c r="N249" s="8" t="str">
        <f t="shared" si="40"/>
        <v/>
      </c>
      <c r="O249">
        <v>4.9000000000000004</v>
      </c>
      <c r="P249" t="b">
        <v>0</v>
      </c>
      <c r="Q249" t="s">
        <v>2072</v>
      </c>
    </row>
    <row r="250" spans="1:19" x14ac:dyDescent="0.3">
      <c r="A250" t="s">
        <v>572</v>
      </c>
      <c r="B250" t="s">
        <v>573</v>
      </c>
      <c r="C250" t="str">
        <f t="shared" si="49"/>
        <v>Zachary Jackson</v>
      </c>
      <c r="D250" t="s">
        <v>40</v>
      </c>
      <c r="E250" t="str">
        <f t="shared" si="39"/>
        <v>Male</v>
      </c>
      <c r="F250">
        <v>34</v>
      </c>
      <c r="G250" t="s">
        <v>167</v>
      </c>
      <c r="H250" t="s">
        <v>168</v>
      </c>
      <c r="I250" t="s">
        <v>43</v>
      </c>
      <c r="J250">
        <v>6</v>
      </c>
      <c r="K250" s="4" t="str" cm="1">
        <f t="array" ref="K250">_xlfn.IFS(J250&lt;=5,"0-5",J250&lt;=10,"6-10",J250&lt;=15,"11-15",J250&lt;=20,"16-20",J250&gt;20,"21+")</f>
        <v>6-10</v>
      </c>
      <c r="L250">
        <v>75</v>
      </c>
      <c r="M250" s="2">
        <f>L250</f>
        <v>75</v>
      </c>
      <c r="N250" s="8">
        <f t="shared" si="40"/>
        <v>75</v>
      </c>
      <c r="O250">
        <v>1.9</v>
      </c>
      <c r="P250">
        <v>1</v>
      </c>
      <c r="Q250" t="s">
        <v>2073</v>
      </c>
      <c r="R250" s="1">
        <v>0.81</v>
      </c>
      <c r="S250" s="3">
        <f>R250</f>
        <v>0.81</v>
      </c>
    </row>
    <row r="251" spans="1:19" x14ac:dyDescent="0.3">
      <c r="A251" t="s">
        <v>574</v>
      </c>
      <c r="B251" t="s">
        <v>575</v>
      </c>
      <c r="C251" t="str">
        <f t="shared" si="49"/>
        <v>Stephanie Carter</v>
      </c>
      <c r="D251" t="s">
        <v>6</v>
      </c>
      <c r="E251" t="str">
        <f t="shared" si="39"/>
        <v>Female</v>
      </c>
      <c r="F251">
        <v>50</v>
      </c>
      <c r="G251" t="s">
        <v>85</v>
      </c>
      <c r="H251" t="s">
        <v>86</v>
      </c>
      <c r="I251" t="s">
        <v>15</v>
      </c>
      <c r="J251">
        <v>5</v>
      </c>
      <c r="K251" s="4" t="str" cm="1">
        <f t="array" ref="K251">_xlfn.IFS(J251&lt;=5,"0-5",J251&lt;=10,"6-10",J251&lt;=15,"11-15",J251&lt;=20,"16-20",J251&gt;20,"21+")</f>
        <v>0-5</v>
      </c>
      <c r="L251">
        <v>100</v>
      </c>
      <c r="M251" s="2">
        <f>L251</f>
        <v>100</v>
      </c>
      <c r="N251" s="8">
        <f t="shared" si="40"/>
        <v>100</v>
      </c>
      <c r="P251">
        <v>1</v>
      </c>
      <c r="Q251" t="s">
        <v>2073</v>
      </c>
    </row>
    <row r="252" spans="1:19" x14ac:dyDescent="0.3">
      <c r="A252" t="s">
        <v>576</v>
      </c>
      <c r="B252" t="s">
        <v>577</v>
      </c>
      <c r="C252" t="str">
        <f t="shared" si="49"/>
        <v>Amy Olson</v>
      </c>
      <c r="D252" t="s">
        <v>6</v>
      </c>
      <c r="E252" t="str">
        <f t="shared" si="39"/>
        <v>Female</v>
      </c>
      <c r="F252">
        <v>42</v>
      </c>
      <c r="G252" t="s">
        <v>171</v>
      </c>
      <c r="H252" t="s">
        <v>64</v>
      </c>
      <c r="I252" t="s">
        <v>81</v>
      </c>
      <c r="J252">
        <v>19</v>
      </c>
      <c r="K252" s="4" t="str" cm="1">
        <f t="array" ref="K252">_xlfn.IFS(J252&lt;=5,"0-5",J252&lt;=10,"6-10",J252&lt;=15,"11-15",J252&lt;=20,"16-20",J252&gt;20,"21+")</f>
        <v>16-20</v>
      </c>
      <c r="L252" t="s">
        <v>44</v>
      </c>
      <c r="M252" s="2" t="str">
        <f>TRIM(MID(L252,FIND(" ",L252)+1,LEN(L252)))</f>
        <v>75</v>
      </c>
      <c r="N252" s="8">
        <f t="shared" si="40"/>
        <v>75</v>
      </c>
      <c r="O252">
        <v>4.5999999999999996</v>
      </c>
      <c r="P252">
        <v>0</v>
      </c>
      <c r="Q252" t="s">
        <v>2072</v>
      </c>
      <c r="R252" s="1">
        <v>0.78</v>
      </c>
      <c r="S252" s="3">
        <f>R252</f>
        <v>0.78</v>
      </c>
    </row>
    <row r="253" spans="1:19" x14ac:dyDescent="0.3">
      <c r="A253" t="s">
        <v>578</v>
      </c>
      <c r="B253" t="s">
        <v>579</v>
      </c>
      <c r="C253" t="str">
        <f t="shared" si="49"/>
        <v>Fred Stark</v>
      </c>
      <c r="D253" t="s">
        <v>84</v>
      </c>
      <c r="E253" t="str">
        <f t="shared" si="39"/>
        <v>Male</v>
      </c>
      <c r="F253">
        <v>43</v>
      </c>
      <c r="G253" t="s">
        <v>20</v>
      </c>
      <c r="H253" t="s">
        <v>21</v>
      </c>
      <c r="I253" t="s">
        <v>65</v>
      </c>
      <c r="J253">
        <v>6</v>
      </c>
      <c r="K253" s="4" t="str" cm="1">
        <f t="array" ref="K253">_xlfn.IFS(J253&lt;=5,"0-5",J253&lt;=10,"6-10",J253&lt;=15,"11-15",J253&lt;=20,"16-20",J253&gt;20,"21+")</f>
        <v>6-10</v>
      </c>
      <c r="L253">
        <v>50</v>
      </c>
      <c r="M253" s="2">
        <f>L253</f>
        <v>50</v>
      </c>
      <c r="N253" s="8">
        <f t="shared" si="40"/>
        <v>50</v>
      </c>
      <c r="O253">
        <v>0</v>
      </c>
      <c r="P253">
        <v>0</v>
      </c>
      <c r="Q253" t="s">
        <v>2072</v>
      </c>
      <c r="R253">
        <v>81</v>
      </c>
      <c r="S253" s="3">
        <f>R253/100</f>
        <v>0.81</v>
      </c>
    </row>
    <row r="254" spans="1:19" x14ac:dyDescent="0.3">
      <c r="A254" t="s">
        <v>580</v>
      </c>
      <c r="B254" t="s">
        <v>581</v>
      </c>
      <c r="C254" t="str">
        <f t="shared" si="49"/>
        <v>Jacob Gill</v>
      </c>
      <c r="D254" t="s">
        <v>89</v>
      </c>
      <c r="E254" t="str">
        <f t="shared" si="39"/>
        <v>Male</v>
      </c>
      <c r="F254">
        <v>34</v>
      </c>
      <c r="G254" t="s">
        <v>20</v>
      </c>
      <c r="H254" t="s">
        <v>21</v>
      </c>
      <c r="I254" t="s">
        <v>43</v>
      </c>
      <c r="J254">
        <v>8</v>
      </c>
      <c r="K254" s="4" t="str" cm="1">
        <f t="array" ref="K254">_xlfn.IFS(J254&lt;=5,"0-5",J254&lt;=10,"6-10",J254&lt;=15,"11-15",J254&lt;=20,"16-20",J254&gt;20,"21+")</f>
        <v>6-10</v>
      </c>
      <c r="L254">
        <v>75</v>
      </c>
      <c r="M254" s="2">
        <f>L254</f>
        <v>75</v>
      </c>
      <c r="N254" s="8">
        <f t="shared" si="40"/>
        <v>75</v>
      </c>
      <c r="O254">
        <v>1.8</v>
      </c>
      <c r="P254">
        <v>1</v>
      </c>
      <c r="Q254" t="s">
        <v>2073</v>
      </c>
      <c r="R254" s="1">
        <v>0.71</v>
      </c>
      <c r="S254" s="3">
        <f>R254</f>
        <v>0.71</v>
      </c>
    </row>
    <row r="255" spans="1:19" x14ac:dyDescent="0.3">
      <c r="A255" t="s">
        <v>582</v>
      </c>
      <c r="B255" t="s">
        <v>583</v>
      </c>
      <c r="C255" t="str">
        <f t="shared" si="49"/>
        <v>Anthony Nichols</v>
      </c>
      <c r="D255" t="s">
        <v>89</v>
      </c>
      <c r="E255" t="str">
        <f t="shared" si="39"/>
        <v>Male</v>
      </c>
      <c r="F255">
        <v>24</v>
      </c>
      <c r="G255" t="s">
        <v>182</v>
      </c>
      <c r="H255" t="s">
        <v>64</v>
      </c>
      <c r="I255" t="s">
        <v>15</v>
      </c>
      <c r="J255">
        <v>3</v>
      </c>
      <c r="K255" s="4" t="str" cm="1">
        <f t="array" ref="K255">_xlfn.IFS(J255&lt;=5,"0-5",J255&lt;=10,"6-10",J255&lt;=15,"11-15",J255&lt;=20,"16-20",J255&gt;20,"21+")</f>
        <v>0-5</v>
      </c>
      <c r="L255">
        <v>75</v>
      </c>
      <c r="M255" s="2">
        <f>L255</f>
        <v>75</v>
      </c>
      <c r="N255" s="8">
        <f t="shared" si="40"/>
        <v>75</v>
      </c>
      <c r="O255">
        <v>2</v>
      </c>
      <c r="P255" t="b">
        <v>0</v>
      </c>
      <c r="Q255" t="s">
        <v>2072</v>
      </c>
    </row>
    <row r="256" spans="1:19" x14ac:dyDescent="0.3">
      <c r="A256" t="s">
        <v>584</v>
      </c>
      <c r="B256" t="s">
        <v>585</v>
      </c>
      <c r="C256" t="str">
        <f t="shared" si="49"/>
        <v>William Knapp</v>
      </c>
      <c r="D256" t="s">
        <v>40</v>
      </c>
      <c r="E256" t="str">
        <f t="shared" si="39"/>
        <v>Male</v>
      </c>
      <c r="F256">
        <v>48</v>
      </c>
      <c r="G256" t="s">
        <v>145</v>
      </c>
      <c r="H256" t="s">
        <v>146</v>
      </c>
      <c r="I256" t="s">
        <v>65</v>
      </c>
      <c r="J256">
        <v>8</v>
      </c>
      <c r="K256" s="4" t="str" cm="1">
        <f t="array" ref="K256">_xlfn.IFS(J256&lt;=5,"0-5",J256&lt;=10,"6-10",J256&lt;=15,"11-15",J256&lt;=20,"16-20",J256&gt;20,"21+")</f>
        <v>6-10</v>
      </c>
      <c r="L256">
        <v>30</v>
      </c>
      <c r="M256" s="2">
        <f>L256</f>
        <v>30</v>
      </c>
      <c r="N256" s="8">
        <f t="shared" si="40"/>
        <v>30</v>
      </c>
      <c r="O256">
        <v>5</v>
      </c>
      <c r="P256">
        <v>1</v>
      </c>
      <c r="Q256" t="s">
        <v>2073</v>
      </c>
      <c r="R256" s="1">
        <v>0.99</v>
      </c>
      <c r="S256" s="3">
        <f t="shared" ref="S256:S259" si="53">R256</f>
        <v>0.99</v>
      </c>
    </row>
    <row r="257" spans="1:19" x14ac:dyDescent="0.3">
      <c r="A257" t="s">
        <v>586</v>
      </c>
      <c r="B257" t="s">
        <v>587</v>
      </c>
      <c r="C257" t="str">
        <f t="shared" si="49"/>
        <v>Elizabeth Walker</v>
      </c>
      <c r="D257" t="s">
        <v>26</v>
      </c>
      <c r="E257" t="str">
        <f t="shared" si="39"/>
        <v>Female</v>
      </c>
      <c r="F257">
        <v>39</v>
      </c>
      <c r="G257" t="s">
        <v>104</v>
      </c>
      <c r="H257" t="s">
        <v>105</v>
      </c>
      <c r="I257" t="s">
        <v>43</v>
      </c>
      <c r="J257">
        <v>12</v>
      </c>
      <c r="K257" s="4" t="str" cm="1">
        <f t="array" ref="K257">_xlfn.IFS(J257&lt;=5,"0-5",J257&lt;=10,"6-10",J257&lt;=15,"11-15",J257&lt;=20,"16-20",J257&gt;20,"21+")</f>
        <v>11-15</v>
      </c>
      <c r="L257" t="s">
        <v>113</v>
      </c>
      <c r="M257" s="2" t="str">
        <f>SUBSTITUTE(L257,"$","")</f>
        <v>20</v>
      </c>
      <c r="N257" s="8">
        <f t="shared" si="40"/>
        <v>20</v>
      </c>
      <c r="O257">
        <v>3.2</v>
      </c>
      <c r="P257" t="b">
        <v>1</v>
      </c>
      <c r="Q257" t="s">
        <v>2073</v>
      </c>
      <c r="R257" s="1">
        <v>0.66</v>
      </c>
      <c r="S257" s="3">
        <f t="shared" si="53"/>
        <v>0.66</v>
      </c>
    </row>
    <row r="258" spans="1:19" x14ac:dyDescent="0.3">
      <c r="A258" t="s">
        <v>588</v>
      </c>
      <c r="B258" t="s">
        <v>589</v>
      </c>
      <c r="C258" t="str">
        <f t="shared" si="49"/>
        <v>Brenda Reeves</v>
      </c>
      <c r="D258" t="s">
        <v>26</v>
      </c>
      <c r="E258" t="str">
        <f t="shared" ref="E258:E321" si="54">IF(LOWER(LEFT(D258,1))="f","Female","Male")</f>
        <v>Female</v>
      </c>
      <c r="F258">
        <v>57</v>
      </c>
      <c r="G258" t="s">
        <v>13</v>
      </c>
      <c r="H258" t="s">
        <v>14</v>
      </c>
      <c r="I258" t="s">
        <v>9</v>
      </c>
      <c r="J258">
        <v>30</v>
      </c>
      <c r="K258" s="4" t="str" cm="1">
        <f t="array" ref="K258">_xlfn.IFS(J258&lt;=5,"0-5",J258&lt;=10,"6-10",J258&lt;=15,"11-15",J258&lt;=20,"16-20",J258&gt;20,"21+")</f>
        <v>21+</v>
      </c>
      <c r="L258" t="s">
        <v>37</v>
      </c>
      <c r="M258" s="2" t="str">
        <f>SUBSTITUTE(L258,"$","")</f>
        <v>30</v>
      </c>
      <c r="N258" s="8">
        <f t="shared" si="40"/>
        <v>30</v>
      </c>
      <c r="O258">
        <v>2.4</v>
      </c>
      <c r="R258" s="1">
        <v>0.8</v>
      </c>
      <c r="S258" s="3">
        <f t="shared" si="53"/>
        <v>0.8</v>
      </c>
    </row>
    <row r="259" spans="1:19" x14ac:dyDescent="0.3">
      <c r="A259" t="s">
        <v>590</v>
      </c>
      <c r="B259" t="s">
        <v>591</v>
      </c>
      <c r="C259" t="str">
        <f t="shared" si="49"/>
        <v>Carrie Little</v>
      </c>
      <c r="D259" t="s">
        <v>12</v>
      </c>
      <c r="E259" t="str">
        <f t="shared" si="54"/>
        <v>Female</v>
      </c>
      <c r="F259">
        <v>44</v>
      </c>
      <c r="G259" t="s">
        <v>120</v>
      </c>
      <c r="H259" t="s">
        <v>14</v>
      </c>
      <c r="I259" t="s">
        <v>27</v>
      </c>
      <c r="J259">
        <v>21</v>
      </c>
      <c r="K259" s="4" t="str" cm="1">
        <f t="array" ref="K259">_xlfn.IFS(J259&lt;=5,"0-5",J259&lt;=10,"6-10",J259&lt;=15,"11-15",J259&lt;=20,"16-20",J259&gt;20,"21+")</f>
        <v>21+</v>
      </c>
      <c r="L259">
        <v>100</v>
      </c>
      <c r="M259" s="2">
        <f>L259</f>
        <v>100</v>
      </c>
      <c r="N259" s="8">
        <f t="shared" ref="N259:N322" si="55">IF(M259="", "", VALUE(M259))</f>
        <v>100</v>
      </c>
      <c r="O259">
        <v>2.9</v>
      </c>
      <c r="P259">
        <v>0</v>
      </c>
      <c r="Q259" t="s">
        <v>2072</v>
      </c>
      <c r="R259" s="1">
        <v>0.83</v>
      </c>
      <c r="S259" s="3">
        <f t="shared" si="53"/>
        <v>0.83</v>
      </c>
    </row>
    <row r="260" spans="1:19" x14ac:dyDescent="0.3">
      <c r="A260" t="s">
        <v>592</v>
      </c>
      <c r="B260" t="s">
        <v>593</v>
      </c>
      <c r="C260" t="str">
        <f t="shared" si="49"/>
        <v>Steven Jackson</v>
      </c>
      <c r="D260" t="s">
        <v>19</v>
      </c>
      <c r="E260" t="str">
        <f t="shared" si="54"/>
        <v>Male</v>
      </c>
      <c r="F260">
        <v>37</v>
      </c>
      <c r="G260" t="s">
        <v>99</v>
      </c>
      <c r="H260" t="s">
        <v>100</v>
      </c>
      <c r="I260" t="s">
        <v>65</v>
      </c>
      <c r="J260">
        <v>17</v>
      </c>
      <c r="K260" s="4" t="str" cm="1">
        <f t="array" ref="K260">_xlfn.IFS(J260&lt;=5,"0-5",J260&lt;=10,"6-10",J260&lt;=15,"11-15",J260&lt;=20,"16-20",J260&gt;20,"21+")</f>
        <v>16-20</v>
      </c>
      <c r="L260" t="s">
        <v>306</v>
      </c>
      <c r="M260" s="2" t="str">
        <f>TRIM(MID(L260,FIND(" ",L260)+1,LEN(L260)))</f>
        <v>20</v>
      </c>
      <c r="N260" s="8">
        <f t="shared" si="55"/>
        <v>20</v>
      </c>
      <c r="O260">
        <v>0</v>
      </c>
      <c r="P260" t="s">
        <v>60</v>
      </c>
      <c r="Q260" t="s">
        <v>2073</v>
      </c>
      <c r="R260">
        <v>87</v>
      </c>
      <c r="S260" s="3">
        <f t="shared" ref="S260:S261" si="56">R260/100</f>
        <v>0.87</v>
      </c>
    </row>
    <row r="261" spans="1:19" x14ac:dyDescent="0.3">
      <c r="A261" t="s">
        <v>594</v>
      </c>
      <c r="B261" t="s">
        <v>595</v>
      </c>
      <c r="C261" t="str">
        <f t="shared" si="49"/>
        <v>Mark Perry</v>
      </c>
      <c r="D261" t="s">
        <v>89</v>
      </c>
      <c r="E261" t="str">
        <f t="shared" si="54"/>
        <v>Male</v>
      </c>
      <c r="F261">
        <v>50</v>
      </c>
      <c r="G261" t="s">
        <v>54</v>
      </c>
      <c r="H261" t="s">
        <v>55</v>
      </c>
      <c r="I261" t="s">
        <v>43</v>
      </c>
      <c r="J261">
        <v>9</v>
      </c>
      <c r="K261" s="4" t="str" cm="1">
        <f t="array" ref="K261">_xlfn.IFS(J261&lt;=5,"0-5",J261&lt;=10,"6-10",J261&lt;=15,"11-15",J261&lt;=20,"16-20",J261&gt;20,"21+")</f>
        <v>6-10</v>
      </c>
      <c r="L261">
        <v>30</v>
      </c>
      <c r="M261" s="2">
        <f>L261</f>
        <v>30</v>
      </c>
      <c r="N261" s="8">
        <f t="shared" si="55"/>
        <v>30</v>
      </c>
      <c r="O261">
        <v>3</v>
      </c>
      <c r="P261">
        <v>0</v>
      </c>
      <c r="Q261" t="s">
        <v>2072</v>
      </c>
      <c r="R261">
        <v>76</v>
      </c>
      <c r="S261" s="3">
        <f t="shared" si="56"/>
        <v>0.76</v>
      </c>
    </row>
    <row r="262" spans="1:19" x14ac:dyDescent="0.3">
      <c r="A262" t="s">
        <v>596</v>
      </c>
      <c r="B262" t="s">
        <v>597</v>
      </c>
      <c r="C262" t="str">
        <f t="shared" si="49"/>
        <v>Cameron Spencer</v>
      </c>
      <c r="D262" t="s">
        <v>89</v>
      </c>
      <c r="E262" t="str">
        <f t="shared" si="54"/>
        <v>Male</v>
      </c>
      <c r="F262">
        <v>50</v>
      </c>
      <c r="G262" t="s">
        <v>182</v>
      </c>
      <c r="H262" t="s">
        <v>64</v>
      </c>
      <c r="I262" t="s">
        <v>65</v>
      </c>
      <c r="J262">
        <v>2</v>
      </c>
      <c r="K262" s="4" t="str" cm="1">
        <f t="array" ref="K262">_xlfn.IFS(J262&lt;=5,"0-5",J262&lt;=10,"6-10",J262&lt;=15,"11-15",J262&lt;=20,"16-20",J262&gt;20,"21+")</f>
        <v>0-5</v>
      </c>
      <c r="L262">
        <v>50</v>
      </c>
      <c r="M262" s="2">
        <f>L262</f>
        <v>50</v>
      </c>
      <c r="N262" s="8">
        <f t="shared" si="55"/>
        <v>50</v>
      </c>
      <c r="O262">
        <v>1.6</v>
      </c>
      <c r="P262" t="s">
        <v>151</v>
      </c>
      <c r="Q262" t="s">
        <v>2072</v>
      </c>
      <c r="R262" s="1">
        <v>0.89</v>
      </c>
      <c r="S262" s="3">
        <f t="shared" ref="S262:S268" si="57">R262</f>
        <v>0.89</v>
      </c>
    </row>
    <row r="263" spans="1:19" x14ac:dyDescent="0.3">
      <c r="A263" t="s">
        <v>598</v>
      </c>
      <c r="B263" t="s">
        <v>599</v>
      </c>
      <c r="C263" t="str">
        <f t="shared" si="49"/>
        <v>Jennifer Holmes</v>
      </c>
      <c r="D263" t="s">
        <v>69</v>
      </c>
      <c r="E263" t="str">
        <f t="shared" si="54"/>
        <v>Female</v>
      </c>
      <c r="F263">
        <v>28</v>
      </c>
      <c r="G263" t="s">
        <v>127</v>
      </c>
      <c r="H263" t="s">
        <v>128</v>
      </c>
      <c r="I263" t="s">
        <v>22</v>
      </c>
      <c r="J263">
        <v>1</v>
      </c>
      <c r="K263" s="4" t="str" cm="1">
        <f t="array" ref="K263">_xlfn.IFS(J263&lt;=5,"0-5",J263&lt;=10,"6-10",J263&lt;=15,"11-15",J263&lt;=20,"16-20",J263&gt;20,"21+")</f>
        <v>0-5</v>
      </c>
      <c r="L263">
        <v>20</v>
      </c>
      <c r="M263" s="2">
        <f>L263</f>
        <v>20</v>
      </c>
      <c r="N263" s="8">
        <f t="shared" si="55"/>
        <v>20</v>
      </c>
      <c r="O263">
        <v>3.6</v>
      </c>
      <c r="P263" t="s">
        <v>60</v>
      </c>
      <c r="Q263" t="s">
        <v>2073</v>
      </c>
      <c r="R263" s="1">
        <v>0.94</v>
      </c>
      <c r="S263" s="3">
        <f t="shared" si="57"/>
        <v>0.94</v>
      </c>
    </row>
    <row r="264" spans="1:19" x14ac:dyDescent="0.3">
      <c r="A264" t="s">
        <v>600</v>
      </c>
      <c r="B264" t="s">
        <v>601</v>
      </c>
      <c r="C264" t="str">
        <f t="shared" si="49"/>
        <v>Jacob Joseph</v>
      </c>
      <c r="D264" t="s">
        <v>89</v>
      </c>
      <c r="E264" t="str">
        <f t="shared" si="54"/>
        <v>Male</v>
      </c>
      <c r="F264">
        <v>48</v>
      </c>
      <c r="G264" t="s">
        <v>7</v>
      </c>
      <c r="H264" t="s">
        <v>8</v>
      </c>
      <c r="I264" t="s">
        <v>27</v>
      </c>
      <c r="J264">
        <v>23</v>
      </c>
      <c r="K264" s="4" t="str" cm="1">
        <f t="array" ref="K264">_xlfn.IFS(J264&lt;=5,"0-5",J264&lt;=10,"6-10",J264&lt;=15,"11-15",J264&lt;=20,"16-20",J264&gt;20,"21+")</f>
        <v>21+</v>
      </c>
      <c r="N264" s="8" t="str">
        <f t="shared" si="55"/>
        <v/>
      </c>
      <c r="O264">
        <v>2.1</v>
      </c>
      <c r="P264">
        <v>0</v>
      </c>
      <c r="Q264" t="s">
        <v>2072</v>
      </c>
      <c r="R264" s="1">
        <v>0.68</v>
      </c>
      <c r="S264" s="3">
        <f t="shared" si="57"/>
        <v>0.68</v>
      </c>
    </row>
    <row r="265" spans="1:19" x14ac:dyDescent="0.3">
      <c r="A265" t="s">
        <v>602</v>
      </c>
      <c r="B265" t="s">
        <v>603</v>
      </c>
      <c r="C265" t="str">
        <f t="shared" si="49"/>
        <v>Jeffery Tucker</v>
      </c>
      <c r="D265" t="s">
        <v>89</v>
      </c>
      <c r="E265" t="str">
        <f t="shared" si="54"/>
        <v>Male</v>
      </c>
      <c r="F265">
        <v>42</v>
      </c>
      <c r="G265" t="s">
        <v>20</v>
      </c>
      <c r="H265" t="s">
        <v>21</v>
      </c>
      <c r="I265" t="s">
        <v>81</v>
      </c>
      <c r="J265">
        <v>8</v>
      </c>
      <c r="K265" s="4" t="str" cm="1">
        <f t="array" ref="K265">_xlfn.IFS(J265&lt;=5,"0-5",J265&lt;=10,"6-10",J265&lt;=15,"11-15",J265&lt;=20,"16-20",J265&gt;20,"21+")</f>
        <v>6-10</v>
      </c>
      <c r="L265">
        <v>30</v>
      </c>
      <c r="M265" s="2">
        <f>L265</f>
        <v>30</v>
      </c>
      <c r="N265" s="8">
        <f t="shared" si="55"/>
        <v>30</v>
      </c>
      <c r="O265">
        <v>3.6</v>
      </c>
      <c r="P265">
        <v>1</v>
      </c>
      <c r="Q265" t="s">
        <v>2073</v>
      </c>
      <c r="R265" s="1">
        <v>0.96</v>
      </c>
      <c r="S265" s="3">
        <f t="shared" si="57"/>
        <v>0.96</v>
      </c>
    </row>
    <row r="266" spans="1:19" x14ac:dyDescent="0.3">
      <c r="A266" t="s">
        <v>604</v>
      </c>
      <c r="B266" t="s">
        <v>605</v>
      </c>
      <c r="C266" t="str">
        <f t="shared" si="49"/>
        <v>Jacqueline Drake</v>
      </c>
      <c r="D266" t="s">
        <v>69</v>
      </c>
      <c r="E266" t="str">
        <f t="shared" si="54"/>
        <v>Female</v>
      </c>
      <c r="F266">
        <v>37</v>
      </c>
      <c r="G266" t="s">
        <v>120</v>
      </c>
      <c r="H266" t="s">
        <v>14</v>
      </c>
      <c r="I266" t="s">
        <v>43</v>
      </c>
      <c r="J266">
        <v>6</v>
      </c>
      <c r="K266" s="4" t="str" cm="1">
        <f t="array" ref="K266">_xlfn.IFS(J266&lt;=5,"0-5",J266&lt;=10,"6-10",J266&lt;=15,"11-15",J266&lt;=20,"16-20",J266&gt;20,"21+")</f>
        <v>6-10</v>
      </c>
      <c r="L266" t="s">
        <v>113</v>
      </c>
      <c r="M266" s="2" t="str">
        <f>SUBSTITUTE(L266,"$","")</f>
        <v>20</v>
      </c>
      <c r="N266" s="8">
        <f t="shared" si="55"/>
        <v>20</v>
      </c>
      <c r="O266">
        <v>2.7</v>
      </c>
      <c r="P266" t="b">
        <v>1</v>
      </c>
      <c r="Q266" t="s">
        <v>2073</v>
      </c>
      <c r="R266" s="1">
        <v>0.91</v>
      </c>
      <c r="S266" s="3">
        <f t="shared" si="57"/>
        <v>0.91</v>
      </c>
    </row>
    <row r="267" spans="1:19" x14ac:dyDescent="0.3">
      <c r="A267" t="s">
        <v>606</v>
      </c>
      <c r="B267" t="s">
        <v>607</v>
      </c>
      <c r="C267" t="str">
        <f t="shared" si="49"/>
        <v>Brian Bautista</v>
      </c>
      <c r="D267" t="s">
        <v>89</v>
      </c>
      <c r="E267" t="str">
        <f t="shared" si="54"/>
        <v>Male</v>
      </c>
      <c r="F267">
        <v>21</v>
      </c>
      <c r="G267" t="s">
        <v>85</v>
      </c>
      <c r="H267" t="s">
        <v>86</v>
      </c>
      <c r="I267" t="s">
        <v>9</v>
      </c>
      <c r="J267">
        <v>1</v>
      </c>
      <c r="K267" s="4" t="str" cm="1">
        <f t="array" ref="K267">_xlfn.IFS(J267&lt;=5,"0-5",J267&lt;=10,"6-10",J267&lt;=15,"11-15",J267&lt;=20,"16-20",J267&gt;20,"21+")</f>
        <v>0-5</v>
      </c>
      <c r="L267">
        <v>100</v>
      </c>
      <c r="M267" s="2">
        <f>L267</f>
        <v>100</v>
      </c>
      <c r="N267" s="8">
        <f t="shared" si="55"/>
        <v>100</v>
      </c>
      <c r="O267">
        <v>2.1</v>
      </c>
      <c r="P267">
        <v>1</v>
      </c>
      <c r="Q267" t="s">
        <v>2073</v>
      </c>
      <c r="R267" s="1">
        <v>0.92</v>
      </c>
      <c r="S267" s="3">
        <f t="shared" si="57"/>
        <v>0.92</v>
      </c>
    </row>
    <row r="268" spans="1:19" x14ac:dyDescent="0.3">
      <c r="A268" t="s">
        <v>608</v>
      </c>
      <c r="B268" t="s">
        <v>609</v>
      </c>
      <c r="C268" t="str">
        <f t="shared" si="49"/>
        <v>Dakota Wells</v>
      </c>
      <c r="D268" t="s">
        <v>53</v>
      </c>
      <c r="E268" t="str">
        <f t="shared" si="54"/>
        <v>Male</v>
      </c>
      <c r="F268">
        <v>50</v>
      </c>
      <c r="G268" t="s">
        <v>104</v>
      </c>
      <c r="H268" t="s">
        <v>105</v>
      </c>
      <c r="I268" t="s">
        <v>27</v>
      </c>
      <c r="J268">
        <v>19</v>
      </c>
      <c r="K268" s="4" t="str" cm="1">
        <f t="array" ref="K268">_xlfn.IFS(J268&lt;=5,"0-5",J268&lt;=10,"6-10",J268&lt;=15,"11-15",J268&lt;=20,"16-20",J268&gt;20,"21+")</f>
        <v>16-20</v>
      </c>
      <c r="L268" t="s">
        <v>28</v>
      </c>
      <c r="M268" s="2" t="str">
        <f>SUBSTITUTE(L268,"$","")</f>
        <v>40</v>
      </c>
      <c r="N268" s="8">
        <f t="shared" si="55"/>
        <v>40</v>
      </c>
      <c r="O268">
        <v>4.9000000000000004</v>
      </c>
      <c r="R268" s="1">
        <v>0.82</v>
      </c>
      <c r="S268" s="3">
        <f t="shared" si="57"/>
        <v>0.82</v>
      </c>
    </row>
    <row r="269" spans="1:19" x14ac:dyDescent="0.3">
      <c r="A269" t="s">
        <v>610</v>
      </c>
      <c r="B269" t="s">
        <v>611</v>
      </c>
      <c r="C269" t="str">
        <f t="shared" si="49"/>
        <v>Julie White</v>
      </c>
      <c r="D269" t="s">
        <v>26</v>
      </c>
      <c r="E269" t="str">
        <f t="shared" si="54"/>
        <v>Female</v>
      </c>
      <c r="F269">
        <v>22</v>
      </c>
      <c r="G269" t="s">
        <v>63</v>
      </c>
      <c r="H269" t="s">
        <v>64</v>
      </c>
      <c r="I269" t="s">
        <v>36</v>
      </c>
      <c r="J269">
        <v>2</v>
      </c>
      <c r="K269" s="4" t="str" cm="1">
        <f t="array" ref="K269">_xlfn.IFS(J269&lt;=5,"0-5",J269&lt;=10,"6-10",J269&lt;=15,"11-15",J269&lt;=20,"16-20",J269&gt;20,"21+")</f>
        <v>0-5</v>
      </c>
      <c r="L269">
        <v>30</v>
      </c>
      <c r="M269" s="2">
        <f>L269</f>
        <v>30</v>
      </c>
      <c r="N269" s="8">
        <f t="shared" si="55"/>
        <v>30</v>
      </c>
      <c r="O269">
        <v>2.1</v>
      </c>
    </row>
    <row r="270" spans="1:19" x14ac:dyDescent="0.3">
      <c r="A270" t="s">
        <v>612</v>
      </c>
      <c r="B270" t="s">
        <v>613</v>
      </c>
      <c r="C270" t="str">
        <f t="shared" si="49"/>
        <v>Barbara Keith</v>
      </c>
      <c r="D270" t="s">
        <v>69</v>
      </c>
      <c r="E270" t="str">
        <f t="shared" si="54"/>
        <v>Female</v>
      </c>
      <c r="F270">
        <v>39</v>
      </c>
      <c r="G270" t="s">
        <v>77</v>
      </c>
      <c r="H270" t="s">
        <v>78</v>
      </c>
      <c r="I270" t="s">
        <v>27</v>
      </c>
      <c r="J270">
        <v>21</v>
      </c>
      <c r="K270" s="4" t="str" cm="1">
        <f t="array" ref="K270">_xlfn.IFS(J270&lt;=5,"0-5",J270&lt;=10,"6-10",J270&lt;=15,"11-15",J270&lt;=20,"16-20",J270&gt;20,"21+")</f>
        <v>21+</v>
      </c>
      <c r="L270">
        <v>100</v>
      </c>
      <c r="M270" s="2">
        <f>L270</f>
        <v>100</v>
      </c>
      <c r="N270" s="8">
        <f t="shared" si="55"/>
        <v>100</v>
      </c>
      <c r="O270">
        <v>0</v>
      </c>
      <c r="P270" t="s">
        <v>151</v>
      </c>
      <c r="Q270" t="s">
        <v>2072</v>
      </c>
      <c r="R270" s="1">
        <v>0.91</v>
      </c>
      <c r="S270" s="3">
        <f>R270</f>
        <v>0.91</v>
      </c>
    </row>
    <row r="271" spans="1:19" x14ac:dyDescent="0.3">
      <c r="A271" t="s">
        <v>614</v>
      </c>
      <c r="B271" t="s">
        <v>615</v>
      </c>
      <c r="C271" t="str">
        <f t="shared" si="49"/>
        <v>Heather Camacho</v>
      </c>
      <c r="D271" t="s">
        <v>69</v>
      </c>
      <c r="E271" t="str">
        <f t="shared" si="54"/>
        <v>Female</v>
      </c>
      <c r="F271">
        <v>25</v>
      </c>
      <c r="G271" t="s">
        <v>77</v>
      </c>
      <c r="H271" t="s">
        <v>78</v>
      </c>
      <c r="I271" t="s">
        <v>106</v>
      </c>
      <c r="J271">
        <v>3</v>
      </c>
      <c r="K271" s="4" t="str" cm="1">
        <f t="array" ref="K271">_xlfn.IFS(J271&lt;=5,"0-5",J271&lt;=10,"6-10",J271&lt;=15,"11-15",J271&lt;=20,"16-20",J271&gt;20,"21+")</f>
        <v>0-5</v>
      </c>
      <c r="L271" t="s">
        <v>56</v>
      </c>
      <c r="M271" s="2" t="str">
        <f>SUBSTITUTE(L271,"$","")</f>
        <v>50</v>
      </c>
      <c r="N271" s="8">
        <f t="shared" si="55"/>
        <v>50</v>
      </c>
      <c r="O271">
        <v>2.8</v>
      </c>
      <c r="P271" t="s">
        <v>60</v>
      </c>
      <c r="Q271" t="s">
        <v>2073</v>
      </c>
      <c r="R271">
        <v>86</v>
      </c>
      <c r="S271" s="3">
        <f>R271/100</f>
        <v>0.86</v>
      </c>
    </row>
    <row r="272" spans="1:19" x14ac:dyDescent="0.3">
      <c r="A272" t="s">
        <v>616</v>
      </c>
      <c r="B272" t="s">
        <v>617</v>
      </c>
      <c r="C272" t="str">
        <f t="shared" si="49"/>
        <v>Melanie Harris</v>
      </c>
      <c r="D272" t="s">
        <v>12</v>
      </c>
      <c r="E272" t="str">
        <f t="shared" si="54"/>
        <v>Female</v>
      </c>
      <c r="F272">
        <v>47</v>
      </c>
      <c r="G272" t="s">
        <v>145</v>
      </c>
      <c r="H272" t="s">
        <v>146</v>
      </c>
      <c r="I272" t="s">
        <v>15</v>
      </c>
      <c r="J272">
        <v>14</v>
      </c>
      <c r="K272" s="4" t="str" cm="1">
        <f t="array" ref="K272">_xlfn.IFS(J272&lt;=5,"0-5",J272&lt;=10,"6-10",J272&lt;=15,"11-15",J272&lt;=20,"16-20",J272&gt;20,"21+")</f>
        <v>11-15</v>
      </c>
      <c r="N272" s="8" t="str">
        <f t="shared" si="55"/>
        <v/>
      </c>
      <c r="P272" t="b">
        <v>0</v>
      </c>
      <c r="Q272" t="s">
        <v>2072</v>
      </c>
      <c r="R272" s="1">
        <v>0.69</v>
      </c>
      <c r="S272" s="3">
        <f t="shared" ref="S272:S279" si="58">R272</f>
        <v>0.69</v>
      </c>
    </row>
    <row r="273" spans="1:19" x14ac:dyDescent="0.3">
      <c r="A273" t="s">
        <v>618</v>
      </c>
      <c r="B273" t="s">
        <v>619</v>
      </c>
      <c r="C273" t="str">
        <f t="shared" si="49"/>
        <v>Jacqueline Peterson</v>
      </c>
      <c r="D273" t="s">
        <v>6</v>
      </c>
      <c r="E273" t="str">
        <f t="shared" si="54"/>
        <v>Female</v>
      </c>
      <c r="F273">
        <v>35</v>
      </c>
      <c r="G273" t="s">
        <v>145</v>
      </c>
      <c r="H273" t="s">
        <v>146</v>
      </c>
      <c r="I273" t="s">
        <v>65</v>
      </c>
      <c r="J273">
        <v>10</v>
      </c>
      <c r="K273" s="4" t="str" cm="1">
        <f t="array" ref="K273">_xlfn.IFS(J273&lt;=5,"0-5",J273&lt;=10,"6-10",J273&lt;=15,"11-15",J273&lt;=20,"16-20",J273&gt;20,"21+")</f>
        <v>6-10</v>
      </c>
      <c r="L273" t="s">
        <v>16</v>
      </c>
      <c r="M273" s="2" t="str">
        <f>TRIM(MID(L273,FIND(" ",L273)+1,LEN(L273)))</f>
        <v>100</v>
      </c>
      <c r="N273" s="8">
        <f t="shared" si="55"/>
        <v>100</v>
      </c>
      <c r="O273">
        <v>4.7</v>
      </c>
      <c r="P273" t="b">
        <v>1</v>
      </c>
      <c r="Q273" t="s">
        <v>2073</v>
      </c>
      <c r="R273" s="1">
        <v>0.84</v>
      </c>
      <c r="S273" s="3">
        <f t="shared" si="58"/>
        <v>0.84</v>
      </c>
    </row>
    <row r="274" spans="1:19" x14ac:dyDescent="0.3">
      <c r="A274" t="s">
        <v>620</v>
      </c>
      <c r="B274" t="s">
        <v>621</v>
      </c>
      <c r="C274" t="str">
        <f t="shared" si="49"/>
        <v>Nancy Long</v>
      </c>
      <c r="D274" t="s">
        <v>6</v>
      </c>
      <c r="E274" t="str">
        <f t="shared" si="54"/>
        <v>Female</v>
      </c>
      <c r="G274" t="s">
        <v>59</v>
      </c>
      <c r="H274" t="s">
        <v>14</v>
      </c>
      <c r="I274" t="s">
        <v>70</v>
      </c>
      <c r="J274">
        <v>5</v>
      </c>
      <c r="K274" s="4" t="str" cm="1">
        <f t="array" ref="K274">_xlfn.IFS(J274&lt;=5,"0-5",J274&lt;=10,"6-10",J274&lt;=15,"11-15",J274&lt;=20,"16-20",J274&gt;20,"21+")</f>
        <v>0-5</v>
      </c>
      <c r="L274">
        <v>100</v>
      </c>
      <c r="M274" s="2">
        <f>L274</f>
        <v>100</v>
      </c>
      <c r="N274" s="8">
        <f t="shared" si="55"/>
        <v>100</v>
      </c>
      <c r="O274">
        <v>1.3</v>
      </c>
      <c r="P274">
        <v>0</v>
      </c>
      <c r="Q274" t="s">
        <v>2072</v>
      </c>
      <c r="R274" s="1">
        <v>0.6</v>
      </c>
      <c r="S274" s="3">
        <f t="shared" si="58"/>
        <v>0.6</v>
      </c>
    </row>
    <row r="275" spans="1:19" x14ac:dyDescent="0.3">
      <c r="A275" t="s">
        <v>622</v>
      </c>
      <c r="B275" t="s">
        <v>623</v>
      </c>
      <c r="C275" t="str">
        <f>TRIM(MID(B275,FIND(" ",B275)+1,LEN(B275)))</f>
        <v>Juan Mitchell</v>
      </c>
      <c r="D275" t="s">
        <v>19</v>
      </c>
      <c r="E275" t="str">
        <f t="shared" si="54"/>
        <v>Male</v>
      </c>
      <c r="F275">
        <v>35</v>
      </c>
      <c r="G275" t="s">
        <v>34</v>
      </c>
      <c r="H275" t="s">
        <v>35</v>
      </c>
      <c r="I275" t="s">
        <v>9</v>
      </c>
      <c r="J275">
        <v>6</v>
      </c>
      <c r="K275" s="4" t="str" cm="1">
        <f t="array" ref="K275">_xlfn.IFS(J275&lt;=5,"0-5",J275&lt;=10,"6-10",J275&lt;=15,"11-15",J275&lt;=20,"16-20",J275&gt;20,"21+")</f>
        <v>6-10</v>
      </c>
      <c r="L275" t="s">
        <v>44</v>
      </c>
      <c r="M275" s="2" t="str">
        <f>TRIM(MID(L275,FIND(" ",L275)+1,LEN(L275)))</f>
        <v>75</v>
      </c>
      <c r="N275" s="8">
        <f t="shared" si="55"/>
        <v>75</v>
      </c>
      <c r="O275">
        <v>1.6</v>
      </c>
      <c r="P275">
        <v>1</v>
      </c>
      <c r="Q275" t="s">
        <v>2073</v>
      </c>
      <c r="R275" s="1">
        <v>0.97</v>
      </c>
      <c r="S275" s="3">
        <f t="shared" si="58"/>
        <v>0.97</v>
      </c>
    </row>
    <row r="276" spans="1:19" x14ac:dyDescent="0.3">
      <c r="A276" t="s">
        <v>624</v>
      </c>
      <c r="B276" t="s">
        <v>625</v>
      </c>
      <c r="C276" t="str">
        <f t="shared" ref="C276:C283" si="59">B276</f>
        <v>William Gaines</v>
      </c>
      <c r="D276" t="s">
        <v>89</v>
      </c>
      <c r="E276" t="str">
        <f t="shared" si="54"/>
        <v>Male</v>
      </c>
      <c r="F276">
        <v>59</v>
      </c>
      <c r="G276" t="s">
        <v>127</v>
      </c>
      <c r="H276" t="s">
        <v>128</v>
      </c>
      <c r="I276" t="s">
        <v>27</v>
      </c>
      <c r="J276">
        <v>21</v>
      </c>
      <c r="K276" s="4" t="str" cm="1">
        <f t="array" ref="K276">_xlfn.IFS(J276&lt;=5,"0-5",J276&lt;=10,"6-10",J276&lt;=15,"11-15",J276&lt;=20,"16-20",J276&gt;20,"21+")</f>
        <v>21+</v>
      </c>
      <c r="L276">
        <v>100</v>
      </c>
      <c r="M276" s="2">
        <f>L276</f>
        <v>100</v>
      </c>
      <c r="N276" s="8">
        <f t="shared" si="55"/>
        <v>100</v>
      </c>
      <c r="O276">
        <v>0</v>
      </c>
      <c r="R276" s="1">
        <v>0.7</v>
      </c>
      <c r="S276" s="3">
        <f t="shared" si="58"/>
        <v>0.7</v>
      </c>
    </row>
    <row r="277" spans="1:19" x14ac:dyDescent="0.3">
      <c r="A277" t="s">
        <v>626</v>
      </c>
      <c r="B277" t="s">
        <v>627</v>
      </c>
      <c r="C277" t="str">
        <f t="shared" si="59"/>
        <v>Haley Yates</v>
      </c>
      <c r="D277" t="s">
        <v>12</v>
      </c>
      <c r="E277" t="str">
        <f t="shared" si="54"/>
        <v>Female</v>
      </c>
      <c r="F277">
        <v>26</v>
      </c>
      <c r="G277" t="s">
        <v>167</v>
      </c>
      <c r="H277" t="s">
        <v>168</v>
      </c>
      <c r="I277" t="s">
        <v>65</v>
      </c>
      <c r="J277">
        <v>4</v>
      </c>
      <c r="K277" s="4" t="str" cm="1">
        <f t="array" ref="K277">_xlfn.IFS(J277&lt;=5,"0-5",J277&lt;=10,"6-10",J277&lt;=15,"11-15",J277&lt;=20,"16-20",J277&gt;20,"21+")</f>
        <v>0-5</v>
      </c>
      <c r="L277" t="s">
        <v>16</v>
      </c>
      <c r="M277" s="2" t="str">
        <f>TRIM(MID(L277,FIND(" ",L277)+1,LEN(L277)))</f>
        <v>100</v>
      </c>
      <c r="N277" s="8">
        <f t="shared" si="55"/>
        <v>100</v>
      </c>
      <c r="O277">
        <v>3.6</v>
      </c>
      <c r="P277" t="s">
        <v>151</v>
      </c>
      <c r="Q277" t="s">
        <v>2072</v>
      </c>
      <c r="R277" s="1">
        <v>0.81</v>
      </c>
      <c r="S277" s="3">
        <f t="shared" si="58"/>
        <v>0.81</v>
      </c>
    </row>
    <row r="278" spans="1:19" x14ac:dyDescent="0.3">
      <c r="A278" t="s">
        <v>628</v>
      </c>
      <c r="B278" t="s">
        <v>629</v>
      </c>
      <c r="C278" t="str">
        <f t="shared" si="59"/>
        <v>Richard Mcguire</v>
      </c>
      <c r="D278" t="s">
        <v>53</v>
      </c>
      <c r="E278" t="str">
        <f t="shared" si="54"/>
        <v>Male</v>
      </c>
      <c r="F278">
        <v>44</v>
      </c>
      <c r="G278" t="s">
        <v>116</v>
      </c>
      <c r="H278" t="s">
        <v>117</v>
      </c>
      <c r="I278" t="s">
        <v>106</v>
      </c>
      <c r="J278">
        <v>18</v>
      </c>
      <c r="K278" s="4" t="str" cm="1">
        <f t="array" ref="K278">_xlfn.IFS(J278&lt;=5,"0-5",J278&lt;=10,"6-10",J278&lt;=15,"11-15",J278&lt;=20,"16-20",J278&gt;20,"21+")</f>
        <v>16-20</v>
      </c>
      <c r="L278">
        <v>20</v>
      </c>
      <c r="M278" s="2">
        <f>L278</f>
        <v>20</v>
      </c>
      <c r="N278" s="8">
        <f t="shared" si="55"/>
        <v>20</v>
      </c>
      <c r="O278">
        <v>4.7</v>
      </c>
      <c r="P278">
        <v>1</v>
      </c>
      <c r="Q278" t="s">
        <v>2073</v>
      </c>
      <c r="R278" s="1">
        <v>0.88</v>
      </c>
      <c r="S278" s="3">
        <f t="shared" si="58"/>
        <v>0.88</v>
      </c>
    </row>
    <row r="279" spans="1:19" x14ac:dyDescent="0.3">
      <c r="A279" t="s">
        <v>630</v>
      </c>
      <c r="B279" t="s">
        <v>631</v>
      </c>
      <c r="C279" t="str">
        <f t="shared" si="59"/>
        <v>Stephanie Fisher</v>
      </c>
      <c r="D279" t="s">
        <v>69</v>
      </c>
      <c r="E279" t="str">
        <f t="shared" si="54"/>
        <v>Female</v>
      </c>
      <c r="F279">
        <v>31</v>
      </c>
      <c r="G279" t="s">
        <v>145</v>
      </c>
      <c r="H279" t="s">
        <v>146</v>
      </c>
      <c r="I279" t="s">
        <v>65</v>
      </c>
      <c r="J279">
        <v>12</v>
      </c>
      <c r="K279" s="4" t="str" cm="1">
        <f t="array" ref="K279">_xlfn.IFS(J279&lt;=5,"0-5",J279&lt;=10,"6-10",J279&lt;=15,"11-15",J279&lt;=20,"16-20",J279&gt;20,"21+")</f>
        <v>11-15</v>
      </c>
      <c r="L279" t="s">
        <v>28</v>
      </c>
      <c r="M279" s="2" t="str">
        <f>SUBSTITUTE(L279,"$","")</f>
        <v>40</v>
      </c>
      <c r="N279" s="8">
        <f t="shared" si="55"/>
        <v>40</v>
      </c>
      <c r="P279">
        <v>1</v>
      </c>
      <c r="Q279" t="s">
        <v>2073</v>
      </c>
      <c r="R279" s="1">
        <v>1</v>
      </c>
      <c r="S279" s="3">
        <f t="shared" si="58"/>
        <v>1</v>
      </c>
    </row>
    <row r="280" spans="1:19" x14ac:dyDescent="0.3">
      <c r="A280" t="s">
        <v>632</v>
      </c>
      <c r="B280" t="s">
        <v>633</v>
      </c>
      <c r="C280" t="str">
        <f t="shared" si="59"/>
        <v>Anthony Goodwin DDS</v>
      </c>
      <c r="D280" t="s">
        <v>19</v>
      </c>
      <c r="E280" t="str">
        <f t="shared" si="54"/>
        <v>Male</v>
      </c>
      <c r="F280">
        <v>60</v>
      </c>
      <c r="G280" t="s">
        <v>54</v>
      </c>
      <c r="H280" t="s">
        <v>55</v>
      </c>
      <c r="I280" t="s">
        <v>43</v>
      </c>
      <c r="J280">
        <v>6</v>
      </c>
      <c r="K280" s="4" t="str" cm="1">
        <f t="array" ref="K280">_xlfn.IFS(J280&lt;=5,"0-5",J280&lt;=10,"6-10",J280&lt;=15,"11-15",J280&lt;=20,"16-20",J280&gt;20,"21+")</f>
        <v>6-10</v>
      </c>
      <c r="N280" s="8" t="str">
        <f t="shared" si="55"/>
        <v/>
      </c>
      <c r="O280">
        <v>3.2</v>
      </c>
      <c r="P280">
        <v>0</v>
      </c>
      <c r="Q280" t="s">
        <v>2072</v>
      </c>
      <c r="R280">
        <v>95</v>
      </c>
      <c r="S280" s="3">
        <f>R280/100</f>
        <v>0.95</v>
      </c>
    </row>
    <row r="281" spans="1:19" x14ac:dyDescent="0.3">
      <c r="A281" t="s">
        <v>634</v>
      </c>
      <c r="B281" t="s">
        <v>635</v>
      </c>
      <c r="C281" t="str">
        <f t="shared" si="59"/>
        <v>Meagan Walters</v>
      </c>
      <c r="D281" t="s">
        <v>31</v>
      </c>
      <c r="E281" t="str">
        <f t="shared" si="54"/>
        <v>Female</v>
      </c>
      <c r="F281">
        <v>23</v>
      </c>
      <c r="G281" t="s">
        <v>59</v>
      </c>
      <c r="H281" t="s">
        <v>14</v>
      </c>
      <c r="I281" t="s">
        <v>9</v>
      </c>
      <c r="J281">
        <v>4</v>
      </c>
      <c r="K281" s="4" t="str" cm="1">
        <f t="array" ref="K281">_xlfn.IFS(J281&lt;=5,"0-5",J281&lt;=10,"6-10",J281&lt;=15,"11-15",J281&lt;=20,"16-20",J281&gt;20,"21+")</f>
        <v>0-5</v>
      </c>
      <c r="L281" t="s">
        <v>306</v>
      </c>
      <c r="M281" s="2" t="str">
        <f>TRIM(MID(L281,FIND(" ",L281)+1,LEN(L281)))</f>
        <v>20</v>
      </c>
      <c r="N281" s="8">
        <f t="shared" si="55"/>
        <v>20</v>
      </c>
      <c r="P281">
        <v>0</v>
      </c>
      <c r="Q281" t="s">
        <v>2072</v>
      </c>
      <c r="R281" s="1">
        <v>0.71</v>
      </c>
      <c r="S281" s="3">
        <f t="shared" ref="S281:S285" si="60">R281</f>
        <v>0.71</v>
      </c>
    </row>
    <row r="282" spans="1:19" x14ac:dyDescent="0.3">
      <c r="A282" t="s">
        <v>636</v>
      </c>
      <c r="B282" t="s">
        <v>637</v>
      </c>
      <c r="C282" t="str">
        <f t="shared" si="59"/>
        <v>David Powell</v>
      </c>
      <c r="D282" t="s">
        <v>84</v>
      </c>
      <c r="E282" t="str">
        <f t="shared" si="54"/>
        <v>Male</v>
      </c>
      <c r="F282">
        <v>42</v>
      </c>
      <c r="G282" t="s">
        <v>41</v>
      </c>
      <c r="H282" t="s">
        <v>42</v>
      </c>
      <c r="I282" t="s">
        <v>65</v>
      </c>
      <c r="J282">
        <v>13</v>
      </c>
      <c r="K282" s="4" t="str" cm="1">
        <f t="array" ref="K282">_xlfn.IFS(J282&lt;=5,"0-5",J282&lt;=10,"6-10",J282&lt;=15,"11-15",J282&lt;=20,"16-20",J282&gt;20,"21+")</f>
        <v>11-15</v>
      </c>
      <c r="L282" t="s">
        <v>113</v>
      </c>
      <c r="M282" s="2" t="str">
        <f>SUBSTITUTE(L282,"$","")</f>
        <v>20</v>
      </c>
      <c r="N282" s="8">
        <f t="shared" si="55"/>
        <v>20</v>
      </c>
      <c r="O282">
        <v>4.7</v>
      </c>
      <c r="P282" t="s">
        <v>23</v>
      </c>
      <c r="Q282" t="s">
        <v>2072</v>
      </c>
      <c r="R282" s="1">
        <v>0.85</v>
      </c>
      <c r="S282" s="3">
        <f t="shared" si="60"/>
        <v>0.85</v>
      </c>
    </row>
    <row r="283" spans="1:19" x14ac:dyDescent="0.3">
      <c r="A283" t="s">
        <v>638</v>
      </c>
      <c r="B283" t="s">
        <v>639</v>
      </c>
      <c r="C283" t="str">
        <f t="shared" si="59"/>
        <v>Kelly Jones</v>
      </c>
      <c r="D283" t="s">
        <v>6</v>
      </c>
      <c r="E283" t="str">
        <f t="shared" si="54"/>
        <v>Female</v>
      </c>
      <c r="F283">
        <v>48</v>
      </c>
      <c r="G283" t="s">
        <v>85</v>
      </c>
      <c r="H283" t="s">
        <v>86</v>
      </c>
      <c r="I283" t="s">
        <v>15</v>
      </c>
      <c r="J283">
        <v>6</v>
      </c>
      <c r="K283" s="4" t="str" cm="1">
        <f t="array" ref="K283">_xlfn.IFS(J283&lt;=5,"0-5",J283&lt;=10,"6-10",J283&lt;=15,"11-15",J283&lt;=20,"16-20",J283&gt;20,"21+")</f>
        <v>6-10</v>
      </c>
      <c r="L283">
        <v>30</v>
      </c>
      <c r="M283" s="2">
        <f>L283</f>
        <v>30</v>
      </c>
      <c r="N283" s="8">
        <f t="shared" si="55"/>
        <v>30</v>
      </c>
      <c r="P283" t="s">
        <v>23</v>
      </c>
      <c r="Q283" t="s">
        <v>2072</v>
      </c>
      <c r="R283" s="1">
        <v>0.96</v>
      </c>
      <c r="S283" s="3">
        <f t="shared" si="60"/>
        <v>0.96</v>
      </c>
    </row>
    <row r="284" spans="1:19" x14ac:dyDescent="0.3">
      <c r="A284" t="s">
        <v>640</v>
      </c>
      <c r="B284" t="s">
        <v>641</v>
      </c>
      <c r="C284" t="str">
        <f>TRIM(MID(B284,FIND(" ",B284)+1,LEN(B284)))</f>
        <v>Michael Aguilar</v>
      </c>
      <c r="D284" t="s">
        <v>40</v>
      </c>
      <c r="E284" t="str">
        <f t="shared" si="54"/>
        <v>Male</v>
      </c>
      <c r="F284">
        <v>42</v>
      </c>
      <c r="G284" t="s">
        <v>34</v>
      </c>
      <c r="H284" t="s">
        <v>35</v>
      </c>
      <c r="I284" t="s">
        <v>22</v>
      </c>
      <c r="J284">
        <v>10</v>
      </c>
      <c r="K284" s="4" t="str" cm="1">
        <f t="array" ref="K284">_xlfn.IFS(J284&lt;=5,"0-5",J284&lt;=10,"6-10",J284&lt;=15,"11-15",J284&lt;=20,"16-20",J284&gt;20,"21+")</f>
        <v>6-10</v>
      </c>
      <c r="L284" t="s">
        <v>306</v>
      </c>
      <c r="M284" s="2" t="str">
        <f>TRIM(MID(L284,FIND(" ",L284)+1,LEN(L284)))</f>
        <v>20</v>
      </c>
      <c r="N284" s="8">
        <f t="shared" si="55"/>
        <v>20</v>
      </c>
      <c r="O284">
        <v>2.4</v>
      </c>
      <c r="P284" t="s">
        <v>66</v>
      </c>
      <c r="Q284" t="s">
        <v>2073</v>
      </c>
      <c r="R284" s="1">
        <v>0.92</v>
      </c>
      <c r="S284" s="3">
        <f t="shared" si="60"/>
        <v>0.92</v>
      </c>
    </row>
    <row r="285" spans="1:19" x14ac:dyDescent="0.3">
      <c r="A285" t="s">
        <v>642</v>
      </c>
      <c r="B285" t="s">
        <v>643</v>
      </c>
      <c r="C285" t="str">
        <f t="shared" ref="C285:C310" si="61">B285</f>
        <v>Alex Novak</v>
      </c>
      <c r="D285" t="s">
        <v>84</v>
      </c>
      <c r="E285" t="str">
        <f t="shared" si="54"/>
        <v>Male</v>
      </c>
      <c r="F285">
        <v>52</v>
      </c>
      <c r="G285" t="s">
        <v>104</v>
      </c>
      <c r="H285" t="s">
        <v>105</v>
      </c>
      <c r="I285" t="s">
        <v>70</v>
      </c>
      <c r="J285">
        <v>20</v>
      </c>
      <c r="K285" s="4" t="str" cm="1">
        <f t="array" ref="K285">_xlfn.IFS(J285&lt;=5,"0-5",J285&lt;=10,"6-10",J285&lt;=15,"11-15",J285&lt;=20,"16-20",J285&gt;20,"21+")</f>
        <v>16-20</v>
      </c>
      <c r="L285">
        <v>50</v>
      </c>
      <c r="M285" s="2">
        <f t="shared" ref="M285:M291" si="62">L285</f>
        <v>50</v>
      </c>
      <c r="N285" s="8">
        <f t="shared" si="55"/>
        <v>50</v>
      </c>
      <c r="P285" t="b">
        <v>0</v>
      </c>
      <c r="Q285" t="s">
        <v>2072</v>
      </c>
      <c r="R285" s="1">
        <v>0.79</v>
      </c>
      <c r="S285" s="3">
        <f t="shared" si="60"/>
        <v>0.79</v>
      </c>
    </row>
    <row r="286" spans="1:19" x14ac:dyDescent="0.3">
      <c r="A286" t="s">
        <v>644</v>
      </c>
      <c r="B286" t="s">
        <v>645</v>
      </c>
      <c r="C286" t="str">
        <f t="shared" si="61"/>
        <v>Ann Contreras</v>
      </c>
      <c r="D286" t="s">
        <v>31</v>
      </c>
      <c r="E286" t="str">
        <f t="shared" si="54"/>
        <v>Female</v>
      </c>
      <c r="F286">
        <v>55</v>
      </c>
      <c r="G286" t="s">
        <v>77</v>
      </c>
      <c r="H286" t="s">
        <v>78</v>
      </c>
      <c r="I286" t="s">
        <v>27</v>
      </c>
      <c r="J286">
        <v>20</v>
      </c>
      <c r="K286" s="4" t="str" cm="1">
        <f t="array" ref="K286">_xlfn.IFS(J286&lt;=5,"0-5",J286&lt;=10,"6-10",J286&lt;=15,"11-15",J286&lt;=20,"16-20",J286&gt;20,"21+")</f>
        <v>16-20</v>
      </c>
      <c r="L286">
        <v>75</v>
      </c>
      <c r="M286" s="2">
        <f t="shared" si="62"/>
        <v>75</v>
      </c>
      <c r="N286" s="8">
        <f t="shared" si="55"/>
        <v>75</v>
      </c>
      <c r="O286">
        <v>2.9</v>
      </c>
      <c r="P286" t="b">
        <v>0</v>
      </c>
      <c r="Q286" t="s">
        <v>2072</v>
      </c>
    </row>
    <row r="287" spans="1:19" x14ac:dyDescent="0.3">
      <c r="A287" t="s">
        <v>646</v>
      </c>
      <c r="B287" t="s">
        <v>647</v>
      </c>
      <c r="C287" t="str">
        <f t="shared" si="61"/>
        <v>Mary Reed</v>
      </c>
      <c r="D287" t="s">
        <v>6</v>
      </c>
      <c r="E287" t="str">
        <f t="shared" si="54"/>
        <v>Female</v>
      </c>
      <c r="F287">
        <v>58</v>
      </c>
      <c r="G287" t="s">
        <v>145</v>
      </c>
      <c r="H287" t="s">
        <v>146</v>
      </c>
      <c r="I287" t="s">
        <v>70</v>
      </c>
      <c r="J287">
        <v>11</v>
      </c>
      <c r="K287" s="4" t="str" cm="1">
        <f t="array" ref="K287">_xlfn.IFS(J287&lt;=5,"0-5",J287&lt;=10,"6-10",J287&lt;=15,"11-15",J287&lt;=20,"16-20",J287&gt;20,"21+")</f>
        <v>11-15</v>
      </c>
      <c r="L287">
        <v>50</v>
      </c>
      <c r="M287" s="2">
        <f t="shared" si="62"/>
        <v>50</v>
      </c>
      <c r="N287" s="8">
        <f t="shared" si="55"/>
        <v>50</v>
      </c>
      <c r="O287">
        <v>0</v>
      </c>
      <c r="P287">
        <v>0</v>
      </c>
      <c r="Q287" t="s">
        <v>2072</v>
      </c>
    </row>
    <row r="288" spans="1:19" x14ac:dyDescent="0.3">
      <c r="A288" t="s">
        <v>648</v>
      </c>
      <c r="B288" t="s">
        <v>649</v>
      </c>
      <c r="C288" t="str">
        <f t="shared" si="61"/>
        <v>Lauren Ross</v>
      </c>
      <c r="D288" t="s">
        <v>12</v>
      </c>
      <c r="E288" t="str">
        <f t="shared" si="54"/>
        <v>Female</v>
      </c>
      <c r="F288">
        <v>46</v>
      </c>
      <c r="G288" t="s">
        <v>104</v>
      </c>
      <c r="H288" t="s">
        <v>105</v>
      </c>
      <c r="I288" t="s">
        <v>106</v>
      </c>
      <c r="J288">
        <v>12</v>
      </c>
      <c r="K288" s="4" t="str" cm="1">
        <f t="array" ref="K288">_xlfn.IFS(J288&lt;=5,"0-5",J288&lt;=10,"6-10",J288&lt;=15,"11-15",J288&lt;=20,"16-20",J288&gt;20,"21+")</f>
        <v>11-15</v>
      </c>
      <c r="L288">
        <v>20</v>
      </c>
      <c r="M288" s="2">
        <f t="shared" si="62"/>
        <v>20</v>
      </c>
      <c r="N288" s="8">
        <f t="shared" si="55"/>
        <v>20</v>
      </c>
      <c r="O288">
        <v>0</v>
      </c>
      <c r="P288" t="b">
        <v>0</v>
      </c>
      <c r="Q288" t="s">
        <v>2072</v>
      </c>
      <c r="R288" s="1">
        <v>0.89</v>
      </c>
      <c r="S288" s="3">
        <f t="shared" ref="S288:S290" si="63">R288</f>
        <v>0.89</v>
      </c>
    </row>
    <row r="289" spans="1:19" x14ac:dyDescent="0.3">
      <c r="A289" t="s">
        <v>650</v>
      </c>
      <c r="B289" t="s">
        <v>651</v>
      </c>
      <c r="C289" t="str">
        <f t="shared" si="61"/>
        <v>Candice Wise</v>
      </c>
      <c r="D289" t="s">
        <v>12</v>
      </c>
      <c r="E289" t="str">
        <f t="shared" si="54"/>
        <v>Female</v>
      </c>
      <c r="F289">
        <v>45</v>
      </c>
      <c r="G289" t="s">
        <v>182</v>
      </c>
      <c r="H289" t="s">
        <v>64</v>
      </c>
      <c r="I289" t="s">
        <v>106</v>
      </c>
      <c r="J289">
        <v>1</v>
      </c>
      <c r="K289" s="4" t="str" cm="1">
        <f t="array" ref="K289">_xlfn.IFS(J289&lt;=5,"0-5",J289&lt;=10,"6-10",J289&lt;=15,"11-15",J289&lt;=20,"16-20",J289&gt;20,"21+")</f>
        <v>0-5</v>
      </c>
      <c r="L289">
        <v>100</v>
      </c>
      <c r="M289" s="2">
        <f t="shared" si="62"/>
        <v>100</v>
      </c>
      <c r="N289" s="8">
        <f t="shared" si="55"/>
        <v>100</v>
      </c>
      <c r="O289">
        <v>1.5</v>
      </c>
      <c r="P289">
        <v>1</v>
      </c>
      <c r="Q289" t="s">
        <v>2073</v>
      </c>
      <c r="R289" s="1">
        <v>1</v>
      </c>
      <c r="S289" s="3">
        <f t="shared" si="63"/>
        <v>1</v>
      </c>
    </row>
    <row r="290" spans="1:19" x14ac:dyDescent="0.3">
      <c r="A290" t="s">
        <v>652</v>
      </c>
      <c r="B290" t="s">
        <v>653</v>
      </c>
      <c r="C290" t="str">
        <f t="shared" si="61"/>
        <v>Joyce Humphrey</v>
      </c>
      <c r="D290" t="s">
        <v>12</v>
      </c>
      <c r="E290" t="str">
        <f t="shared" si="54"/>
        <v>Female</v>
      </c>
      <c r="F290">
        <v>56</v>
      </c>
      <c r="G290" t="s">
        <v>85</v>
      </c>
      <c r="H290" t="s">
        <v>86</v>
      </c>
      <c r="I290" t="s">
        <v>106</v>
      </c>
      <c r="J290">
        <v>2</v>
      </c>
      <c r="K290" s="4" t="str" cm="1">
        <f t="array" ref="K290">_xlfn.IFS(J290&lt;=5,"0-5",J290&lt;=10,"6-10",J290&lt;=15,"11-15",J290&lt;=20,"16-20",J290&gt;20,"21+")</f>
        <v>0-5</v>
      </c>
      <c r="L290">
        <v>30</v>
      </c>
      <c r="M290" s="2">
        <f t="shared" si="62"/>
        <v>30</v>
      </c>
      <c r="N290" s="8">
        <f t="shared" si="55"/>
        <v>30</v>
      </c>
      <c r="O290">
        <v>1.9</v>
      </c>
      <c r="P290">
        <v>1</v>
      </c>
      <c r="Q290" t="s">
        <v>2073</v>
      </c>
      <c r="R290" s="1">
        <v>0.81</v>
      </c>
      <c r="S290" s="3">
        <f t="shared" si="63"/>
        <v>0.81</v>
      </c>
    </row>
    <row r="291" spans="1:19" x14ac:dyDescent="0.3">
      <c r="A291" t="s">
        <v>654</v>
      </c>
      <c r="B291" t="s">
        <v>655</v>
      </c>
      <c r="C291" t="str">
        <f t="shared" si="61"/>
        <v>James Carr</v>
      </c>
      <c r="D291" t="s">
        <v>19</v>
      </c>
      <c r="E291" t="str">
        <f t="shared" si="54"/>
        <v>Male</v>
      </c>
      <c r="F291">
        <v>44</v>
      </c>
      <c r="G291" t="s">
        <v>59</v>
      </c>
      <c r="H291" t="s">
        <v>14</v>
      </c>
      <c r="I291" t="s">
        <v>9</v>
      </c>
      <c r="J291">
        <v>13</v>
      </c>
      <c r="K291" s="4" t="str" cm="1">
        <f t="array" ref="K291">_xlfn.IFS(J291&lt;=5,"0-5",J291&lt;=10,"6-10",J291&lt;=15,"11-15",J291&lt;=20,"16-20",J291&gt;20,"21+")</f>
        <v>11-15</v>
      </c>
      <c r="L291">
        <v>100</v>
      </c>
      <c r="M291" s="2">
        <f t="shared" si="62"/>
        <v>100</v>
      </c>
      <c r="N291" s="8">
        <f t="shared" si="55"/>
        <v>100</v>
      </c>
      <c r="O291">
        <v>3.1</v>
      </c>
      <c r="P291" t="s">
        <v>66</v>
      </c>
      <c r="Q291" t="s">
        <v>2073</v>
      </c>
      <c r="R291">
        <v>95</v>
      </c>
      <c r="S291" s="3">
        <f>R291/100</f>
        <v>0.95</v>
      </c>
    </row>
    <row r="292" spans="1:19" x14ac:dyDescent="0.3">
      <c r="A292" t="s">
        <v>656</v>
      </c>
      <c r="B292" t="s">
        <v>657</v>
      </c>
      <c r="C292" t="str">
        <f t="shared" si="61"/>
        <v>Joseph Mendoza</v>
      </c>
      <c r="D292" t="s">
        <v>89</v>
      </c>
      <c r="E292" t="str">
        <f t="shared" si="54"/>
        <v>Male</v>
      </c>
      <c r="F292">
        <v>46</v>
      </c>
      <c r="G292" t="s">
        <v>41</v>
      </c>
      <c r="H292" t="s">
        <v>42</v>
      </c>
      <c r="I292" t="s">
        <v>65</v>
      </c>
      <c r="J292">
        <v>0</v>
      </c>
      <c r="K292" s="4" t="str" cm="1">
        <f t="array" ref="K292">_xlfn.IFS(J292&lt;=5,"0-5",J292&lt;=10,"6-10",J292&lt;=15,"11-15",J292&lt;=20,"16-20",J292&gt;20,"21+")</f>
        <v>0-5</v>
      </c>
      <c r="N292" s="8" t="str">
        <f t="shared" si="55"/>
        <v/>
      </c>
      <c r="O292">
        <v>1.8</v>
      </c>
      <c r="P292" t="s">
        <v>23</v>
      </c>
      <c r="Q292" t="s">
        <v>2072</v>
      </c>
      <c r="R292" s="1">
        <v>0.88</v>
      </c>
      <c r="S292" s="3">
        <f t="shared" ref="S292:S294" si="64">R292</f>
        <v>0.88</v>
      </c>
    </row>
    <row r="293" spans="1:19" x14ac:dyDescent="0.3">
      <c r="A293" t="s">
        <v>658</v>
      </c>
      <c r="B293" t="s">
        <v>659</v>
      </c>
      <c r="C293" t="str">
        <f t="shared" si="61"/>
        <v>Cathy Baldwin</v>
      </c>
      <c r="D293" t="s">
        <v>69</v>
      </c>
      <c r="E293" t="str">
        <f t="shared" si="54"/>
        <v>Female</v>
      </c>
      <c r="F293">
        <v>27</v>
      </c>
      <c r="G293" t="s">
        <v>77</v>
      </c>
      <c r="H293" t="s">
        <v>78</v>
      </c>
      <c r="I293" t="s">
        <v>27</v>
      </c>
      <c r="J293">
        <v>7</v>
      </c>
      <c r="K293" s="4" t="str" cm="1">
        <f t="array" ref="K293">_xlfn.IFS(J293&lt;=5,"0-5",J293&lt;=10,"6-10",J293&lt;=15,"11-15",J293&lt;=20,"16-20",J293&gt;20,"21+")</f>
        <v>6-10</v>
      </c>
      <c r="L293">
        <v>30</v>
      </c>
      <c r="M293" s="2">
        <f>L293</f>
        <v>30</v>
      </c>
      <c r="N293" s="8">
        <f t="shared" si="55"/>
        <v>30</v>
      </c>
      <c r="O293">
        <v>2.4</v>
      </c>
      <c r="P293" t="s">
        <v>60</v>
      </c>
      <c r="Q293" t="s">
        <v>2073</v>
      </c>
      <c r="R293" s="1">
        <v>0.66</v>
      </c>
      <c r="S293" s="3">
        <f t="shared" si="64"/>
        <v>0.66</v>
      </c>
    </row>
    <row r="294" spans="1:19" x14ac:dyDescent="0.3">
      <c r="A294" t="s">
        <v>660</v>
      </c>
      <c r="B294" t="s">
        <v>661</v>
      </c>
      <c r="C294" t="str">
        <f t="shared" si="61"/>
        <v>Christine Hart</v>
      </c>
      <c r="D294" t="s">
        <v>12</v>
      </c>
      <c r="E294" t="str">
        <f t="shared" si="54"/>
        <v>Female</v>
      </c>
      <c r="F294">
        <v>49</v>
      </c>
      <c r="G294" t="s">
        <v>85</v>
      </c>
      <c r="H294" t="s">
        <v>86</v>
      </c>
      <c r="I294" t="s">
        <v>9</v>
      </c>
      <c r="J294">
        <v>13</v>
      </c>
      <c r="K294" s="4" t="str" cm="1">
        <f t="array" ref="K294">_xlfn.IFS(J294&lt;=5,"0-5",J294&lt;=10,"6-10",J294&lt;=15,"11-15",J294&lt;=20,"16-20",J294&gt;20,"21+")</f>
        <v>11-15</v>
      </c>
      <c r="L294">
        <v>100</v>
      </c>
      <c r="M294" s="2">
        <f>L294</f>
        <v>100</v>
      </c>
      <c r="N294" s="8">
        <f t="shared" si="55"/>
        <v>100</v>
      </c>
      <c r="O294">
        <v>4.2</v>
      </c>
      <c r="P294">
        <v>1</v>
      </c>
      <c r="Q294" t="s">
        <v>2073</v>
      </c>
      <c r="R294" s="1">
        <v>0.84</v>
      </c>
      <c r="S294" s="3">
        <f t="shared" si="64"/>
        <v>0.84</v>
      </c>
    </row>
    <row r="295" spans="1:19" x14ac:dyDescent="0.3">
      <c r="A295" t="s">
        <v>662</v>
      </c>
      <c r="B295" t="s">
        <v>663</v>
      </c>
      <c r="C295" t="str">
        <f t="shared" si="61"/>
        <v>Mike Stanley</v>
      </c>
      <c r="D295" t="s">
        <v>89</v>
      </c>
      <c r="E295" t="str">
        <f t="shared" si="54"/>
        <v>Male</v>
      </c>
      <c r="F295">
        <v>53</v>
      </c>
      <c r="G295" t="s">
        <v>171</v>
      </c>
      <c r="H295" t="s">
        <v>64</v>
      </c>
      <c r="I295" t="s">
        <v>27</v>
      </c>
      <c r="J295">
        <v>21</v>
      </c>
      <c r="K295" s="4" t="str" cm="1">
        <f t="array" ref="K295">_xlfn.IFS(J295&lt;=5,"0-5",J295&lt;=10,"6-10",J295&lt;=15,"11-15",J295&lt;=20,"16-20",J295&gt;20,"21+")</f>
        <v>21+</v>
      </c>
      <c r="L295" t="s">
        <v>56</v>
      </c>
      <c r="M295" s="2" t="str">
        <f>SUBSTITUTE(L295,"$","")</f>
        <v>50</v>
      </c>
      <c r="N295" s="8">
        <f t="shared" si="55"/>
        <v>50</v>
      </c>
      <c r="O295">
        <v>1.4</v>
      </c>
      <c r="P295" t="s">
        <v>23</v>
      </c>
      <c r="Q295" t="s">
        <v>2072</v>
      </c>
    </row>
    <row r="296" spans="1:19" x14ac:dyDescent="0.3">
      <c r="A296" t="s">
        <v>664</v>
      </c>
      <c r="B296" t="s">
        <v>665</v>
      </c>
      <c r="C296" t="str">
        <f t="shared" si="61"/>
        <v>Jeffrey Edwards</v>
      </c>
      <c r="D296" t="s">
        <v>89</v>
      </c>
      <c r="E296" t="str">
        <f t="shared" si="54"/>
        <v>Male</v>
      </c>
      <c r="F296">
        <v>56</v>
      </c>
      <c r="G296" t="s">
        <v>13</v>
      </c>
      <c r="H296" t="s">
        <v>14</v>
      </c>
      <c r="I296" t="s">
        <v>27</v>
      </c>
      <c r="J296">
        <v>19</v>
      </c>
      <c r="K296" s="4" t="str" cm="1">
        <f t="array" ref="K296">_xlfn.IFS(J296&lt;=5,"0-5",J296&lt;=10,"6-10",J296&lt;=15,"11-15",J296&lt;=20,"16-20",J296&gt;20,"21+")</f>
        <v>16-20</v>
      </c>
      <c r="L296">
        <v>40</v>
      </c>
      <c r="M296" s="2">
        <f>L296</f>
        <v>40</v>
      </c>
      <c r="N296" s="8">
        <f t="shared" si="55"/>
        <v>40</v>
      </c>
      <c r="O296">
        <v>1.2</v>
      </c>
      <c r="P296" t="s">
        <v>66</v>
      </c>
      <c r="Q296" t="s">
        <v>2073</v>
      </c>
      <c r="R296" s="1">
        <v>0.82</v>
      </c>
      <c r="S296" s="3">
        <f t="shared" ref="S296:S305" si="65">R296</f>
        <v>0.82</v>
      </c>
    </row>
    <row r="297" spans="1:19" x14ac:dyDescent="0.3">
      <c r="A297" t="s">
        <v>666</v>
      </c>
      <c r="B297" t="s">
        <v>667</v>
      </c>
      <c r="C297" t="str">
        <f t="shared" si="61"/>
        <v>Amy Lee</v>
      </c>
      <c r="D297" t="s">
        <v>12</v>
      </c>
      <c r="E297" t="str">
        <f t="shared" si="54"/>
        <v>Female</v>
      </c>
      <c r="F297">
        <v>56</v>
      </c>
      <c r="G297" t="s">
        <v>59</v>
      </c>
      <c r="H297" t="s">
        <v>14</v>
      </c>
      <c r="I297" t="s">
        <v>81</v>
      </c>
      <c r="J297">
        <v>34</v>
      </c>
      <c r="K297" s="4" t="str" cm="1">
        <f t="array" ref="K297">_xlfn.IFS(J297&lt;=5,"0-5",J297&lt;=10,"6-10",J297&lt;=15,"11-15",J297&lt;=20,"16-20",J297&gt;20,"21+")</f>
        <v>21+</v>
      </c>
      <c r="N297" s="8" t="str">
        <f t="shared" si="55"/>
        <v/>
      </c>
      <c r="O297">
        <v>2.1</v>
      </c>
      <c r="P297" t="s">
        <v>60</v>
      </c>
      <c r="Q297" t="s">
        <v>2073</v>
      </c>
      <c r="R297" s="1">
        <v>0.84</v>
      </c>
      <c r="S297" s="3">
        <f t="shared" si="65"/>
        <v>0.84</v>
      </c>
    </row>
    <row r="298" spans="1:19" x14ac:dyDescent="0.3">
      <c r="A298" t="s">
        <v>668</v>
      </c>
      <c r="B298" t="s">
        <v>669</v>
      </c>
      <c r="C298" t="str">
        <f t="shared" si="61"/>
        <v>Mark Thompson</v>
      </c>
      <c r="D298" t="s">
        <v>53</v>
      </c>
      <c r="E298" t="str">
        <f t="shared" si="54"/>
        <v>Male</v>
      </c>
      <c r="F298">
        <v>38</v>
      </c>
      <c r="G298" t="s">
        <v>145</v>
      </c>
      <c r="H298" t="s">
        <v>146</v>
      </c>
      <c r="I298" t="s">
        <v>43</v>
      </c>
      <c r="J298">
        <v>3</v>
      </c>
      <c r="K298" s="4" t="str" cm="1">
        <f t="array" ref="K298">_xlfn.IFS(J298&lt;=5,"0-5",J298&lt;=10,"6-10",J298&lt;=15,"11-15",J298&lt;=20,"16-20",J298&gt;20,"21+")</f>
        <v>0-5</v>
      </c>
      <c r="L298">
        <v>100</v>
      </c>
      <c r="M298" s="2">
        <f>L298</f>
        <v>100</v>
      </c>
      <c r="N298" s="8">
        <f t="shared" si="55"/>
        <v>100</v>
      </c>
      <c r="O298">
        <v>1.4</v>
      </c>
      <c r="P298" t="b">
        <v>0</v>
      </c>
      <c r="Q298" t="s">
        <v>2072</v>
      </c>
      <c r="R298" s="1">
        <v>0.73</v>
      </c>
      <c r="S298" s="3">
        <f t="shared" si="65"/>
        <v>0.73</v>
      </c>
    </row>
    <row r="299" spans="1:19" x14ac:dyDescent="0.3">
      <c r="A299" t="s">
        <v>670</v>
      </c>
      <c r="B299" t="s">
        <v>671</v>
      </c>
      <c r="C299" t="str">
        <f t="shared" si="61"/>
        <v>Alex Wilson</v>
      </c>
      <c r="D299" t="s">
        <v>84</v>
      </c>
      <c r="E299" t="str">
        <f t="shared" si="54"/>
        <v>Male</v>
      </c>
      <c r="F299">
        <v>20</v>
      </c>
      <c r="G299" t="s">
        <v>104</v>
      </c>
      <c r="H299" t="s">
        <v>105</v>
      </c>
      <c r="I299" t="s">
        <v>15</v>
      </c>
      <c r="J299">
        <v>0</v>
      </c>
      <c r="K299" s="4" t="str" cm="1">
        <f t="array" ref="K299">_xlfn.IFS(J299&lt;=5,"0-5",J299&lt;=10,"6-10",J299&lt;=15,"11-15",J299&lt;=20,"16-20",J299&gt;20,"21+")</f>
        <v>0-5</v>
      </c>
      <c r="L299">
        <v>30</v>
      </c>
      <c r="M299" s="2">
        <f>L299</f>
        <v>30</v>
      </c>
      <c r="N299" s="8">
        <f t="shared" si="55"/>
        <v>30</v>
      </c>
      <c r="O299">
        <v>3.8</v>
      </c>
      <c r="R299" s="1">
        <v>0.93</v>
      </c>
      <c r="S299" s="3">
        <f t="shared" si="65"/>
        <v>0.93</v>
      </c>
    </row>
    <row r="300" spans="1:19" x14ac:dyDescent="0.3">
      <c r="A300" t="s">
        <v>672</v>
      </c>
      <c r="B300" t="s">
        <v>673</v>
      </c>
      <c r="C300" t="str">
        <f t="shared" si="61"/>
        <v>Nancy Mendez</v>
      </c>
      <c r="D300" t="s">
        <v>31</v>
      </c>
      <c r="E300" t="str">
        <f t="shared" si="54"/>
        <v>Female</v>
      </c>
      <c r="F300">
        <v>38</v>
      </c>
      <c r="G300" t="s">
        <v>120</v>
      </c>
      <c r="H300" t="s">
        <v>14</v>
      </c>
      <c r="I300" t="s">
        <v>106</v>
      </c>
      <c r="J300">
        <v>20</v>
      </c>
      <c r="K300" s="4" t="str" cm="1">
        <f t="array" ref="K300">_xlfn.IFS(J300&lt;=5,"0-5",J300&lt;=10,"6-10",J300&lt;=15,"11-15",J300&lt;=20,"16-20",J300&gt;20,"21+")</f>
        <v>16-20</v>
      </c>
      <c r="L300">
        <v>50</v>
      </c>
      <c r="M300" s="2">
        <f>L300</f>
        <v>50</v>
      </c>
      <c r="N300" s="8">
        <f t="shared" si="55"/>
        <v>50</v>
      </c>
      <c r="O300">
        <v>0</v>
      </c>
      <c r="R300" s="1">
        <v>0.64</v>
      </c>
      <c r="S300" s="3">
        <f t="shared" si="65"/>
        <v>0.64</v>
      </c>
    </row>
    <row r="301" spans="1:19" x14ac:dyDescent="0.3">
      <c r="A301" t="s">
        <v>674</v>
      </c>
      <c r="B301" t="s">
        <v>675</v>
      </c>
      <c r="C301" t="str">
        <f t="shared" si="61"/>
        <v>Beth Crane</v>
      </c>
      <c r="D301" t="s">
        <v>6</v>
      </c>
      <c r="E301" t="str">
        <f t="shared" si="54"/>
        <v>Female</v>
      </c>
      <c r="G301" t="s">
        <v>34</v>
      </c>
      <c r="H301" t="s">
        <v>35</v>
      </c>
      <c r="I301" t="s">
        <v>15</v>
      </c>
      <c r="J301">
        <v>6</v>
      </c>
      <c r="K301" s="4" t="str" cm="1">
        <f t="array" ref="K301">_xlfn.IFS(J301&lt;=5,"0-5",J301&lt;=10,"6-10",J301&lt;=15,"11-15",J301&lt;=20,"16-20",J301&gt;20,"21+")</f>
        <v>6-10</v>
      </c>
      <c r="L301">
        <v>40</v>
      </c>
      <c r="M301" s="2">
        <f>L301</f>
        <v>40</v>
      </c>
      <c r="N301" s="8">
        <f t="shared" si="55"/>
        <v>40</v>
      </c>
      <c r="O301">
        <v>3.5</v>
      </c>
      <c r="P301">
        <v>0</v>
      </c>
      <c r="Q301" t="s">
        <v>2072</v>
      </c>
      <c r="R301" s="1">
        <v>0.76</v>
      </c>
      <c r="S301" s="3">
        <f t="shared" si="65"/>
        <v>0.76</v>
      </c>
    </row>
    <row r="302" spans="1:19" x14ac:dyDescent="0.3">
      <c r="A302" t="s">
        <v>676</v>
      </c>
      <c r="B302" t="s">
        <v>677</v>
      </c>
      <c r="C302" t="str">
        <f t="shared" si="61"/>
        <v>Miguel Rogers</v>
      </c>
      <c r="D302" t="s">
        <v>53</v>
      </c>
      <c r="E302" t="str">
        <f t="shared" si="54"/>
        <v>Male</v>
      </c>
      <c r="F302">
        <v>46</v>
      </c>
      <c r="G302" t="s">
        <v>85</v>
      </c>
      <c r="H302" t="s">
        <v>86</v>
      </c>
      <c r="I302" t="s">
        <v>106</v>
      </c>
      <c r="J302">
        <v>13</v>
      </c>
      <c r="K302" s="4" t="str" cm="1">
        <f t="array" ref="K302">_xlfn.IFS(J302&lt;=5,"0-5",J302&lt;=10,"6-10",J302&lt;=15,"11-15",J302&lt;=20,"16-20",J302&gt;20,"21+")</f>
        <v>11-15</v>
      </c>
      <c r="L302" t="s">
        <v>221</v>
      </c>
      <c r="M302" s="2" t="str">
        <f>SUBSTITUTE(L302,"$","")</f>
        <v>100</v>
      </c>
      <c r="N302" s="8">
        <f t="shared" si="55"/>
        <v>100</v>
      </c>
      <c r="O302">
        <v>0</v>
      </c>
      <c r="P302" t="s">
        <v>66</v>
      </c>
      <c r="Q302" t="s">
        <v>2073</v>
      </c>
      <c r="R302" s="1">
        <v>0.97</v>
      </c>
      <c r="S302" s="3">
        <f t="shared" si="65"/>
        <v>0.97</v>
      </c>
    </row>
    <row r="303" spans="1:19" x14ac:dyDescent="0.3">
      <c r="A303" t="s">
        <v>678</v>
      </c>
      <c r="B303" t="s">
        <v>679</v>
      </c>
      <c r="C303" t="str">
        <f t="shared" si="61"/>
        <v>Thomas Robles</v>
      </c>
      <c r="D303" t="s">
        <v>89</v>
      </c>
      <c r="E303" t="str">
        <f t="shared" si="54"/>
        <v>Male</v>
      </c>
      <c r="F303">
        <v>36</v>
      </c>
      <c r="G303" t="s">
        <v>145</v>
      </c>
      <c r="H303" t="s">
        <v>146</v>
      </c>
      <c r="I303" t="s">
        <v>43</v>
      </c>
      <c r="J303">
        <v>9</v>
      </c>
      <c r="K303" s="4" t="str" cm="1">
        <f t="array" ref="K303">_xlfn.IFS(J303&lt;=5,"0-5",J303&lt;=10,"6-10",J303&lt;=15,"11-15",J303&lt;=20,"16-20",J303&gt;20,"21+")</f>
        <v>6-10</v>
      </c>
      <c r="L303">
        <v>75</v>
      </c>
      <c r="M303" s="2">
        <f>L303</f>
        <v>75</v>
      </c>
      <c r="N303" s="8">
        <f t="shared" si="55"/>
        <v>75</v>
      </c>
      <c r="O303">
        <v>2.2000000000000002</v>
      </c>
      <c r="P303">
        <v>0</v>
      </c>
      <c r="Q303" t="s">
        <v>2072</v>
      </c>
      <c r="R303" s="1">
        <v>0.95</v>
      </c>
      <c r="S303" s="3">
        <f t="shared" si="65"/>
        <v>0.95</v>
      </c>
    </row>
    <row r="304" spans="1:19" x14ac:dyDescent="0.3">
      <c r="A304" t="s">
        <v>680</v>
      </c>
      <c r="B304" t="s">
        <v>681</v>
      </c>
      <c r="C304" t="str">
        <f t="shared" si="61"/>
        <v>Joel Brown III</v>
      </c>
      <c r="D304" t="s">
        <v>89</v>
      </c>
      <c r="E304" t="str">
        <f t="shared" si="54"/>
        <v>Male</v>
      </c>
      <c r="F304">
        <v>33</v>
      </c>
      <c r="G304" t="s">
        <v>116</v>
      </c>
      <c r="H304" t="s">
        <v>117</v>
      </c>
      <c r="I304" t="s">
        <v>27</v>
      </c>
      <c r="J304">
        <v>2</v>
      </c>
      <c r="K304" s="4" t="str" cm="1">
        <f t="array" ref="K304">_xlfn.IFS(J304&lt;=5,"0-5",J304&lt;=10,"6-10",J304&lt;=15,"11-15",J304&lt;=20,"16-20",J304&gt;20,"21+")</f>
        <v>0-5</v>
      </c>
      <c r="L304">
        <v>75</v>
      </c>
      <c r="M304" s="2">
        <f>L304</f>
        <v>75</v>
      </c>
      <c r="N304" s="8">
        <f t="shared" si="55"/>
        <v>75</v>
      </c>
      <c r="O304">
        <v>2.5</v>
      </c>
      <c r="P304" t="b">
        <v>0</v>
      </c>
      <c r="Q304" t="s">
        <v>2072</v>
      </c>
      <c r="R304" s="1">
        <v>0.65</v>
      </c>
      <c r="S304" s="3">
        <f t="shared" si="65"/>
        <v>0.65</v>
      </c>
    </row>
    <row r="305" spans="1:19" x14ac:dyDescent="0.3">
      <c r="A305" t="s">
        <v>682</v>
      </c>
      <c r="B305" t="s">
        <v>683</v>
      </c>
      <c r="C305" t="str">
        <f t="shared" si="61"/>
        <v>Olivia Schultz</v>
      </c>
      <c r="D305" t="s">
        <v>26</v>
      </c>
      <c r="E305" t="str">
        <f t="shared" si="54"/>
        <v>Female</v>
      </c>
      <c r="F305">
        <v>37</v>
      </c>
      <c r="G305" t="s">
        <v>120</v>
      </c>
      <c r="H305" t="s">
        <v>14</v>
      </c>
      <c r="I305" t="s">
        <v>22</v>
      </c>
      <c r="J305">
        <v>0</v>
      </c>
      <c r="K305" s="4" t="str" cm="1">
        <f t="array" ref="K305">_xlfn.IFS(J305&lt;=5,"0-5",J305&lt;=10,"6-10",J305&lt;=15,"11-15",J305&lt;=20,"16-20",J305&gt;20,"21+")</f>
        <v>0-5</v>
      </c>
      <c r="L305" t="s">
        <v>90</v>
      </c>
      <c r="M305" s="2" t="str">
        <f>TRIM(MID(L305,FIND(" ",L305)+1,LEN(L305)))</f>
        <v>50</v>
      </c>
      <c r="N305" s="8">
        <f t="shared" si="55"/>
        <v>50</v>
      </c>
      <c r="O305">
        <v>4.7</v>
      </c>
      <c r="P305">
        <v>0</v>
      </c>
      <c r="Q305" t="s">
        <v>2072</v>
      </c>
      <c r="R305" s="1">
        <v>0.77</v>
      </c>
      <c r="S305" s="3">
        <f t="shared" si="65"/>
        <v>0.77</v>
      </c>
    </row>
    <row r="306" spans="1:19" x14ac:dyDescent="0.3">
      <c r="A306" t="s">
        <v>684</v>
      </c>
      <c r="B306" t="s">
        <v>685</v>
      </c>
      <c r="C306" t="str">
        <f t="shared" si="61"/>
        <v>Clayton Pena</v>
      </c>
      <c r="D306" t="s">
        <v>89</v>
      </c>
      <c r="E306" t="str">
        <f t="shared" si="54"/>
        <v>Male</v>
      </c>
      <c r="F306">
        <v>20</v>
      </c>
      <c r="G306" t="s">
        <v>131</v>
      </c>
      <c r="H306" t="s">
        <v>132</v>
      </c>
      <c r="I306" t="s">
        <v>43</v>
      </c>
      <c r="J306">
        <v>0</v>
      </c>
      <c r="K306" s="4" t="str" cm="1">
        <f t="array" ref="K306">_xlfn.IFS(J306&lt;=5,"0-5",J306&lt;=10,"6-10",J306&lt;=15,"11-15",J306&lt;=20,"16-20",J306&gt;20,"21+")</f>
        <v>0-5</v>
      </c>
      <c r="L306">
        <v>20</v>
      </c>
      <c r="M306" s="2">
        <f>L306</f>
        <v>20</v>
      </c>
      <c r="N306" s="8">
        <f t="shared" si="55"/>
        <v>20</v>
      </c>
      <c r="O306">
        <v>3.9</v>
      </c>
      <c r="P306" t="b">
        <v>0</v>
      </c>
      <c r="Q306" t="s">
        <v>2072</v>
      </c>
    </row>
    <row r="307" spans="1:19" x14ac:dyDescent="0.3">
      <c r="A307" t="s">
        <v>686</v>
      </c>
      <c r="B307" t="s">
        <v>687</v>
      </c>
      <c r="C307" t="str">
        <f t="shared" si="61"/>
        <v>Ashley Salazar</v>
      </c>
      <c r="D307" t="s">
        <v>12</v>
      </c>
      <c r="E307" t="str">
        <f t="shared" si="54"/>
        <v>Female</v>
      </c>
      <c r="F307">
        <v>48</v>
      </c>
      <c r="G307" t="s">
        <v>167</v>
      </c>
      <c r="H307" t="s">
        <v>168</v>
      </c>
      <c r="I307" t="s">
        <v>43</v>
      </c>
      <c r="J307">
        <v>2</v>
      </c>
      <c r="K307" s="4" t="str" cm="1">
        <f t="array" ref="K307">_xlfn.IFS(J307&lt;=5,"0-5",J307&lt;=10,"6-10",J307&lt;=15,"11-15",J307&lt;=20,"16-20",J307&gt;20,"21+")</f>
        <v>0-5</v>
      </c>
      <c r="L307">
        <v>75</v>
      </c>
      <c r="M307" s="2">
        <f>L307</f>
        <v>75</v>
      </c>
      <c r="N307" s="8">
        <f t="shared" si="55"/>
        <v>75</v>
      </c>
      <c r="O307">
        <v>1.6</v>
      </c>
      <c r="P307" t="s">
        <v>23</v>
      </c>
      <c r="Q307" t="s">
        <v>2072</v>
      </c>
      <c r="R307" s="1">
        <v>0.67</v>
      </c>
      <c r="S307" s="3">
        <f t="shared" ref="S307:S311" si="66">R307</f>
        <v>0.67</v>
      </c>
    </row>
    <row r="308" spans="1:19" x14ac:dyDescent="0.3">
      <c r="A308" t="s">
        <v>688</v>
      </c>
      <c r="B308" t="s">
        <v>689</v>
      </c>
      <c r="C308" t="str">
        <f t="shared" si="61"/>
        <v>Robert Lucas</v>
      </c>
      <c r="D308" t="s">
        <v>19</v>
      </c>
      <c r="E308" t="str">
        <f t="shared" si="54"/>
        <v>Male</v>
      </c>
      <c r="F308">
        <v>27</v>
      </c>
      <c r="G308" t="s">
        <v>127</v>
      </c>
      <c r="H308" t="s">
        <v>128</v>
      </c>
      <c r="I308" t="s">
        <v>70</v>
      </c>
      <c r="J308">
        <v>2</v>
      </c>
      <c r="K308" s="4" t="str" cm="1">
        <f t="array" ref="K308">_xlfn.IFS(J308&lt;=5,"0-5",J308&lt;=10,"6-10",J308&lt;=15,"11-15",J308&lt;=20,"16-20",J308&gt;20,"21+")</f>
        <v>0-5</v>
      </c>
      <c r="L308" t="s">
        <v>56</v>
      </c>
      <c r="M308" s="2" t="str">
        <f>SUBSTITUTE(L308,"$","")</f>
        <v>50</v>
      </c>
      <c r="N308" s="8">
        <f t="shared" si="55"/>
        <v>50</v>
      </c>
      <c r="P308">
        <v>0</v>
      </c>
      <c r="Q308" t="s">
        <v>2072</v>
      </c>
      <c r="R308" s="1">
        <v>0.84</v>
      </c>
      <c r="S308" s="3">
        <f t="shared" si="66"/>
        <v>0.84</v>
      </c>
    </row>
    <row r="309" spans="1:19" x14ac:dyDescent="0.3">
      <c r="A309" t="s">
        <v>690</v>
      </c>
      <c r="B309" t="s">
        <v>691</v>
      </c>
      <c r="C309" t="str">
        <f t="shared" si="61"/>
        <v>David Cox</v>
      </c>
      <c r="D309" t="s">
        <v>84</v>
      </c>
      <c r="E309" t="str">
        <f t="shared" si="54"/>
        <v>Male</v>
      </c>
      <c r="F309">
        <v>34</v>
      </c>
      <c r="G309" t="s">
        <v>104</v>
      </c>
      <c r="H309" t="s">
        <v>105</v>
      </c>
      <c r="I309" t="s">
        <v>15</v>
      </c>
      <c r="J309">
        <v>1</v>
      </c>
      <c r="K309" s="4" t="str" cm="1">
        <f t="array" ref="K309">_xlfn.IFS(J309&lt;=5,"0-5",J309&lt;=10,"6-10",J309&lt;=15,"11-15",J309&lt;=20,"16-20",J309&gt;20,"21+")</f>
        <v>0-5</v>
      </c>
      <c r="L309">
        <v>30</v>
      </c>
      <c r="M309" s="2">
        <f>L309</f>
        <v>30</v>
      </c>
      <c r="N309" s="8">
        <f t="shared" si="55"/>
        <v>30</v>
      </c>
      <c r="O309">
        <v>3.6</v>
      </c>
      <c r="P309">
        <v>1</v>
      </c>
      <c r="Q309" t="s">
        <v>2073</v>
      </c>
      <c r="R309" s="1">
        <v>0.87</v>
      </c>
      <c r="S309" s="3">
        <f t="shared" si="66"/>
        <v>0.87</v>
      </c>
    </row>
    <row r="310" spans="1:19" x14ac:dyDescent="0.3">
      <c r="A310" t="s">
        <v>692</v>
      </c>
      <c r="B310" t="s">
        <v>693</v>
      </c>
      <c r="C310" t="str">
        <f t="shared" si="61"/>
        <v>Christian Campbell</v>
      </c>
      <c r="D310" t="s">
        <v>89</v>
      </c>
      <c r="E310" t="str">
        <f t="shared" si="54"/>
        <v>Male</v>
      </c>
      <c r="F310">
        <v>55</v>
      </c>
      <c r="G310" t="s">
        <v>99</v>
      </c>
      <c r="H310" t="s">
        <v>100</v>
      </c>
      <c r="I310" t="s">
        <v>106</v>
      </c>
      <c r="J310">
        <v>14</v>
      </c>
      <c r="K310" s="4" t="str" cm="1">
        <f t="array" ref="K310">_xlfn.IFS(J310&lt;=5,"0-5",J310&lt;=10,"6-10",J310&lt;=15,"11-15",J310&lt;=20,"16-20",J310&gt;20,"21+")</f>
        <v>11-15</v>
      </c>
      <c r="L310" t="s">
        <v>101</v>
      </c>
      <c r="M310" s="2" t="str">
        <f>TRIM(MID(L310,FIND(" ",L310)+1,LEN(L310)))</f>
        <v>30</v>
      </c>
      <c r="N310" s="8">
        <f t="shared" si="55"/>
        <v>30</v>
      </c>
      <c r="O310">
        <v>1.2</v>
      </c>
      <c r="P310" t="s">
        <v>60</v>
      </c>
      <c r="Q310" t="s">
        <v>2073</v>
      </c>
      <c r="R310" s="1">
        <v>0.91</v>
      </c>
      <c r="S310" s="3">
        <f t="shared" si="66"/>
        <v>0.91</v>
      </c>
    </row>
    <row r="311" spans="1:19" x14ac:dyDescent="0.3">
      <c r="A311" t="s">
        <v>694</v>
      </c>
      <c r="B311" t="s">
        <v>695</v>
      </c>
      <c r="C311" t="str">
        <f>TRIM(MID(B311,FIND(" ",B311)+1,LEN(B311)))</f>
        <v>Angela Ward</v>
      </c>
      <c r="D311" t="s">
        <v>26</v>
      </c>
      <c r="E311" t="str">
        <f t="shared" si="54"/>
        <v>Female</v>
      </c>
      <c r="F311">
        <v>44</v>
      </c>
      <c r="G311" t="s">
        <v>145</v>
      </c>
      <c r="H311" t="s">
        <v>146</v>
      </c>
      <c r="I311" t="s">
        <v>106</v>
      </c>
      <c r="J311">
        <v>14</v>
      </c>
      <c r="K311" s="4" t="str" cm="1">
        <f t="array" ref="K311">_xlfn.IFS(J311&lt;=5,"0-5",J311&lt;=10,"6-10",J311&lt;=15,"11-15",J311&lt;=20,"16-20",J311&gt;20,"21+")</f>
        <v>11-15</v>
      </c>
      <c r="L311" t="s">
        <v>44</v>
      </c>
      <c r="M311" s="2" t="str">
        <f>TRIM(MID(L311,FIND(" ",L311)+1,LEN(L311)))</f>
        <v>75</v>
      </c>
      <c r="N311" s="8">
        <f t="shared" si="55"/>
        <v>75</v>
      </c>
      <c r="O311">
        <v>3</v>
      </c>
      <c r="P311">
        <v>0</v>
      </c>
      <c r="Q311" t="s">
        <v>2072</v>
      </c>
      <c r="R311" s="1">
        <v>0.78</v>
      </c>
      <c r="S311" s="3">
        <f t="shared" si="66"/>
        <v>0.78</v>
      </c>
    </row>
    <row r="312" spans="1:19" x14ac:dyDescent="0.3">
      <c r="A312" t="s">
        <v>696</v>
      </c>
      <c r="B312" t="s">
        <v>697</v>
      </c>
      <c r="C312" t="str">
        <f t="shared" ref="C312:C347" si="67">B312</f>
        <v>Lucas Chen</v>
      </c>
      <c r="D312" t="s">
        <v>19</v>
      </c>
      <c r="E312" t="str">
        <f t="shared" si="54"/>
        <v>Male</v>
      </c>
      <c r="F312">
        <v>31</v>
      </c>
      <c r="G312" t="s">
        <v>34</v>
      </c>
      <c r="H312" t="s">
        <v>35</v>
      </c>
      <c r="I312" t="s">
        <v>65</v>
      </c>
      <c r="J312">
        <v>2</v>
      </c>
      <c r="K312" s="4" t="str" cm="1">
        <f t="array" ref="K312">_xlfn.IFS(J312&lt;=5,"0-5",J312&lt;=10,"6-10",J312&lt;=15,"11-15",J312&lt;=20,"16-20",J312&gt;20,"21+")</f>
        <v>0-5</v>
      </c>
      <c r="L312">
        <v>50</v>
      </c>
      <c r="M312" s="2">
        <f>L312</f>
        <v>50</v>
      </c>
      <c r="N312" s="8">
        <f t="shared" si="55"/>
        <v>50</v>
      </c>
      <c r="O312">
        <v>3.9</v>
      </c>
      <c r="P312">
        <v>0</v>
      </c>
      <c r="Q312" t="s">
        <v>2072</v>
      </c>
    </row>
    <row r="313" spans="1:19" x14ac:dyDescent="0.3">
      <c r="A313" t="s">
        <v>698</v>
      </c>
      <c r="B313" t="s">
        <v>699</v>
      </c>
      <c r="C313" t="str">
        <f t="shared" si="67"/>
        <v>Ruben Nelson</v>
      </c>
      <c r="D313" t="s">
        <v>40</v>
      </c>
      <c r="E313" t="str">
        <f t="shared" si="54"/>
        <v>Male</v>
      </c>
      <c r="F313">
        <v>34</v>
      </c>
      <c r="G313" t="s">
        <v>13</v>
      </c>
      <c r="H313" t="s">
        <v>14</v>
      </c>
      <c r="I313" t="s">
        <v>81</v>
      </c>
      <c r="J313">
        <v>1</v>
      </c>
      <c r="K313" s="4" t="str" cm="1">
        <f t="array" ref="K313">_xlfn.IFS(J313&lt;=5,"0-5",J313&lt;=10,"6-10",J313&lt;=15,"11-15",J313&lt;=20,"16-20",J313&gt;20,"21+")</f>
        <v>0-5</v>
      </c>
      <c r="L313">
        <v>40</v>
      </c>
      <c r="M313" s="2">
        <f>L313</f>
        <v>40</v>
      </c>
      <c r="N313" s="8">
        <f t="shared" si="55"/>
        <v>40</v>
      </c>
      <c r="O313">
        <v>1.7</v>
      </c>
      <c r="R313">
        <v>74</v>
      </c>
      <c r="S313" s="3">
        <f>R313/100</f>
        <v>0.74</v>
      </c>
    </row>
    <row r="314" spans="1:19" x14ac:dyDescent="0.3">
      <c r="A314" t="s">
        <v>700</v>
      </c>
      <c r="B314" t="s">
        <v>701</v>
      </c>
      <c r="C314" t="str">
        <f t="shared" si="67"/>
        <v>Brenda Briggs</v>
      </c>
      <c r="D314" t="s">
        <v>26</v>
      </c>
      <c r="E314" t="str">
        <f t="shared" si="54"/>
        <v>Female</v>
      </c>
      <c r="F314">
        <v>47</v>
      </c>
      <c r="G314" t="s">
        <v>99</v>
      </c>
      <c r="H314" t="s">
        <v>100</v>
      </c>
      <c r="I314" t="s">
        <v>81</v>
      </c>
      <c r="J314">
        <v>13</v>
      </c>
      <c r="K314" s="4" t="str" cm="1">
        <f t="array" ref="K314">_xlfn.IFS(J314&lt;=5,"0-5",J314&lt;=10,"6-10",J314&lt;=15,"11-15",J314&lt;=20,"16-20",J314&gt;20,"21+")</f>
        <v>11-15</v>
      </c>
      <c r="L314">
        <v>20</v>
      </c>
      <c r="M314" s="2">
        <f>L314</f>
        <v>20</v>
      </c>
      <c r="N314" s="8">
        <f t="shared" si="55"/>
        <v>20</v>
      </c>
      <c r="O314">
        <v>4.5</v>
      </c>
      <c r="R314" s="1">
        <v>0.91</v>
      </c>
      <c r="S314" s="3">
        <f t="shared" ref="S314:S317" si="68">R314</f>
        <v>0.91</v>
      </c>
    </row>
    <row r="315" spans="1:19" x14ac:dyDescent="0.3">
      <c r="A315" t="s">
        <v>702</v>
      </c>
      <c r="B315" t="s">
        <v>703</v>
      </c>
      <c r="C315" t="str">
        <f t="shared" si="67"/>
        <v>Ronald Smith</v>
      </c>
      <c r="D315" t="s">
        <v>40</v>
      </c>
      <c r="E315" t="str">
        <f t="shared" si="54"/>
        <v>Male</v>
      </c>
      <c r="F315">
        <v>50</v>
      </c>
      <c r="G315" t="s">
        <v>50</v>
      </c>
      <c r="H315" t="s">
        <v>14</v>
      </c>
      <c r="I315" t="s">
        <v>22</v>
      </c>
      <c r="J315">
        <v>23</v>
      </c>
      <c r="K315" s="4" t="str" cm="1">
        <f t="array" ref="K315">_xlfn.IFS(J315&lt;=5,"0-5",J315&lt;=10,"6-10",J315&lt;=15,"11-15",J315&lt;=20,"16-20",J315&gt;20,"21+")</f>
        <v>21+</v>
      </c>
      <c r="L315" t="s">
        <v>28</v>
      </c>
      <c r="M315" s="2" t="str">
        <f>SUBSTITUTE(L315,"$","")</f>
        <v>40</v>
      </c>
      <c r="N315" s="8">
        <f t="shared" si="55"/>
        <v>40</v>
      </c>
      <c r="O315">
        <v>3.6</v>
      </c>
      <c r="P315" t="b">
        <v>1</v>
      </c>
      <c r="Q315" t="s">
        <v>2073</v>
      </c>
      <c r="R315" s="1">
        <v>0.71</v>
      </c>
      <c r="S315" s="3">
        <f t="shared" si="68"/>
        <v>0.71</v>
      </c>
    </row>
    <row r="316" spans="1:19" x14ac:dyDescent="0.3">
      <c r="A316" t="s">
        <v>704</v>
      </c>
      <c r="B316" t="s">
        <v>705</v>
      </c>
      <c r="C316" t="str">
        <f t="shared" si="67"/>
        <v>Dakota Giles</v>
      </c>
      <c r="D316" t="s">
        <v>84</v>
      </c>
      <c r="E316" t="str">
        <f t="shared" si="54"/>
        <v>Male</v>
      </c>
      <c r="F316">
        <v>39</v>
      </c>
      <c r="G316" t="s">
        <v>20</v>
      </c>
      <c r="H316" t="s">
        <v>21</v>
      </c>
      <c r="I316" t="s">
        <v>70</v>
      </c>
      <c r="K316" s="4" t="str" cm="1">
        <f t="array" ref="K316">_xlfn.IFS(J316&lt;=5,"0-5",J316&lt;=10,"6-10",J316&lt;=15,"11-15",J316&lt;=20,"16-20",J316&gt;20,"21+")</f>
        <v>0-5</v>
      </c>
      <c r="L316" t="s">
        <v>44</v>
      </c>
      <c r="M316" s="2" t="str">
        <f>TRIM(MID(L316,FIND(" ",L316)+1,LEN(L316)))</f>
        <v>75</v>
      </c>
      <c r="N316" s="8">
        <f t="shared" si="55"/>
        <v>75</v>
      </c>
      <c r="O316">
        <v>3.6</v>
      </c>
      <c r="P316" t="s">
        <v>66</v>
      </c>
      <c r="Q316" t="s">
        <v>2073</v>
      </c>
      <c r="R316" s="1">
        <v>0.87</v>
      </c>
      <c r="S316" s="3">
        <f t="shared" si="68"/>
        <v>0.87</v>
      </c>
    </row>
    <row r="317" spans="1:19" x14ac:dyDescent="0.3">
      <c r="A317" t="s">
        <v>706</v>
      </c>
      <c r="B317" t="s">
        <v>707</v>
      </c>
      <c r="C317" t="str">
        <f t="shared" si="67"/>
        <v>Angela Castillo</v>
      </c>
      <c r="D317" t="s">
        <v>12</v>
      </c>
      <c r="E317" t="str">
        <f t="shared" si="54"/>
        <v>Female</v>
      </c>
      <c r="F317">
        <v>26</v>
      </c>
      <c r="G317" t="s">
        <v>63</v>
      </c>
      <c r="H317" t="s">
        <v>64</v>
      </c>
      <c r="I317" t="s">
        <v>9</v>
      </c>
      <c r="J317">
        <v>3</v>
      </c>
      <c r="K317" s="4" t="str" cm="1">
        <f t="array" ref="K317">_xlfn.IFS(J317&lt;=5,"0-5",J317&lt;=10,"6-10",J317&lt;=15,"11-15",J317&lt;=20,"16-20",J317&gt;20,"21+")</f>
        <v>0-5</v>
      </c>
      <c r="L317" t="s">
        <v>16</v>
      </c>
      <c r="M317" s="2" t="str">
        <f>TRIM(MID(L317,FIND(" ",L317)+1,LEN(L317)))</f>
        <v>100</v>
      </c>
      <c r="N317" s="8">
        <f t="shared" si="55"/>
        <v>100</v>
      </c>
      <c r="O317">
        <v>2.8</v>
      </c>
      <c r="P317">
        <v>1</v>
      </c>
      <c r="Q317" t="s">
        <v>2073</v>
      </c>
      <c r="R317" s="1">
        <v>0.61</v>
      </c>
      <c r="S317" s="3">
        <f t="shared" si="68"/>
        <v>0.61</v>
      </c>
    </row>
    <row r="318" spans="1:19" x14ac:dyDescent="0.3">
      <c r="A318" t="s">
        <v>708</v>
      </c>
      <c r="B318" t="s">
        <v>709</v>
      </c>
      <c r="C318" t="str">
        <f t="shared" si="67"/>
        <v>Allen Lee</v>
      </c>
      <c r="D318" t="s">
        <v>84</v>
      </c>
      <c r="E318" t="str">
        <f t="shared" si="54"/>
        <v>Male</v>
      </c>
      <c r="G318" t="s">
        <v>34</v>
      </c>
      <c r="H318" t="s">
        <v>35</v>
      </c>
      <c r="I318" t="s">
        <v>81</v>
      </c>
      <c r="J318">
        <v>0</v>
      </c>
      <c r="K318" s="4" t="str" cm="1">
        <f t="array" ref="K318">_xlfn.IFS(J318&lt;=5,"0-5",J318&lt;=10,"6-10",J318&lt;=15,"11-15",J318&lt;=20,"16-20",J318&gt;20,"21+")</f>
        <v>0-5</v>
      </c>
      <c r="L318" t="s">
        <v>221</v>
      </c>
      <c r="M318" s="2" t="str">
        <f>SUBSTITUTE(L318,"$","")</f>
        <v>100</v>
      </c>
      <c r="N318" s="8">
        <f t="shared" si="55"/>
        <v>100</v>
      </c>
      <c r="O318">
        <v>5</v>
      </c>
      <c r="P318" t="s">
        <v>23</v>
      </c>
      <c r="Q318" t="s">
        <v>2072</v>
      </c>
    </row>
    <row r="319" spans="1:19" x14ac:dyDescent="0.3">
      <c r="A319" t="s">
        <v>710</v>
      </c>
      <c r="B319" t="s">
        <v>711</v>
      </c>
      <c r="C319" t="str">
        <f t="shared" si="67"/>
        <v>Michael Rogers</v>
      </c>
      <c r="D319" t="s">
        <v>19</v>
      </c>
      <c r="E319" t="str">
        <f t="shared" si="54"/>
        <v>Male</v>
      </c>
      <c r="F319">
        <v>32</v>
      </c>
      <c r="G319" t="s">
        <v>20</v>
      </c>
      <c r="H319" t="s">
        <v>21</v>
      </c>
      <c r="I319" t="s">
        <v>22</v>
      </c>
      <c r="J319">
        <v>0</v>
      </c>
      <c r="K319" s="4" t="str" cm="1">
        <f t="array" ref="K319">_xlfn.IFS(J319&lt;=5,"0-5",J319&lt;=10,"6-10",J319&lt;=15,"11-15",J319&lt;=20,"16-20",J319&gt;20,"21+")</f>
        <v>0-5</v>
      </c>
      <c r="L319">
        <v>100</v>
      </c>
      <c r="M319" s="2">
        <f>L319</f>
        <v>100</v>
      </c>
      <c r="N319" s="8">
        <f t="shared" si="55"/>
        <v>100</v>
      </c>
      <c r="O319">
        <v>1.4</v>
      </c>
      <c r="P319">
        <v>1</v>
      </c>
      <c r="Q319" t="s">
        <v>2073</v>
      </c>
      <c r="R319" s="1">
        <v>0.81</v>
      </c>
      <c r="S319" s="3">
        <f>R319</f>
        <v>0.81</v>
      </c>
    </row>
    <row r="320" spans="1:19" x14ac:dyDescent="0.3">
      <c r="A320" t="s">
        <v>712</v>
      </c>
      <c r="B320" t="s">
        <v>713</v>
      </c>
      <c r="C320" t="str">
        <f t="shared" si="67"/>
        <v>Danielle Costa</v>
      </c>
      <c r="D320" t="s">
        <v>69</v>
      </c>
      <c r="E320" t="str">
        <f t="shared" si="54"/>
        <v>Female</v>
      </c>
      <c r="F320">
        <v>55</v>
      </c>
      <c r="G320" t="s">
        <v>116</v>
      </c>
      <c r="H320" t="s">
        <v>117</v>
      </c>
      <c r="I320" t="s">
        <v>43</v>
      </c>
      <c r="J320">
        <v>17</v>
      </c>
      <c r="K320" s="4" t="str" cm="1">
        <f t="array" ref="K320">_xlfn.IFS(J320&lt;=5,"0-5",J320&lt;=10,"6-10",J320&lt;=15,"11-15",J320&lt;=20,"16-20",J320&gt;20,"21+")</f>
        <v>16-20</v>
      </c>
      <c r="L320">
        <v>30</v>
      </c>
      <c r="M320" s="2">
        <f>L320</f>
        <v>30</v>
      </c>
      <c r="N320" s="8">
        <f t="shared" si="55"/>
        <v>30</v>
      </c>
    </row>
    <row r="321" spans="1:19" x14ac:dyDescent="0.3">
      <c r="A321" t="s">
        <v>714</v>
      </c>
      <c r="B321" t="s">
        <v>715</v>
      </c>
      <c r="C321" t="str">
        <f t="shared" si="67"/>
        <v>William Nunez</v>
      </c>
      <c r="D321" t="s">
        <v>84</v>
      </c>
      <c r="E321" t="str">
        <f t="shared" si="54"/>
        <v>Male</v>
      </c>
      <c r="F321">
        <v>32</v>
      </c>
      <c r="G321" t="s">
        <v>63</v>
      </c>
      <c r="H321" t="s">
        <v>64</v>
      </c>
      <c r="I321" t="s">
        <v>106</v>
      </c>
      <c r="J321">
        <v>9</v>
      </c>
      <c r="K321" s="4" t="str" cm="1">
        <f t="array" ref="K321">_xlfn.IFS(J321&lt;=5,"0-5",J321&lt;=10,"6-10",J321&lt;=15,"11-15",J321&lt;=20,"16-20",J321&gt;20,"21+")</f>
        <v>6-10</v>
      </c>
      <c r="L321" t="s">
        <v>47</v>
      </c>
      <c r="M321" s="2" t="str">
        <f>TRIM(MID(L321,FIND(" ",L321)+1,LEN(L321)))</f>
        <v>40</v>
      </c>
      <c r="N321" s="8">
        <f t="shared" si="55"/>
        <v>40</v>
      </c>
      <c r="O321">
        <v>4.5999999999999996</v>
      </c>
      <c r="P321">
        <v>1</v>
      </c>
      <c r="Q321" t="s">
        <v>2073</v>
      </c>
      <c r="R321" s="1">
        <v>0.84</v>
      </c>
      <c r="S321" s="3">
        <f>R321</f>
        <v>0.84</v>
      </c>
    </row>
    <row r="322" spans="1:19" x14ac:dyDescent="0.3">
      <c r="A322" t="s">
        <v>716</v>
      </c>
      <c r="B322" t="s">
        <v>717</v>
      </c>
      <c r="C322" t="str">
        <f t="shared" si="67"/>
        <v>Christopher Riggs</v>
      </c>
      <c r="D322" t="s">
        <v>40</v>
      </c>
      <c r="E322" t="str">
        <f t="shared" ref="E322:E385" si="69">IF(LOWER(LEFT(D322,1))="f","Female","Male")</f>
        <v>Male</v>
      </c>
      <c r="F322">
        <v>30</v>
      </c>
      <c r="G322" t="s">
        <v>104</v>
      </c>
      <c r="H322" t="s">
        <v>105</v>
      </c>
      <c r="I322" t="s">
        <v>9</v>
      </c>
      <c r="J322">
        <v>4</v>
      </c>
      <c r="K322" s="4" t="str" cm="1">
        <f t="array" ref="K322">_xlfn.IFS(J322&lt;=5,"0-5",J322&lt;=10,"6-10",J322&lt;=15,"11-15",J322&lt;=20,"16-20",J322&gt;20,"21+")</f>
        <v>0-5</v>
      </c>
      <c r="L322" t="s">
        <v>113</v>
      </c>
      <c r="M322" s="2" t="str">
        <f>SUBSTITUTE(L322,"$","")</f>
        <v>20</v>
      </c>
      <c r="N322" s="8">
        <f t="shared" si="55"/>
        <v>20</v>
      </c>
      <c r="O322">
        <v>3.3</v>
      </c>
      <c r="P322" t="s">
        <v>151</v>
      </c>
      <c r="Q322" t="s">
        <v>2072</v>
      </c>
    </row>
    <row r="323" spans="1:19" x14ac:dyDescent="0.3">
      <c r="A323" t="s">
        <v>718</v>
      </c>
      <c r="B323" t="s">
        <v>719</v>
      </c>
      <c r="C323" t="str">
        <f t="shared" si="67"/>
        <v>Kathryn Myers</v>
      </c>
      <c r="D323" t="s">
        <v>31</v>
      </c>
      <c r="E323" t="str">
        <f t="shared" si="69"/>
        <v>Female</v>
      </c>
      <c r="F323">
        <v>37</v>
      </c>
      <c r="G323" t="s">
        <v>120</v>
      </c>
      <c r="H323" t="s">
        <v>14</v>
      </c>
      <c r="I323" t="s">
        <v>70</v>
      </c>
      <c r="J323">
        <v>0</v>
      </c>
      <c r="K323" s="4" t="str" cm="1">
        <f t="array" ref="K323">_xlfn.IFS(J323&lt;=5,"0-5",J323&lt;=10,"6-10",J323&lt;=15,"11-15",J323&lt;=20,"16-20",J323&gt;20,"21+")</f>
        <v>0-5</v>
      </c>
      <c r="L323" t="s">
        <v>28</v>
      </c>
      <c r="M323" s="2" t="str">
        <f>SUBSTITUTE(L323,"$","")</f>
        <v>40</v>
      </c>
      <c r="N323" s="8">
        <f t="shared" ref="N323:N386" si="70">IF(M323="", "", VALUE(M323))</f>
        <v>40</v>
      </c>
      <c r="O323">
        <v>3.7</v>
      </c>
      <c r="P323">
        <v>1</v>
      </c>
      <c r="Q323" t="s">
        <v>2073</v>
      </c>
    </row>
    <row r="324" spans="1:19" x14ac:dyDescent="0.3">
      <c r="A324" t="s">
        <v>720</v>
      </c>
      <c r="B324" t="s">
        <v>721</v>
      </c>
      <c r="C324" t="str">
        <f t="shared" si="67"/>
        <v>Robert Walls</v>
      </c>
      <c r="D324" t="s">
        <v>84</v>
      </c>
      <c r="E324" t="str">
        <f t="shared" si="69"/>
        <v>Male</v>
      </c>
      <c r="F324">
        <v>52</v>
      </c>
      <c r="G324" t="s">
        <v>99</v>
      </c>
      <c r="H324" t="s">
        <v>100</v>
      </c>
      <c r="I324" t="s">
        <v>22</v>
      </c>
      <c r="J324">
        <v>33</v>
      </c>
      <c r="K324" s="4" t="str" cm="1">
        <f t="array" ref="K324">_xlfn.IFS(J324&lt;=5,"0-5",J324&lt;=10,"6-10",J324&lt;=15,"11-15",J324&lt;=20,"16-20",J324&gt;20,"21+")</f>
        <v>21+</v>
      </c>
      <c r="N324" s="8" t="str">
        <f t="shared" si="70"/>
        <v/>
      </c>
      <c r="O324">
        <v>0</v>
      </c>
      <c r="P324">
        <v>1</v>
      </c>
      <c r="Q324" t="s">
        <v>2073</v>
      </c>
      <c r="R324" s="1">
        <v>0.6</v>
      </c>
      <c r="S324" s="3">
        <f t="shared" ref="S324:S327" si="71">R324</f>
        <v>0.6</v>
      </c>
    </row>
    <row r="325" spans="1:19" x14ac:dyDescent="0.3">
      <c r="A325" t="s">
        <v>722</v>
      </c>
      <c r="B325" t="s">
        <v>723</v>
      </c>
      <c r="C325" t="str">
        <f t="shared" si="67"/>
        <v>Justin Johnson</v>
      </c>
      <c r="D325" t="s">
        <v>89</v>
      </c>
      <c r="E325" t="str">
        <f t="shared" si="69"/>
        <v>Male</v>
      </c>
      <c r="F325">
        <v>48</v>
      </c>
      <c r="G325" t="s">
        <v>85</v>
      </c>
      <c r="H325" t="s">
        <v>86</v>
      </c>
      <c r="I325" t="s">
        <v>70</v>
      </c>
      <c r="J325">
        <v>18</v>
      </c>
      <c r="K325" s="4" t="str" cm="1">
        <f t="array" ref="K325">_xlfn.IFS(J325&lt;=5,"0-5",J325&lt;=10,"6-10",J325&lt;=15,"11-15",J325&lt;=20,"16-20",J325&gt;20,"21+")</f>
        <v>16-20</v>
      </c>
      <c r="L325">
        <v>50</v>
      </c>
      <c r="M325" s="2">
        <f>L325</f>
        <v>50</v>
      </c>
      <c r="N325" s="8">
        <f t="shared" si="70"/>
        <v>50</v>
      </c>
      <c r="O325">
        <v>0</v>
      </c>
      <c r="P325" t="s">
        <v>66</v>
      </c>
      <c r="Q325" t="s">
        <v>2073</v>
      </c>
      <c r="R325" s="1">
        <v>0.64</v>
      </c>
      <c r="S325" s="3">
        <f t="shared" si="71"/>
        <v>0.64</v>
      </c>
    </row>
    <row r="326" spans="1:19" x14ac:dyDescent="0.3">
      <c r="A326" t="s">
        <v>724</v>
      </c>
      <c r="B326" t="s">
        <v>725</v>
      </c>
      <c r="C326" t="str">
        <f t="shared" si="67"/>
        <v>Paula Stevens</v>
      </c>
      <c r="D326" t="s">
        <v>12</v>
      </c>
      <c r="E326" t="str">
        <f t="shared" si="69"/>
        <v>Female</v>
      </c>
      <c r="F326">
        <v>28</v>
      </c>
      <c r="G326" t="s">
        <v>77</v>
      </c>
      <c r="H326" t="s">
        <v>78</v>
      </c>
      <c r="I326" t="s">
        <v>15</v>
      </c>
      <c r="J326">
        <v>9</v>
      </c>
      <c r="K326" s="4" t="str" cm="1">
        <f t="array" ref="K326">_xlfn.IFS(J326&lt;=5,"0-5",J326&lt;=10,"6-10",J326&lt;=15,"11-15",J326&lt;=20,"16-20",J326&gt;20,"21+")</f>
        <v>6-10</v>
      </c>
      <c r="L326">
        <v>40</v>
      </c>
      <c r="M326" s="2">
        <f>L326</f>
        <v>40</v>
      </c>
      <c r="N326" s="8">
        <f t="shared" si="70"/>
        <v>40</v>
      </c>
      <c r="P326">
        <v>1</v>
      </c>
      <c r="Q326" t="s">
        <v>2073</v>
      </c>
      <c r="R326" s="1">
        <v>0.64</v>
      </c>
      <c r="S326" s="3">
        <f t="shared" si="71"/>
        <v>0.64</v>
      </c>
    </row>
    <row r="327" spans="1:19" x14ac:dyDescent="0.3">
      <c r="A327" t="s">
        <v>726</v>
      </c>
      <c r="B327" t="s">
        <v>727</v>
      </c>
      <c r="C327" t="str">
        <f t="shared" si="67"/>
        <v>Jennifer Allen</v>
      </c>
      <c r="D327" t="s">
        <v>12</v>
      </c>
      <c r="E327" t="str">
        <f t="shared" si="69"/>
        <v>Female</v>
      </c>
      <c r="F327">
        <v>58</v>
      </c>
      <c r="G327" t="s">
        <v>182</v>
      </c>
      <c r="H327" t="s">
        <v>64</v>
      </c>
      <c r="I327" t="s">
        <v>43</v>
      </c>
      <c r="J327">
        <v>40</v>
      </c>
      <c r="K327" s="4" t="str" cm="1">
        <f t="array" ref="K327">_xlfn.IFS(J327&lt;=5,"0-5",J327&lt;=10,"6-10",J327&lt;=15,"11-15",J327&lt;=20,"16-20",J327&gt;20,"21+")</f>
        <v>21+</v>
      </c>
      <c r="L327">
        <v>75</v>
      </c>
      <c r="M327" s="2">
        <f>L327</f>
        <v>75</v>
      </c>
      <c r="N327" s="8">
        <f t="shared" si="70"/>
        <v>75</v>
      </c>
      <c r="O327">
        <v>3.4</v>
      </c>
      <c r="P327">
        <v>1</v>
      </c>
      <c r="Q327" t="s">
        <v>2073</v>
      </c>
      <c r="R327" s="1">
        <v>1</v>
      </c>
      <c r="S327" s="3">
        <f t="shared" si="71"/>
        <v>1</v>
      </c>
    </row>
    <row r="328" spans="1:19" x14ac:dyDescent="0.3">
      <c r="A328" t="s">
        <v>728</v>
      </c>
      <c r="B328" t="s">
        <v>729</v>
      </c>
      <c r="C328" t="str">
        <f t="shared" si="67"/>
        <v>Mark Hudson</v>
      </c>
      <c r="D328" t="s">
        <v>19</v>
      </c>
      <c r="E328" t="str">
        <f t="shared" si="69"/>
        <v>Male</v>
      </c>
      <c r="F328">
        <v>30</v>
      </c>
      <c r="G328" t="s">
        <v>63</v>
      </c>
      <c r="H328" t="s">
        <v>64</v>
      </c>
      <c r="I328" t="s">
        <v>27</v>
      </c>
      <c r="J328">
        <v>1</v>
      </c>
      <c r="K328" s="4" t="str" cm="1">
        <f t="array" ref="K328">_xlfn.IFS(J328&lt;=5,"0-5",J328&lt;=10,"6-10",J328&lt;=15,"11-15",J328&lt;=20,"16-20",J328&gt;20,"21+")</f>
        <v>0-5</v>
      </c>
      <c r="L328">
        <v>40</v>
      </c>
      <c r="M328" s="2">
        <f>L328</f>
        <v>40</v>
      </c>
      <c r="N328" s="8">
        <f t="shared" si="70"/>
        <v>40</v>
      </c>
      <c r="O328">
        <v>1.6</v>
      </c>
      <c r="P328" t="b">
        <v>1</v>
      </c>
      <c r="Q328" t="s">
        <v>2073</v>
      </c>
      <c r="R328">
        <v>100</v>
      </c>
      <c r="S328" s="3">
        <f>R328/100</f>
        <v>1</v>
      </c>
    </row>
    <row r="329" spans="1:19" x14ac:dyDescent="0.3">
      <c r="A329" t="s">
        <v>730</v>
      </c>
      <c r="B329" t="s">
        <v>731</v>
      </c>
      <c r="C329" t="str">
        <f t="shared" si="67"/>
        <v>Jessica Smith</v>
      </c>
      <c r="D329" t="s">
        <v>69</v>
      </c>
      <c r="E329" t="str">
        <f t="shared" si="69"/>
        <v>Female</v>
      </c>
      <c r="F329">
        <v>47</v>
      </c>
      <c r="G329" t="s">
        <v>167</v>
      </c>
      <c r="H329" t="s">
        <v>168</v>
      </c>
      <c r="I329" t="s">
        <v>15</v>
      </c>
      <c r="J329">
        <v>5</v>
      </c>
      <c r="K329" s="4" t="str" cm="1">
        <f t="array" ref="K329">_xlfn.IFS(J329&lt;=5,"0-5",J329&lt;=10,"6-10",J329&lt;=15,"11-15",J329&lt;=20,"16-20",J329&gt;20,"21+")</f>
        <v>0-5</v>
      </c>
      <c r="L329">
        <v>20</v>
      </c>
      <c r="M329" s="2">
        <f>L329</f>
        <v>20</v>
      </c>
      <c r="N329" s="8">
        <f t="shared" si="70"/>
        <v>20</v>
      </c>
      <c r="O329">
        <v>1.9</v>
      </c>
      <c r="P329">
        <v>0</v>
      </c>
      <c r="Q329" t="s">
        <v>2072</v>
      </c>
    </row>
    <row r="330" spans="1:19" x14ac:dyDescent="0.3">
      <c r="A330" t="s">
        <v>732</v>
      </c>
      <c r="B330" t="s">
        <v>733</v>
      </c>
      <c r="C330" t="str">
        <f t="shared" si="67"/>
        <v>Mike Dean</v>
      </c>
      <c r="D330" t="s">
        <v>19</v>
      </c>
      <c r="E330" t="str">
        <f t="shared" si="69"/>
        <v>Male</v>
      </c>
      <c r="F330">
        <v>44</v>
      </c>
      <c r="G330" t="s">
        <v>63</v>
      </c>
      <c r="H330" t="s">
        <v>64</v>
      </c>
      <c r="I330" t="s">
        <v>36</v>
      </c>
      <c r="J330">
        <v>4</v>
      </c>
      <c r="K330" s="4" t="str" cm="1">
        <f t="array" ref="K330">_xlfn.IFS(J330&lt;=5,"0-5",J330&lt;=10,"6-10",J330&lt;=15,"11-15",J330&lt;=20,"16-20",J330&gt;20,"21+")</f>
        <v>0-5</v>
      </c>
      <c r="L330" t="s">
        <v>56</v>
      </c>
      <c r="M330" s="2" t="str">
        <f>SUBSTITUTE(L330,"$","")</f>
        <v>50</v>
      </c>
      <c r="N330" s="8">
        <f t="shared" si="70"/>
        <v>50</v>
      </c>
      <c r="O330">
        <v>0</v>
      </c>
      <c r="P330" t="b">
        <v>1</v>
      </c>
      <c r="Q330" t="s">
        <v>2073</v>
      </c>
      <c r="R330" s="1">
        <v>0.83</v>
      </c>
      <c r="S330" s="3">
        <f t="shared" ref="S330:S334" si="72">R330</f>
        <v>0.83</v>
      </c>
    </row>
    <row r="331" spans="1:19" x14ac:dyDescent="0.3">
      <c r="A331" t="s">
        <v>734</v>
      </c>
      <c r="B331" t="s">
        <v>735</v>
      </c>
      <c r="C331" t="str">
        <f t="shared" si="67"/>
        <v>Jose Wilson</v>
      </c>
      <c r="D331" t="s">
        <v>84</v>
      </c>
      <c r="E331" t="str">
        <f t="shared" si="69"/>
        <v>Male</v>
      </c>
      <c r="F331">
        <v>56</v>
      </c>
      <c r="G331" t="s">
        <v>7</v>
      </c>
      <c r="H331" t="s">
        <v>8</v>
      </c>
      <c r="I331" t="s">
        <v>106</v>
      </c>
      <c r="J331">
        <v>13</v>
      </c>
      <c r="K331" s="4" t="str" cm="1">
        <f t="array" ref="K331">_xlfn.IFS(J331&lt;=5,"0-5",J331&lt;=10,"6-10",J331&lt;=15,"11-15",J331&lt;=20,"16-20",J331&gt;20,"21+")</f>
        <v>11-15</v>
      </c>
      <c r="L331" t="s">
        <v>47</v>
      </c>
      <c r="M331" s="2" t="str">
        <f>TRIM(MID(L331,FIND(" ",L331)+1,LEN(L331)))</f>
        <v>40</v>
      </c>
      <c r="N331" s="8">
        <f t="shared" si="70"/>
        <v>40</v>
      </c>
      <c r="P331">
        <v>1</v>
      </c>
      <c r="Q331" t="s">
        <v>2073</v>
      </c>
      <c r="R331" s="1">
        <v>0.87</v>
      </c>
      <c r="S331" s="3">
        <f t="shared" si="72"/>
        <v>0.87</v>
      </c>
    </row>
    <row r="332" spans="1:19" x14ac:dyDescent="0.3">
      <c r="A332" t="s">
        <v>736</v>
      </c>
      <c r="B332" t="s">
        <v>737</v>
      </c>
      <c r="C332" t="str">
        <f t="shared" si="67"/>
        <v>Tammy Hill</v>
      </c>
      <c r="D332" t="s">
        <v>69</v>
      </c>
      <c r="E332" t="str">
        <f t="shared" si="69"/>
        <v>Female</v>
      </c>
      <c r="F332">
        <v>53</v>
      </c>
      <c r="G332" t="s">
        <v>50</v>
      </c>
      <c r="H332" t="s">
        <v>14</v>
      </c>
      <c r="I332" t="s">
        <v>15</v>
      </c>
      <c r="J332">
        <v>33</v>
      </c>
      <c r="K332" s="4" t="str" cm="1">
        <f t="array" ref="K332">_xlfn.IFS(J332&lt;=5,"0-5",J332&lt;=10,"6-10",J332&lt;=15,"11-15",J332&lt;=20,"16-20",J332&gt;20,"21+")</f>
        <v>21+</v>
      </c>
      <c r="L332" t="s">
        <v>221</v>
      </c>
      <c r="M332" s="2" t="str">
        <f>SUBSTITUTE(L332,"$","")</f>
        <v>100</v>
      </c>
      <c r="N332" s="8">
        <f t="shared" si="70"/>
        <v>100</v>
      </c>
      <c r="P332" t="s">
        <v>151</v>
      </c>
      <c r="Q332" t="s">
        <v>2072</v>
      </c>
      <c r="R332" s="1">
        <v>0.75</v>
      </c>
      <c r="S332" s="3">
        <f t="shared" si="72"/>
        <v>0.75</v>
      </c>
    </row>
    <row r="333" spans="1:19" x14ac:dyDescent="0.3">
      <c r="A333" t="s">
        <v>738</v>
      </c>
      <c r="B333" t="s">
        <v>739</v>
      </c>
      <c r="C333" t="str">
        <f t="shared" si="67"/>
        <v>Nathaniel Flores</v>
      </c>
      <c r="D333" t="s">
        <v>53</v>
      </c>
      <c r="E333" t="str">
        <f t="shared" si="69"/>
        <v>Male</v>
      </c>
      <c r="F333">
        <v>59</v>
      </c>
      <c r="G333" t="s">
        <v>59</v>
      </c>
      <c r="H333" t="s">
        <v>14</v>
      </c>
      <c r="I333" t="s">
        <v>15</v>
      </c>
      <c r="J333">
        <v>22</v>
      </c>
      <c r="K333" s="4" t="str" cm="1">
        <f t="array" ref="K333">_xlfn.IFS(J333&lt;=5,"0-5",J333&lt;=10,"6-10",J333&lt;=15,"11-15",J333&lt;=20,"16-20",J333&gt;20,"21+")</f>
        <v>21+</v>
      </c>
      <c r="L333">
        <v>40</v>
      </c>
      <c r="M333" s="2">
        <f>L333</f>
        <v>40</v>
      </c>
      <c r="N333" s="8">
        <f t="shared" si="70"/>
        <v>40</v>
      </c>
      <c r="O333">
        <v>1.1000000000000001</v>
      </c>
      <c r="P333" t="s">
        <v>60</v>
      </c>
      <c r="Q333" t="s">
        <v>2073</v>
      </c>
      <c r="R333" s="1">
        <v>0.61</v>
      </c>
      <c r="S333" s="3">
        <f t="shared" si="72"/>
        <v>0.61</v>
      </c>
    </row>
    <row r="334" spans="1:19" x14ac:dyDescent="0.3">
      <c r="A334" t="s">
        <v>740</v>
      </c>
      <c r="B334" t="s">
        <v>741</v>
      </c>
      <c r="C334" t="str">
        <f t="shared" si="67"/>
        <v>Edwin Carter</v>
      </c>
      <c r="D334" t="s">
        <v>84</v>
      </c>
      <c r="E334" t="str">
        <f t="shared" si="69"/>
        <v>Male</v>
      </c>
      <c r="F334">
        <v>60</v>
      </c>
      <c r="G334" t="s">
        <v>50</v>
      </c>
      <c r="H334" t="s">
        <v>14</v>
      </c>
      <c r="I334" t="s">
        <v>81</v>
      </c>
      <c r="J334">
        <v>34</v>
      </c>
      <c r="K334" s="4" t="str" cm="1">
        <f t="array" ref="K334">_xlfn.IFS(J334&lt;=5,"0-5",J334&lt;=10,"6-10",J334&lt;=15,"11-15",J334&lt;=20,"16-20",J334&gt;20,"21+")</f>
        <v>21+</v>
      </c>
      <c r="N334" s="8" t="str">
        <f t="shared" si="70"/>
        <v/>
      </c>
      <c r="O334">
        <v>2.5</v>
      </c>
      <c r="P334" t="b">
        <v>0</v>
      </c>
      <c r="Q334" t="s">
        <v>2072</v>
      </c>
      <c r="R334" s="1">
        <v>0.93</v>
      </c>
      <c r="S334" s="3">
        <f t="shared" si="72"/>
        <v>0.93</v>
      </c>
    </row>
    <row r="335" spans="1:19" x14ac:dyDescent="0.3">
      <c r="A335" t="s">
        <v>742</v>
      </c>
      <c r="B335" t="s">
        <v>743</v>
      </c>
      <c r="C335" t="str">
        <f t="shared" si="67"/>
        <v>Patricia Miller</v>
      </c>
      <c r="D335" t="s">
        <v>12</v>
      </c>
      <c r="E335" t="str">
        <f t="shared" si="69"/>
        <v>Female</v>
      </c>
      <c r="F335">
        <v>33</v>
      </c>
      <c r="G335" t="s">
        <v>20</v>
      </c>
      <c r="H335" t="s">
        <v>21</v>
      </c>
      <c r="I335" t="s">
        <v>15</v>
      </c>
      <c r="J335">
        <v>8</v>
      </c>
      <c r="K335" s="4" t="str" cm="1">
        <f t="array" ref="K335">_xlfn.IFS(J335&lt;=5,"0-5",J335&lt;=10,"6-10",J335&lt;=15,"11-15",J335&lt;=20,"16-20",J335&gt;20,"21+")</f>
        <v>6-10</v>
      </c>
      <c r="L335" t="s">
        <v>101</v>
      </c>
      <c r="M335" s="2" t="str">
        <f>TRIM(MID(L335,FIND(" ",L335)+1,LEN(L335)))</f>
        <v>30</v>
      </c>
      <c r="N335" s="8">
        <f t="shared" si="70"/>
        <v>30</v>
      </c>
      <c r="O335">
        <v>3.6</v>
      </c>
      <c r="P335">
        <v>1</v>
      </c>
      <c r="Q335" t="s">
        <v>2073</v>
      </c>
    </row>
    <row r="336" spans="1:19" x14ac:dyDescent="0.3">
      <c r="A336" t="s">
        <v>744</v>
      </c>
      <c r="B336" t="s">
        <v>745</v>
      </c>
      <c r="C336" t="str">
        <f t="shared" si="67"/>
        <v>Rebecca Schneider</v>
      </c>
      <c r="D336" t="s">
        <v>69</v>
      </c>
      <c r="E336" t="str">
        <f t="shared" si="69"/>
        <v>Female</v>
      </c>
      <c r="F336">
        <v>21</v>
      </c>
      <c r="G336" t="s">
        <v>63</v>
      </c>
      <c r="H336" t="s">
        <v>64</v>
      </c>
      <c r="I336" t="s">
        <v>27</v>
      </c>
      <c r="J336">
        <v>1</v>
      </c>
      <c r="K336" s="4" t="str" cm="1">
        <f t="array" ref="K336">_xlfn.IFS(J336&lt;=5,"0-5",J336&lt;=10,"6-10",J336&lt;=15,"11-15",J336&lt;=20,"16-20",J336&gt;20,"21+")</f>
        <v>0-5</v>
      </c>
      <c r="L336" t="s">
        <v>306</v>
      </c>
      <c r="M336" s="2" t="str">
        <f>TRIM(MID(L336,FIND(" ",L336)+1,LEN(L336)))</f>
        <v>20</v>
      </c>
      <c r="N336" s="8">
        <f t="shared" si="70"/>
        <v>20</v>
      </c>
      <c r="P336" t="b">
        <v>0</v>
      </c>
      <c r="Q336" t="s">
        <v>2072</v>
      </c>
      <c r="R336" s="1">
        <v>0.99</v>
      </c>
      <c r="S336" s="3">
        <f>R336</f>
        <v>0.99</v>
      </c>
    </row>
    <row r="337" spans="1:19" x14ac:dyDescent="0.3">
      <c r="A337" t="s">
        <v>746</v>
      </c>
      <c r="B337" t="s">
        <v>747</v>
      </c>
      <c r="C337" t="str">
        <f t="shared" si="67"/>
        <v>John Greene</v>
      </c>
      <c r="D337" t="s">
        <v>19</v>
      </c>
      <c r="E337" t="str">
        <f t="shared" si="69"/>
        <v>Male</v>
      </c>
      <c r="F337">
        <v>54</v>
      </c>
      <c r="G337" t="s">
        <v>59</v>
      </c>
      <c r="H337" t="s">
        <v>14</v>
      </c>
      <c r="I337" t="s">
        <v>65</v>
      </c>
      <c r="J337">
        <v>20</v>
      </c>
      <c r="K337" s="4" t="str" cm="1">
        <f t="array" ref="K337">_xlfn.IFS(J337&lt;=5,"0-5",J337&lt;=10,"6-10",J337&lt;=15,"11-15",J337&lt;=20,"16-20",J337&gt;20,"21+")</f>
        <v>16-20</v>
      </c>
      <c r="L337">
        <v>50</v>
      </c>
      <c r="M337" s="2">
        <f>L337</f>
        <v>50</v>
      </c>
      <c r="N337" s="8">
        <f t="shared" si="70"/>
        <v>50</v>
      </c>
      <c r="O337">
        <v>4.4000000000000004</v>
      </c>
      <c r="P337">
        <v>0</v>
      </c>
      <c r="Q337" t="s">
        <v>2072</v>
      </c>
      <c r="R337">
        <v>73</v>
      </c>
      <c r="S337" s="3">
        <f>R337/100</f>
        <v>0.73</v>
      </c>
    </row>
    <row r="338" spans="1:19" x14ac:dyDescent="0.3">
      <c r="A338" t="s">
        <v>748</v>
      </c>
      <c r="B338" t="s">
        <v>749</v>
      </c>
      <c r="C338" t="str">
        <f t="shared" si="67"/>
        <v>Brittany Mcdowell</v>
      </c>
      <c r="D338" t="s">
        <v>69</v>
      </c>
      <c r="E338" t="str">
        <f t="shared" si="69"/>
        <v>Female</v>
      </c>
      <c r="F338">
        <v>33</v>
      </c>
      <c r="G338" t="s">
        <v>50</v>
      </c>
      <c r="H338" t="s">
        <v>14</v>
      </c>
      <c r="I338" t="s">
        <v>22</v>
      </c>
      <c r="J338">
        <v>11</v>
      </c>
      <c r="K338" s="4" t="str" cm="1">
        <f t="array" ref="K338">_xlfn.IFS(J338&lt;=5,"0-5",J338&lt;=10,"6-10",J338&lt;=15,"11-15",J338&lt;=20,"16-20",J338&gt;20,"21+")</f>
        <v>11-15</v>
      </c>
      <c r="L338">
        <v>75</v>
      </c>
      <c r="M338" s="2">
        <f>L338</f>
        <v>75</v>
      </c>
      <c r="N338" s="8">
        <f t="shared" si="70"/>
        <v>75</v>
      </c>
      <c r="O338">
        <v>2.1</v>
      </c>
      <c r="P338">
        <v>0</v>
      </c>
      <c r="Q338" t="s">
        <v>2072</v>
      </c>
      <c r="R338" s="1">
        <v>0.96</v>
      </c>
      <c r="S338" s="3">
        <f t="shared" ref="S338:S340" si="73">R338</f>
        <v>0.96</v>
      </c>
    </row>
    <row r="339" spans="1:19" x14ac:dyDescent="0.3">
      <c r="A339" t="s">
        <v>750</v>
      </c>
      <c r="B339" t="s">
        <v>751</v>
      </c>
      <c r="C339" t="str">
        <f t="shared" si="67"/>
        <v>Lori Miller</v>
      </c>
      <c r="D339" t="s">
        <v>69</v>
      </c>
      <c r="E339" t="str">
        <f t="shared" si="69"/>
        <v>Female</v>
      </c>
      <c r="F339">
        <v>57</v>
      </c>
      <c r="G339" t="s">
        <v>54</v>
      </c>
      <c r="H339" t="s">
        <v>55</v>
      </c>
      <c r="I339" t="s">
        <v>43</v>
      </c>
      <c r="J339">
        <v>2</v>
      </c>
      <c r="K339" s="4" t="str" cm="1">
        <f t="array" ref="K339">_xlfn.IFS(J339&lt;=5,"0-5",J339&lt;=10,"6-10",J339&lt;=15,"11-15",J339&lt;=20,"16-20",J339&gt;20,"21+")</f>
        <v>0-5</v>
      </c>
      <c r="L339">
        <v>40</v>
      </c>
      <c r="M339" s="2">
        <f>L339</f>
        <v>40</v>
      </c>
      <c r="N339" s="8">
        <f t="shared" si="70"/>
        <v>40</v>
      </c>
      <c r="O339">
        <v>0</v>
      </c>
      <c r="P339" t="b">
        <v>0</v>
      </c>
      <c r="Q339" t="s">
        <v>2072</v>
      </c>
      <c r="R339" s="1">
        <v>0.6</v>
      </c>
      <c r="S339" s="3">
        <f t="shared" si="73"/>
        <v>0.6</v>
      </c>
    </row>
    <row r="340" spans="1:19" x14ac:dyDescent="0.3">
      <c r="A340" t="s">
        <v>752</v>
      </c>
      <c r="B340" t="s">
        <v>753</v>
      </c>
      <c r="C340" t="str">
        <f t="shared" si="67"/>
        <v>Joseph Robinson</v>
      </c>
      <c r="D340" t="s">
        <v>84</v>
      </c>
      <c r="E340" t="str">
        <f t="shared" si="69"/>
        <v>Male</v>
      </c>
      <c r="F340">
        <v>36</v>
      </c>
      <c r="G340" t="s">
        <v>104</v>
      </c>
      <c r="H340" t="s">
        <v>105</v>
      </c>
      <c r="I340" t="s">
        <v>22</v>
      </c>
      <c r="J340">
        <v>6</v>
      </c>
      <c r="K340" s="4" t="str" cm="1">
        <f t="array" ref="K340">_xlfn.IFS(J340&lt;=5,"0-5",J340&lt;=10,"6-10",J340&lt;=15,"11-15",J340&lt;=20,"16-20",J340&gt;20,"21+")</f>
        <v>6-10</v>
      </c>
      <c r="L340">
        <v>20</v>
      </c>
      <c r="M340" s="2">
        <f>L340</f>
        <v>20</v>
      </c>
      <c r="N340" s="8">
        <f t="shared" si="70"/>
        <v>20</v>
      </c>
      <c r="O340">
        <v>1</v>
      </c>
      <c r="P340" t="s">
        <v>66</v>
      </c>
      <c r="Q340" t="s">
        <v>2073</v>
      </c>
      <c r="R340" s="1">
        <v>0.64</v>
      </c>
      <c r="S340" s="3">
        <f t="shared" si="73"/>
        <v>0.64</v>
      </c>
    </row>
    <row r="341" spans="1:19" x14ac:dyDescent="0.3">
      <c r="A341" t="s">
        <v>754</v>
      </c>
      <c r="B341" t="s">
        <v>755</v>
      </c>
      <c r="C341" t="str">
        <f t="shared" si="67"/>
        <v>Aaron Pruitt</v>
      </c>
      <c r="D341" t="s">
        <v>89</v>
      </c>
      <c r="E341" t="str">
        <f t="shared" si="69"/>
        <v>Male</v>
      </c>
      <c r="F341">
        <v>50</v>
      </c>
      <c r="G341" t="s">
        <v>20</v>
      </c>
      <c r="H341" t="s">
        <v>21</v>
      </c>
      <c r="I341" t="s">
        <v>9</v>
      </c>
      <c r="J341">
        <v>20</v>
      </c>
      <c r="K341" s="4" t="str" cm="1">
        <f t="array" ref="K341">_xlfn.IFS(J341&lt;=5,"0-5",J341&lt;=10,"6-10",J341&lt;=15,"11-15",J341&lt;=20,"16-20",J341&gt;20,"21+")</f>
        <v>16-20</v>
      </c>
      <c r="L341" t="s">
        <v>101</v>
      </c>
      <c r="M341" s="2" t="str">
        <f>TRIM(MID(L341,FIND(" ",L341)+1,LEN(L341)))</f>
        <v>30</v>
      </c>
      <c r="N341" s="8">
        <f t="shared" si="70"/>
        <v>30</v>
      </c>
      <c r="O341">
        <v>0</v>
      </c>
      <c r="P341">
        <v>0</v>
      </c>
      <c r="Q341" t="s">
        <v>2072</v>
      </c>
    </row>
    <row r="342" spans="1:19" x14ac:dyDescent="0.3">
      <c r="A342" t="s">
        <v>756</v>
      </c>
      <c r="B342" t="s">
        <v>757</v>
      </c>
      <c r="C342" t="str">
        <f t="shared" si="67"/>
        <v>Victoria Miller</v>
      </c>
      <c r="D342" t="s">
        <v>6</v>
      </c>
      <c r="E342" t="str">
        <f t="shared" si="69"/>
        <v>Female</v>
      </c>
      <c r="F342">
        <v>37</v>
      </c>
      <c r="G342" t="s">
        <v>120</v>
      </c>
      <c r="H342" t="s">
        <v>14</v>
      </c>
      <c r="I342" t="s">
        <v>81</v>
      </c>
      <c r="K342" s="4" t="str" cm="1">
        <f t="array" ref="K342">_xlfn.IFS(J342&lt;=5,"0-5",J342&lt;=10,"6-10",J342&lt;=15,"11-15",J342&lt;=20,"16-20",J342&gt;20,"21+")</f>
        <v>0-5</v>
      </c>
      <c r="L342" t="s">
        <v>306</v>
      </c>
      <c r="M342" s="2" t="str">
        <f>TRIM(MID(L342,FIND(" ",L342)+1,LEN(L342)))</f>
        <v>20</v>
      </c>
      <c r="N342" s="8">
        <f t="shared" si="70"/>
        <v>20</v>
      </c>
      <c r="O342">
        <v>4.9000000000000004</v>
      </c>
      <c r="P342" t="s">
        <v>23</v>
      </c>
      <c r="Q342" t="s">
        <v>2072</v>
      </c>
    </row>
    <row r="343" spans="1:19" x14ac:dyDescent="0.3">
      <c r="A343" t="s">
        <v>758</v>
      </c>
      <c r="B343" t="s">
        <v>759</v>
      </c>
      <c r="C343" t="str">
        <f t="shared" si="67"/>
        <v>Clarence Vega</v>
      </c>
      <c r="D343" t="s">
        <v>84</v>
      </c>
      <c r="E343" t="str">
        <f t="shared" si="69"/>
        <v>Male</v>
      </c>
      <c r="F343">
        <v>53</v>
      </c>
      <c r="G343" t="s">
        <v>7</v>
      </c>
      <c r="H343" t="s">
        <v>8</v>
      </c>
      <c r="I343" t="s">
        <v>36</v>
      </c>
      <c r="J343">
        <v>4</v>
      </c>
      <c r="K343" s="4" t="str" cm="1">
        <f t="array" ref="K343">_xlfn.IFS(J343&lt;=5,"0-5",J343&lt;=10,"6-10",J343&lt;=15,"11-15",J343&lt;=20,"16-20",J343&gt;20,"21+")</f>
        <v>0-5</v>
      </c>
      <c r="L343">
        <v>30</v>
      </c>
      <c r="M343" s="2">
        <f>L343</f>
        <v>30</v>
      </c>
      <c r="N343" s="8">
        <f t="shared" si="70"/>
        <v>30</v>
      </c>
      <c r="O343">
        <v>4.7</v>
      </c>
      <c r="P343" t="s">
        <v>151</v>
      </c>
      <c r="Q343" t="s">
        <v>2072</v>
      </c>
      <c r="R343" s="1">
        <v>0.99</v>
      </c>
      <c r="S343" s="3">
        <f>R343</f>
        <v>0.99</v>
      </c>
    </row>
    <row r="344" spans="1:19" x14ac:dyDescent="0.3">
      <c r="A344" t="s">
        <v>760</v>
      </c>
      <c r="B344" t="s">
        <v>761</v>
      </c>
      <c r="C344" t="str">
        <f t="shared" si="67"/>
        <v>Deborah Day</v>
      </c>
      <c r="D344" t="s">
        <v>69</v>
      </c>
      <c r="E344" t="str">
        <f t="shared" si="69"/>
        <v>Female</v>
      </c>
      <c r="F344">
        <v>22</v>
      </c>
      <c r="G344" t="s">
        <v>7</v>
      </c>
      <c r="H344" t="s">
        <v>8</v>
      </c>
      <c r="I344" t="s">
        <v>9</v>
      </c>
      <c r="J344">
        <v>3</v>
      </c>
      <c r="K344" s="4" t="str" cm="1">
        <f t="array" ref="K344">_xlfn.IFS(J344&lt;=5,"0-5",J344&lt;=10,"6-10",J344&lt;=15,"11-15",J344&lt;=20,"16-20",J344&gt;20,"21+")</f>
        <v>0-5</v>
      </c>
      <c r="L344" t="s">
        <v>47</v>
      </c>
      <c r="M344" s="2" t="str">
        <f>TRIM(MID(L344,FIND(" ",L344)+1,LEN(L344)))</f>
        <v>40</v>
      </c>
      <c r="N344" s="8">
        <f t="shared" si="70"/>
        <v>40</v>
      </c>
      <c r="O344">
        <v>2.1</v>
      </c>
      <c r="P344">
        <v>0</v>
      </c>
      <c r="Q344" t="s">
        <v>2072</v>
      </c>
    </row>
    <row r="345" spans="1:19" x14ac:dyDescent="0.3">
      <c r="A345" t="s">
        <v>762</v>
      </c>
      <c r="B345" t="s">
        <v>763</v>
      </c>
      <c r="C345" t="str">
        <f t="shared" si="67"/>
        <v>Nicole Rocha</v>
      </c>
      <c r="D345" t="s">
        <v>69</v>
      </c>
      <c r="E345" t="str">
        <f t="shared" si="69"/>
        <v>Female</v>
      </c>
      <c r="F345">
        <v>55</v>
      </c>
      <c r="G345" t="s">
        <v>34</v>
      </c>
      <c r="H345" t="s">
        <v>35</v>
      </c>
      <c r="I345" t="s">
        <v>15</v>
      </c>
      <c r="J345">
        <v>33</v>
      </c>
      <c r="K345" s="4" t="str" cm="1">
        <f t="array" ref="K345">_xlfn.IFS(J345&lt;=5,"0-5",J345&lt;=10,"6-10",J345&lt;=15,"11-15",J345&lt;=20,"16-20",J345&gt;20,"21+")</f>
        <v>21+</v>
      </c>
      <c r="L345">
        <v>40</v>
      </c>
      <c r="M345" s="2">
        <f>L345</f>
        <v>40</v>
      </c>
      <c r="N345" s="8">
        <f t="shared" si="70"/>
        <v>40</v>
      </c>
      <c r="O345">
        <v>1.5</v>
      </c>
      <c r="P345" t="s">
        <v>66</v>
      </c>
      <c r="Q345" t="s">
        <v>2073</v>
      </c>
      <c r="R345" s="1">
        <v>0.71</v>
      </c>
      <c r="S345" s="3">
        <f t="shared" ref="S345:S348" si="74">R345</f>
        <v>0.71</v>
      </c>
    </row>
    <row r="346" spans="1:19" x14ac:dyDescent="0.3">
      <c r="A346" t="s">
        <v>764</v>
      </c>
      <c r="B346" t="s">
        <v>765</v>
      </c>
      <c r="C346" t="str">
        <f t="shared" si="67"/>
        <v>Elijah Green</v>
      </c>
      <c r="D346" t="s">
        <v>53</v>
      </c>
      <c r="E346" t="str">
        <f t="shared" si="69"/>
        <v>Male</v>
      </c>
      <c r="F346">
        <v>22</v>
      </c>
      <c r="G346" t="s">
        <v>13</v>
      </c>
      <c r="H346" t="s">
        <v>14</v>
      </c>
      <c r="I346" t="s">
        <v>70</v>
      </c>
      <c r="J346">
        <v>1</v>
      </c>
      <c r="K346" s="4" t="str" cm="1">
        <f t="array" ref="K346">_xlfn.IFS(J346&lt;=5,"0-5",J346&lt;=10,"6-10",J346&lt;=15,"11-15",J346&lt;=20,"16-20",J346&gt;20,"21+")</f>
        <v>0-5</v>
      </c>
      <c r="N346" s="8" t="str">
        <f t="shared" si="70"/>
        <v/>
      </c>
      <c r="O346">
        <v>2.6</v>
      </c>
      <c r="P346">
        <v>0</v>
      </c>
      <c r="Q346" t="s">
        <v>2072</v>
      </c>
      <c r="R346" s="1">
        <v>0.72</v>
      </c>
      <c r="S346" s="3">
        <f t="shared" si="74"/>
        <v>0.72</v>
      </c>
    </row>
    <row r="347" spans="1:19" x14ac:dyDescent="0.3">
      <c r="A347" t="s">
        <v>766</v>
      </c>
      <c r="B347" t="s">
        <v>767</v>
      </c>
      <c r="C347" t="str">
        <f t="shared" si="67"/>
        <v>Emily Johnson</v>
      </c>
      <c r="D347" t="s">
        <v>6</v>
      </c>
      <c r="E347" t="str">
        <f t="shared" si="69"/>
        <v>Female</v>
      </c>
      <c r="F347">
        <v>45</v>
      </c>
      <c r="G347" t="s">
        <v>54</v>
      </c>
      <c r="H347" t="s">
        <v>55</v>
      </c>
      <c r="I347" t="s">
        <v>27</v>
      </c>
      <c r="J347">
        <v>23</v>
      </c>
      <c r="K347" s="4" t="str" cm="1">
        <f t="array" ref="K347">_xlfn.IFS(J347&lt;=5,"0-5",J347&lt;=10,"6-10",J347&lt;=15,"11-15",J347&lt;=20,"16-20",J347&gt;20,"21+")</f>
        <v>21+</v>
      </c>
      <c r="L347" t="s">
        <v>90</v>
      </c>
      <c r="M347" s="2" t="str">
        <f>TRIM(MID(L347,FIND(" ",L347)+1,LEN(L347)))</f>
        <v>50</v>
      </c>
      <c r="N347" s="8">
        <f t="shared" si="70"/>
        <v>50</v>
      </c>
      <c r="O347">
        <v>0</v>
      </c>
      <c r="P347">
        <v>0</v>
      </c>
      <c r="Q347" t="s">
        <v>2072</v>
      </c>
      <c r="R347" s="1">
        <v>0.66</v>
      </c>
      <c r="S347" s="3">
        <f t="shared" si="74"/>
        <v>0.66</v>
      </c>
    </row>
    <row r="348" spans="1:19" x14ac:dyDescent="0.3">
      <c r="A348" t="s">
        <v>768</v>
      </c>
      <c r="B348" t="s">
        <v>769</v>
      </c>
      <c r="C348" t="str">
        <f>TRIM(MID(B348,FIND(" ",B348)+1,LEN(B348)))</f>
        <v>Velasquez Jr.</v>
      </c>
      <c r="D348" t="s">
        <v>84</v>
      </c>
      <c r="E348" t="str">
        <f t="shared" si="69"/>
        <v>Male</v>
      </c>
      <c r="F348">
        <v>36</v>
      </c>
      <c r="G348" t="s">
        <v>127</v>
      </c>
      <c r="H348" t="s">
        <v>128</v>
      </c>
      <c r="I348" t="s">
        <v>43</v>
      </c>
      <c r="J348">
        <v>13</v>
      </c>
      <c r="K348" s="4" t="str" cm="1">
        <f t="array" ref="K348">_xlfn.IFS(J348&lt;=5,"0-5",J348&lt;=10,"6-10",J348&lt;=15,"11-15",J348&lt;=20,"16-20",J348&gt;20,"21+")</f>
        <v>11-15</v>
      </c>
      <c r="L348">
        <v>40</v>
      </c>
      <c r="M348" s="2">
        <f>L348</f>
        <v>40</v>
      </c>
      <c r="N348" s="8">
        <f t="shared" si="70"/>
        <v>40</v>
      </c>
      <c r="P348" t="s">
        <v>23</v>
      </c>
      <c r="Q348" t="s">
        <v>2072</v>
      </c>
      <c r="R348" s="1">
        <v>0.78</v>
      </c>
      <c r="S348" s="3">
        <f t="shared" si="74"/>
        <v>0.78</v>
      </c>
    </row>
    <row r="349" spans="1:19" x14ac:dyDescent="0.3">
      <c r="A349" t="s">
        <v>770</v>
      </c>
      <c r="B349" t="s">
        <v>771</v>
      </c>
      <c r="C349" t="str">
        <f t="shared" ref="C349:C398" si="75">B349</f>
        <v>Kurt Wilson</v>
      </c>
      <c r="D349" t="s">
        <v>40</v>
      </c>
      <c r="E349" t="str">
        <f t="shared" si="69"/>
        <v>Male</v>
      </c>
      <c r="F349">
        <v>23</v>
      </c>
      <c r="G349" t="s">
        <v>13</v>
      </c>
      <c r="H349" t="s">
        <v>14</v>
      </c>
      <c r="I349" t="s">
        <v>81</v>
      </c>
      <c r="J349">
        <v>1</v>
      </c>
      <c r="K349" s="4" t="str" cm="1">
        <f t="array" ref="K349">_xlfn.IFS(J349&lt;=5,"0-5",J349&lt;=10,"6-10",J349&lt;=15,"11-15",J349&lt;=20,"16-20",J349&gt;20,"21+")</f>
        <v>0-5</v>
      </c>
      <c r="L349" t="s">
        <v>306</v>
      </c>
      <c r="M349" s="2" t="str">
        <f>TRIM(MID(L349,FIND(" ",L349)+1,LEN(L349)))</f>
        <v>20</v>
      </c>
      <c r="N349" s="8">
        <f t="shared" si="70"/>
        <v>20</v>
      </c>
      <c r="O349">
        <v>4</v>
      </c>
      <c r="P349" t="s">
        <v>66</v>
      </c>
      <c r="Q349" t="s">
        <v>2073</v>
      </c>
      <c r="R349">
        <v>100</v>
      </c>
      <c r="S349" s="3">
        <f>R349/100</f>
        <v>1</v>
      </c>
    </row>
    <row r="350" spans="1:19" x14ac:dyDescent="0.3">
      <c r="A350" t="s">
        <v>772</v>
      </c>
      <c r="B350" t="s">
        <v>773</v>
      </c>
      <c r="C350" t="str">
        <f t="shared" si="75"/>
        <v>Jeremiah Rodriguez</v>
      </c>
      <c r="D350" t="s">
        <v>84</v>
      </c>
      <c r="E350" t="str">
        <f t="shared" si="69"/>
        <v>Male</v>
      </c>
      <c r="F350">
        <v>55</v>
      </c>
      <c r="G350" t="s">
        <v>7</v>
      </c>
      <c r="H350" t="s">
        <v>8</v>
      </c>
      <c r="I350" t="s">
        <v>81</v>
      </c>
      <c r="J350">
        <v>15</v>
      </c>
      <c r="K350" s="4" t="str" cm="1">
        <f t="array" ref="K350">_xlfn.IFS(J350&lt;=5,"0-5",J350&lt;=10,"6-10",J350&lt;=15,"11-15",J350&lt;=20,"16-20",J350&gt;20,"21+")</f>
        <v>11-15</v>
      </c>
      <c r="L350">
        <v>40</v>
      </c>
      <c r="M350" s="2">
        <f>L350</f>
        <v>40</v>
      </c>
      <c r="N350" s="8">
        <f t="shared" si="70"/>
        <v>40</v>
      </c>
      <c r="O350">
        <v>4.5</v>
      </c>
    </row>
    <row r="351" spans="1:19" x14ac:dyDescent="0.3">
      <c r="A351" t="s">
        <v>774</v>
      </c>
      <c r="B351" t="s">
        <v>775</v>
      </c>
      <c r="C351" t="str">
        <f t="shared" si="75"/>
        <v>Lauren Lang</v>
      </c>
      <c r="D351" t="s">
        <v>26</v>
      </c>
      <c r="E351" t="str">
        <f t="shared" si="69"/>
        <v>Female</v>
      </c>
      <c r="F351">
        <v>50</v>
      </c>
      <c r="G351" t="s">
        <v>99</v>
      </c>
      <c r="H351" t="s">
        <v>100</v>
      </c>
      <c r="I351" t="s">
        <v>15</v>
      </c>
      <c r="J351">
        <v>18</v>
      </c>
      <c r="K351" s="4" t="str" cm="1">
        <f t="array" ref="K351">_xlfn.IFS(J351&lt;=5,"0-5",J351&lt;=10,"6-10",J351&lt;=15,"11-15",J351&lt;=20,"16-20",J351&gt;20,"21+")</f>
        <v>16-20</v>
      </c>
      <c r="L351">
        <v>75</v>
      </c>
      <c r="M351" s="2">
        <f>L351</f>
        <v>75</v>
      </c>
      <c r="N351" s="8">
        <f t="shared" si="70"/>
        <v>75</v>
      </c>
      <c r="O351">
        <v>3.8</v>
      </c>
      <c r="P351">
        <v>0</v>
      </c>
      <c r="Q351" t="s">
        <v>2072</v>
      </c>
      <c r="R351">
        <v>67</v>
      </c>
      <c r="S351" s="3">
        <f>R351/100</f>
        <v>0.67</v>
      </c>
    </row>
    <row r="352" spans="1:19" x14ac:dyDescent="0.3">
      <c r="A352" t="s">
        <v>776</v>
      </c>
      <c r="B352" t="s">
        <v>777</v>
      </c>
      <c r="C352" t="str">
        <f t="shared" si="75"/>
        <v>Matthew Phillips</v>
      </c>
      <c r="D352" t="s">
        <v>19</v>
      </c>
      <c r="E352" t="str">
        <f t="shared" si="69"/>
        <v>Male</v>
      </c>
      <c r="F352">
        <v>48</v>
      </c>
      <c r="G352" t="s">
        <v>50</v>
      </c>
      <c r="H352" t="s">
        <v>14</v>
      </c>
      <c r="I352" t="s">
        <v>106</v>
      </c>
      <c r="J352">
        <v>21</v>
      </c>
      <c r="K352" s="4" t="str" cm="1">
        <f t="array" ref="K352">_xlfn.IFS(J352&lt;=5,"0-5",J352&lt;=10,"6-10",J352&lt;=15,"11-15",J352&lt;=20,"16-20",J352&gt;20,"21+")</f>
        <v>21+</v>
      </c>
      <c r="L352">
        <v>50</v>
      </c>
      <c r="M352" s="2">
        <f>L352</f>
        <v>50</v>
      </c>
      <c r="N352" s="8">
        <f t="shared" si="70"/>
        <v>50</v>
      </c>
      <c r="O352">
        <v>4</v>
      </c>
      <c r="P352">
        <v>0</v>
      </c>
      <c r="Q352" t="s">
        <v>2072</v>
      </c>
      <c r="R352" s="1">
        <v>0.78</v>
      </c>
      <c r="S352" s="3">
        <f t="shared" ref="S352:S356" si="76">R352</f>
        <v>0.78</v>
      </c>
    </row>
    <row r="353" spans="1:19" x14ac:dyDescent="0.3">
      <c r="A353" t="s">
        <v>778</v>
      </c>
      <c r="B353" t="s">
        <v>779</v>
      </c>
      <c r="C353" t="str">
        <f t="shared" si="75"/>
        <v>Michael Andersen</v>
      </c>
      <c r="D353" t="s">
        <v>53</v>
      </c>
      <c r="E353" t="str">
        <f t="shared" si="69"/>
        <v>Male</v>
      </c>
      <c r="F353">
        <v>23</v>
      </c>
      <c r="G353" t="s">
        <v>34</v>
      </c>
      <c r="H353" t="s">
        <v>35</v>
      </c>
      <c r="I353" t="s">
        <v>81</v>
      </c>
      <c r="J353">
        <v>1</v>
      </c>
      <c r="K353" s="4" t="str" cm="1">
        <f t="array" ref="K353">_xlfn.IFS(J353&lt;=5,"0-5",J353&lt;=10,"6-10",J353&lt;=15,"11-15",J353&lt;=20,"16-20",J353&gt;20,"21+")</f>
        <v>0-5</v>
      </c>
      <c r="L353" t="s">
        <v>28</v>
      </c>
      <c r="M353" s="2" t="str">
        <f>SUBSTITUTE(L353,"$","")</f>
        <v>40</v>
      </c>
      <c r="N353" s="8">
        <f t="shared" si="70"/>
        <v>40</v>
      </c>
      <c r="O353">
        <v>4.9000000000000004</v>
      </c>
      <c r="P353" t="s">
        <v>60</v>
      </c>
      <c r="Q353" t="s">
        <v>2073</v>
      </c>
      <c r="R353" s="1">
        <v>0.78</v>
      </c>
      <c r="S353" s="3">
        <f t="shared" si="76"/>
        <v>0.78</v>
      </c>
    </row>
    <row r="354" spans="1:19" x14ac:dyDescent="0.3">
      <c r="A354" t="s">
        <v>780</v>
      </c>
      <c r="B354" t="s">
        <v>781</v>
      </c>
      <c r="C354" t="str">
        <f t="shared" si="75"/>
        <v>Amanda Mayo</v>
      </c>
      <c r="D354" t="s">
        <v>6</v>
      </c>
      <c r="E354" t="str">
        <f t="shared" si="69"/>
        <v>Female</v>
      </c>
      <c r="F354">
        <v>49</v>
      </c>
      <c r="G354" t="s">
        <v>120</v>
      </c>
      <c r="H354" t="s">
        <v>14</v>
      </c>
      <c r="I354" t="s">
        <v>27</v>
      </c>
      <c r="J354">
        <v>25</v>
      </c>
      <c r="K354" s="4" t="str" cm="1">
        <f t="array" ref="K354">_xlfn.IFS(J354&lt;=5,"0-5",J354&lt;=10,"6-10",J354&lt;=15,"11-15",J354&lt;=20,"16-20",J354&gt;20,"21+")</f>
        <v>21+</v>
      </c>
      <c r="L354" t="s">
        <v>37</v>
      </c>
      <c r="M354" s="2" t="str">
        <f>SUBSTITUTE(L354,"$","")</f>
        <v>30</v>
      </c>
      <c r="N354" s="8">
        <f t="shared" si="70"/>
        <v>30</v>
      </c>
      <c r="O354">
        <v>3.4</v>
      </c>
      <c r="P354">
        <v>0</v>
      </c>
      <c r="Q354" t="s">
        <v>2072</v>
      </c>
      <c r="R354" s="1">
        <v>0.75</v>
      </c>
      <c r="S354" s="3">
        <f t="shared" si="76"/>
        <v>0.75</v>
      </c>
    </row>
    <row r="355" spans="1:19" x14ac:dyDescent="0.3">
      <c r="A355" t="s">
        <v>782</v>
      </c>
      <c r="B355" t="s">
        <v>783</v>
      </c>
      <c r="C355" t="str">
        <f t="shared" si="75"/>
        <v>Jessica Vance</v>
      </c>
      <c r="D355" t="s">
        <v>26</v>
      </c>
      <c r="E355" t="str">
        <f t="shared" si="69"/>
        <v>Female</v>
      </c>
      <c r="F355">
        <v>47</v>
      </c>
      <c r="G355" t="s">
        <v>7</v>
      </c>
      <c r="H355" t="s">
        <v>8</v>
      </c>
      <c r="I355" t="s">
        <v>70</v>
      </c>
      <c r="J355">
        <v>12</v>
      </c>
      <c r="K355" s="4" t="str" cm="1">
        <f t="array" ref="K355">_xlfn.IFS(J355&lt;=5,"0-5",J355&lt;=10,"6-10",J355&lt;=15,"11-15",J355&lt;=20,"16-20",J355&gt;20,"21+")</f>
        <v>11-15</v>
      </c>
      <c r="L355">
        <v>50</v>
      </c>
      <c r="M355" s="2">
        <f>L355</f>
        <v>50</v>
      </c>
      <c r="N355" s="8">
        <f t="shared" si="70"/>
        <v>50</v>
      </c>
      <c r="O355">
        <v>2.1</v>
      </c>
      <c r="P355" t="b">
        <v>1</v>
      </c>
      <c r="Q355" t="s">
        <v>2073</v>
      </c>
      <c r="R355" s="1">
        <v>0.67</v>
      </c>
      <c r="S355" s="3">
        <f t="shared" si="76"/>
        <v>0.67</v>
      </c>
    </row>
    <row r="356" spans="1:19" x14ac:dyDescent="0.3">
      <c r="A356" t="s">
        <v>784</v>
      </c>
      <c r="B356" t="s">
        <v>785</v>
      </c>
      <c r="C356" t="str">
        <f t="shared" si="75"/>
        <v>Alexa Gallegos</v>
      </c>
      <c r="D356" t="s">
        <v>69</v>
      </c>
      <c r="E356" t="str">
        <f t="shared" si="69"/>
        <v>Female</v>
      </c>
      <c r="F356">
        <v>56</v>
      </c>
      <c r="G356" t="s">
        <v>77</v>
      </c>
      <c r="H356" t="s">
        <v>78</v>
      </c>
      <c r="I356" t="s">
        <v>22</v>
      </c>
      <c r="J356">
        <v>32</v>
      </c>
      <c r="K356" s="4" t="str" cm="1">
        <f t="array" ref="K356">_xlfn.IFS(J356&lt;=5,"0-5",J356&lt;=10,"6-10",J356&lt;=15,"11-15",J356&lt;=20,"16-20",J356&gt;20,"21+")</f>
        <v>21+</v>
      </c>
      <c r="L356" t="s">
        <v>47</v>
      </c>
      <c r="M356" s="2" t="str">
        <f>TRIM(MID(L356,FIND(" ",L356)+1,LEN(L356)))</f>
        <v>40</v>
      </c>
      <c r="N356" s="8">
        <f t="shared" si="70"/>
        <v>40</v>
      </c>
      <c r="O356">
        <v>0</v>
      </c>
      <c r="P356">
        <v>1</v>
      </c>
      <c r="Q356" t="s">
        <v>2073</v>
      </c>
      <c r="R356" s="1">
        <v>0.86</v>
      </c>
      <c r="S356" s="3">
        <f t="shared" si="76"/>
        <v>0.86</v>
      </c>
    </row>
    <row r="357" spans="1:19" x14ac:dyDescent="0.3">
      <c r="A357" t="s">
        <v>786</v>
      </c>
      <c r="B357" t="s">
        <v>787</v>
      </c>
      <c r="C357" t="str">
        <f t="shared" si="75"/>
        <v>Charles Pratt</v>
      </c>
      <c r="D357" t="s">
        <v>53</v>
      </c>
      <c r="E357" t="str">
        <f t="shared" si="69"/>
        <v>Male</v>
      </c>
      <c r="F357">
        <v>58</v>
      </c>
      <c r="G357" t="s">
        <v>63</v>
      </c>
      <c r="H357" t="s">
        <v>64</v>
      </c>
      <c r="I357" t="s">
        <v>65</v>
      </c>
      <c r="K357" s="4" t="str" cm="1">
        <f t="array" ref="K357">_xlfn.IFS(J357&lt;=5,"0-5",J357&lt;=10,"6-10",J357&lt;=15,"11-15",J357&lt;=20,"16-20",J357&gt;20,"21+")</f>
        <v>0-5</v>
      </c>
      <c r="L357">
        <v>100</v>
      </c>
      <c r="M357" s="2">
        <f>L357</f>
        <v>100</v>
      </c>
      <c r="N357" s="8">
        <f t="shared" si="70"/>
        <v>100</v>
      </c>
      <c r="O357">
        <v>4.5</v>
      </c>
      <c r="P357" t="s">
        <v>151</v>
      </c>
      <c r="Q357" t="s">
        <v>2072</v>
      </c>
      <c r="R357">
        <v>77</v>
      </c>
      <c r="S357" s="3">
        <f>R357/100</f>
        <v>0.77</v>
      </c>
    </row>
    <row r="358" spans="1:19" x14ac:dyDescent="0.3">
      <c r="A358" t="s">
        <v>788</v>
      </c>
      <c r="B358" t="s">
        <v>789</v>
      </c>
      <c r="C358" t="str">
        <f t="shared" si="75"/>
        <v>Brian Baker</v>
      </c>
      <c r="D358" t="s">
        <v>40</v>
      </c>
      <c r="E358" t="str">
        <f t="shared" si="69"/>
        <v>Male</v>
      </c>
      <c r="F358">
        <v>32</v>
      </c>
      <c r="G358" t="s">
        <v>104</v>
      </c>
      <c r="H358" t="s">
        <v>105</v>
      </c>
      <c r="I358" t="s">
        <v>65</v>
      </c>
      <c r="J358">
        <v>10</v>
      </c>
      <c r="K358" s="4" t="str" cm="1">
        <f t="array" ref="K358">_xlfn.IFS(J358&lt;=5,"0-5",J358&lt;=10,"6-10",J358&lt;=15,"11-15",J358&lt;=20,"16-20",J358&gt;20,"21+")</f>
        <v>6-10</v>
      </c>
      <c r="L358" t="s">
        <v>37</v>
      </c>
      <c r="M358" s="2" t="str">
        <f>SUBSTITUTE(L358,"$","")</f>
        <v>30</v>
      </c>
      <c r="N358" s="8">
        <f t="shared" si="70"/>
        <v>30</v>
      </c>
      <c r="O358">
        <v>3.8</v>
      </c>
      <c r="P358">
        <v>0</v>
      </c>
      <c r="Q358" t="s">
        <v>2072</v>
      </c>
      <c r="R358" s="1">
        <v>0.61</v>
      </c>
      <c r="S358" s="3">
        <f t="shared" ref="S358:S364" si="77">R358</f>
        <v>0.61</v>
      </c>
    </row>
    <row r="359" spans="1:19" x14ac:dyDescent="0.3">
      <c r="A359" t="s">
        <v>790</v>
      </c>
      <c r="B359" t="s">
        <v>791</v>
      </c>
      <c r="C359" t="str">
        <f t="shared" si="75"/>
        <v>Christina Norman</v>
      </c>
      <c r="D359" t="s">
        <v>69</v>
      </c>
      <c r="E359" t="str">
        <f t="shared" si="69"/>
        <v>Female</v>
      </c>
      <c r="F359">
        <v>52</v>
      </c>
      <c r="G359" t="s">
        <v>85</v>
      </c>
      <c r="H359" t="s">
        <v>86</v>
      </c>
      <c r="I359" t="s">
        <v>65</v>
      </c>
      <c r="J359">
        <v>0</v>
      </c>
      <c r="K359" s="4" t="str" cm="1">
        <f t="array" ref="K359">_xlfn.IFS(J359&lt;=5,"0-5",J359&lt;=10,"6-10",J359&lt;=15,"11-15",J359&lt;=20,"16-20",J359&gt;20,"21+")</f>
        <v>0-5</v>
      </c>
      <c r="N359" s="8" t="str">
        <f t="shared" si="70"/>
        <v/>
      </c>
      <c r="O359">
        <v>4.3</v>
      </c>
      <c r="P359">
        <v>0</v>
      </c>
      <c r="Q359" t="s">
        <v>2072</v>
      </c>
      <c r="R359" s="1">
        <v>0.9</v>
      </c>
      <c r="S359" s="3">
        <f t="shared" si="77"/>
        <v>0.9</v>
      </c>
    </row>
    <row r="360" spans="1:19" x14ac:dyDescent="0.3">
      <c r="A360" t="s">
        <v>792</v>
      </c>
      <c r="B360" t="s">
        <v>793</v>
      </c>
      <c r="C360" t="str">
        <f t="shared" si="75"/>
        <v>Laura Kelly</v>
      </c>
      <c r="D360" t="s">
        <v>12</v>
      </c>
      <c r="E360" t="str">
        <f t="shared" si="69"/>
        <v>Female</v>
      </c>
      <c r="F360">
        <v>22</v>
      </c>
      <c r="G360" t="s">
        <v>167</v>
      </c>
      <c r="H360" t="s">
        <v>168</v>
      </c>
      <c r="I360" t="s">
        <v>43</v>
      </c>
      <c r="J360">
        <v>1</v>
      </c>
      <c r="K360" s="4" t="str" cm="1">
        <f t="array" ref="K360">_xlfn.IFS(J360&lt;=5,"0-5",J360&lt;=10,"6-10",J360&lt;=15,"11-15",J360&lt;=20,"16-20",J360&gt;20,"21+")</f>
        <v>0-5</v>
      </c>
      <c r="L360">
        <v>50</v>
      </c>
      <c r="M360" s="2">
        <f>L360</f>
        <v>50</v>
      </c>
      <c r="N360" s="8">
        <f t="shared" si="70"/>
        <v>50</v>
      </c>
      <c r="O360">
        <v>0</v>
      </c>
      <c r="R360" s="1">
        <v>0.98</v>
      </c>
      <c r="S360" s="3">
        <f t="shared" si="77"/>
        <v>0.98</v>
      </c>
    </row>
    <row r="361" spans="1:19" x14ac:dyDescent="0.3">
      <c r="A361" t="s">
        <v>794</v>
      </c>
      <c r="B361" t="s">
        <v>795</v>
      </c>
      <c r="C361" t="str">
        <f t="shared" si="75"/>
        <v>John Webb</v>
      </c>
      <c r="D361" t="s">
        <v>89</v>
      </c>
      <c r="E361" t="str">
        <f t="shared" si="69"/>
        <v>Male</v>
      </c>
      <c r="F361">
        <v>20</v>
      </c>
      <c r="G361" t="s">
        <v>85</v>
      </c>
      <c r="H361" t="s">
        <v>86</v>
      </c>
      <c r="I361" t="s">
        <v>70</v>
      </c>
      <c r="J361">
        <v>2</v>
      </c>
      <c r="K361" s="4" t="str" cm="1">
        <f t="array" ref="K361">_xlfn.IFS(J361&lt;=5,"0-5",J361&lt;=10,"6-10",J361&lt;=15,"11-15",J361&lt;=20,"16-20",J361&gt;20,"21+")</f>
        <v>0-5</v>
      </c>
      <c r="L361">
        <v>30</v>
      </c>
      <c r="M361" s="2">
        <f>L361</f>
        <v>30</v>
      </c>
      <c r="N361" s="8">
        <f t="shared" si="70"/>
        <v>30</v>
      </c>
      <c r="P361">
        <v>1</v>
      </c>
      <c r="Q361" t="s">
        <v>2073</v>
      </c>
      <c r="R361" s="1">
        <v>0.99</v>
      </c>
      <c r="S361" s="3">
        <f t="shared" si="77"/>
        <v>0.99</v>
      </c>
    </row>
    <row r="362" spans="1:19" x14ac:dyDescent="0.3">
      <c r="A362" t="s">
        <v>796</v>
      </c>
      <c r="B362" t="s">
        <v>797</v>
      </c>
      <c r="C362" t="str">
        <f t="shared" si="75"/>
        <v>Christopher Burton</v>
      </c>
      <c r="D362" t="s">
        <v>84</v>
      </c>
      <c r="E362" t="str">
        <f t="shared" si="69"/>
        <v>Male</v>
      </c>
      <c r="F362">
        <v>56</v>
      </c>
      <c r="G362" t="s">
        <v>34</v>
      </c>
      <c r="H362" t="s">
        <v>35</v>
      </c>
      <c r="I362" t="s">
        <v>43</v>
      </c>
      <c r="J362">
        <v>9</v>
      </c>
      <c r="K362" s="4" t="str" cm="1">
        <f t="array" ref="K362">_xlfn.IFS(J362&lt;=5,"0-5",J362&lt;=10,"6-10",J362&lt;=15,"11-15",J362&lt;=20,"16-20",J362&gt;20,"21+")</f>
        <v>6-10</v>
      </c>
      <c r="L362" t="s">
        <v>47</v>
      </c>
      <c r="M362" s="2" t="str">
        <f>TRIM(MID(L362,FIND(" ",L362)+1,LEN(L362)))</f>
        <v>40</v>
      </c>
      <c r="N362" s="8">
        <f t="shared" si="70"/>
        <v>40</v>
      </c>
      <c r="O362">
        <v>2.6</v>
      </c>
      <c r="P362">
        <v>0</v>
      </c>
      <c r="Q362" t="s">
        <v>2072</v>
      </c>
      <c r="R362" s="1">
        <v>0.61</v>
      </c>
      <c r="S362" s="3">
        <f t="shared" si="77"/>
        <v>0.61</v>
      </c>
    </row>
    <row r="363" spans="1:19" x14ac:dyDescent="0.3">
      <c r="A363" t="s">
        <v>798</v>
      </c>
      <c r="B363" t="s">
        <v>799</v>
      </c>
      <c r="C363" t="str">
        <f t="shared" si="75"/>
        <v>Bradley Aguilar</v>
      </c>
      <c r="D363" t="s">
        <v>89</v>
      </c>
      <c r="E363" t="str">
        <f t="shared" si="69"/>
        <v>Male</v>
      </c>
      <c r="F363">
        <v>41</v>
      </c>
      <c r="G363" t="s">
        <v>77</v>
      </c>
      <c r="H363" t="s">
        <v>78</v>
      </c>
      <c r="I363" t="s">
        <v>43</v>
      </c>
      <c r="J363">
        <v>22</v>
      </c>
      <c r="K363" s="4" t="str" cm="1">
        <f t="array" ref="K363">_xlfn.IFS(J363&lt;=5,"0-5",J363&lt;=10,"6-10",J363&lt;=15,"11-15",J363&lt;=20,"16-20",J363&gt;20,"21+")</f>
        <v>21+</v>
      </c>
      <c r="L363" t="s">
        <v>90</v>
      </c>
      <c r="M363" s="2" t="str">
        <f>TRIM(MID(L363,FIND(" ",L363)+1,LEN(L363)))</f>
        <v>50</v>
      </c>
      <c r="N363" s="8">
        <f t="shared" si="70"/>
        <v>50</v>
      </c>
      <c r="O363">
        <v>1.6</v>
      </c>
      <c r="P363">
        <v>1</v>
      </c>
      <c r="Q363" t="s">
        <v>2073</v>
      </c>
      <c r="R363" s="1">
        <v>0.61</v>
      </c>
      <c r="S363" s="3">
        <f t="shared" si="77"/>
        <v>0.61</v>
      </c>
    </row>
    <row r="364" spans="1:19" x14ac:dyDescent="0.3">
      <c r="A364" t="s">
        <v>800</v>
      </c>
      <c r="B364" t="s">
        <v>801</v>
      </c>
      <c r="C364" t="str">
        <f t="shared" si="75"/>
        <v>Arthur Vasquez</v>
      </c>
      <c r="D364" t="s">
        <v>89</v>
      </c>
      <c r="E364" t="str">
        <f t="shared" si="69"/>
        <v>Male</v>
      </c>
      <c r="F364">
        <v>25</v>
      </c>
      <c r="G364" t="s">
        <v>63</v>
      </c>
      <c r="H364" t="s">
        <v>64</v>
      </c>
      <c r="I364" t="s">
        <v>9</v>
      </c>
      <c r="J364">
        <v>5</v>
      </c>
      <c r="K364" s="4" t="str" cm="1">
        <f t="array" ref="K364">_xlfn.IFS(J364&lt;=5,"0-5",J364&lt;=10,"6-10",J364&lt;=15,"11-15",J364&lt;=20,"16-20",J364&gt;20,"21+")</f>
        <v>0-5</v>
      </c>
      <c r="L364" t="s">
        <v>37</v>
      </c>
      <c r="M364" s="2" t="str">
        <f>SUBSTITUTE(L364,"$","")</f>
        <v>30</v>
      </c>
      <c r="N364" s="8">
        <f t="shared" si="70"/>
        <v>30</v>
      </c>
      <c r="O364">
        <v>2.2999999999999998</v>
      </c>
      <c r="P364">
        <v>0</v>
      </c>
      <c r="Q364" t="s">
        <v>2072</v>
      </c>
      <c r="R364" s="1">
        <v>0.91</v>
      </c>
      <c r="S364" s="3">
        <f t="shared" si="77"/>
        <v>0.91</v>
      </c>
    </row>
    <row r="365" spans="1:19" x14ac:dyDescent="0.3">
      <c r="A365" t="s">
        <v>802</v>
      </c>
      <c r="B365" t="s">
        <v>803</v>
      </c>
      <c r="C365" t="str">
        <f t="shared" si="75"/>
        <v>Angela Castro</v>
      </c>
      <c r="D365" t="s">
        <v>12</v>
      </c>
      <c r="E365" t="str">
        <f t="shared" si="69"/>
        <v>Female</v>
      </c>
      <c r="F365">
        <v>44</v>
      </c>
      <c r="G365" t="s">
        <v>120</v>
      </c>
      <c r="H365" t="s">
        <v>14</v>
      </c>
      <c r="I365" t="s">
        <v>70</v>
      </c>
      <c r="J365">
        <v>6</v>
      </c>
      <c r="K365" s="4" t="str" cm="1">
        <f t="array" ref="K365">_xlfn.IFS(J365&lt;=5,"0-5",J365&lt;=10,"6-10",J365&lt;=15,"11-15",J365&lt;=20,"16-20",J365&gt;20,"21+")</f>
        <v>6-10</v>
      </c>
      <c r="L365">
        <v>75</v>
      </c>
      <c r="M365" s="2">
        <f>L365</f>
        <v>75</v>
      </c>
      <c r="N365" s="8">
        <f t="shared" si="70"/>
        <v>75</v>
      </c>
      <c r="O365">
        <v>4.5999999999999996</v>
      </c>
      <c r="P365" t="s">
        <v>66</v>
      </c>
      <c r="Q365" t="s">
        <v>2073</v>
      </c>
      <c r="R365">
        <v>72</v>
      </c>
      <c r="S365" s="3">
        <f>R365/100</f>
        <v>0.72</v>
      </c>
    </row>
    <row r="366" spans="1:19" x14ac:dyDescent="0.3">
      <c r="A366" t="s">
        <v>804</v>
      </c>
      <c r="B366" t="s">
        <v>805</v>
      </c>
      <c r="C366" t="str">
        <f t="shared" si="75"/>
        <v>Summer Yoder</v>
      </c>
      <c r="D366" t="s">
        <v>31</v>
      </c>
      <c r="E366" t="str">
        <f t="shared" si="69"/>
        <v>Female</v>
      </c>
      <c r="F366">
        <v>46</v>
      </c>
      <c r="G366" t="s">
        <v>13</v>
      </c>
      <c r="H366" t="s">
        <v>14</v>
      </c>
      <c r="I366" t="s">
        <v>27</v>
      </c>
      <c r="J366">
        <v>26</v>
      </c>
      <c r="K366" s="4" t="str" cm="1">
        <f t="array" ref="K366">_xlfn.IFS(J366&lt;=5,"0-5",J366&lt;=10,"6-10",J366&lt;=15,"11-15",J366&lt;=20,"16-20",J366&gt;20,"21+")</f>
        <v>21+</v>
      </c>
      <c r="L366" t="s">
        <v>221</v>
      </c>
      <c r="M366" s="2" t="str">
        <f>SUBSTITUTE(L366,"$","")</f>
        <v>100</v>
      </c>
      <c r="N366" s="8">
        <f t="shared" si="70"/>
        <v>100</v>
      </c>
      <c r="O366">
        <v>2.1</v>
      </c>
    </row>
    <row r="367" spans="1:19" x14ac:dyDescent="0.3">
      <c r="A367" t="s">
        <v>806</v>
      </c>
      <c r="B367" t="s">
        <v>807</v>
      </c>
      <c r="C367" t="str">
        <f t="shared" si="75"/>
        <v>Jackie Allen</v>
      </c>
      <c r="D367" t="s">
        <v>31</v>
      </c>
      <c r="E367" t="str">
        <f t="shared" si="69"/>
        <v>Female</v>
      </c>
      <c r="F367">
        <v>40</v>
      </c>
      <c r="G367" t="s">
        <v>104</v>
      </c>
      <c r="H367" t="s">
        <v>105</v>
      </c>
      <c r="I367" t="s">
        <v>9</v>
      </c>
      <c r="K367" s="4" t="str" cm="1">
        <f t="array" ref="K367">_xlfn.IFS(J367&lt;=5,"0-5",J367&lt;=10,"6-10",J367&lt;=15,"11-15",J367&lt;=20,"16-20",J367&gt;20,"21+")</f>
        <v>0-5</v>
      </c>
      <c r="L367">
        <v>40</v>
      </c>
      <c r="M367" s="2">
        <f>L367</f>
        <v>40</v>
      </c>
      <c r="N367" s="8">
        <f t="shared" si="70"/>
        <v>40</v>
      </c>
      <c r="O367">
        <v>1.5</v>
      </c>
      <c r="P367" t="b">
        <v>0</v>
      </c>
      <c r="Q367" t="s">
        <v>2072</v>
      </c>
      <c r="R367" s="1">
        <v>0.96</v>
      </c>
      <c r="S367" s="3">
        <f>R367</f>
        <v>0.96</v>
      </c>
    </row>
    <row r="368" spans="1:19" x14ac:dyDescent="0.3">
      <c r="A368" t="s">
        <v>808</v>
      </c>
      <c r="B368" t="s">
        <v>809</v>
      </c>
      <c r="C368" t="str">
        <f t="shared" si="75"/>
        <v>Brandon Williams</v>
      </c>
      <c r="D368" t="s">
        <v>19</v>
      </c>
      <c r="E368" t="str">
        <f t="shared" si="69"/>
        <v>Male</v>
      </c>
      <c r="G368" t="s">
        <v>167</v>
      </c>
      <c r="H368" t="s">
        <v>168</v>
      </c>
      <c r="I368" t="s">
        <v>36</v>
      </c>
      <c r="J368">
        <v>9</v>
      </c>
      <c r="K368" s="4" t="str" cm="1">
        <f t="array" ref="K368">_xlfn.IFS(J368&lt;=5,"0-5",J368&lt;=10,"6-10",J368&lt;=15,"11-15",J368&lt;=20,"16-20",J368&gt;20,"21+")</f>
        <v>6-10</v>
      </c>
      <c r="L368" t="s">
        <v>47</v>
      </c>
      <c r="M368" s="2" t="str">
        <f>TRIM(MID(L368,FIND(" ",L368)+1,LEN(L368)))</f>
        <v>40</v>
      </c>
      <c r="N368" s="8">
        <f t="shared" si="70"/>
        <v>40</v>
      </c>
      <c r="O368">
        <v>1.7</v>
      </c>
      <c r="P368">
        <v>1</v>
      </c>
      <c r="Q368" t="s">
        <v>2073</v>
      </c>
      <c r="R368">
        <v>72</v>
      </c>
      <c r="S368" s="3">
        <f>R368/100</f>
        <v>0.72</v>
      </c>
    </row>
    <row r="369" spans="1:19" x14ac:dyDescent="0.3">
      <c r="A369" t="s">
        <v>810</v>
      </c>
      <c r="B369" t="s">
        <v>811</v>
      </c>
      <c r="C369" t="str">
        <f t="shared" si="75"/>
        <v>Manuel Torres</v>
      </c>
      <c r="D369" t="s">
        <v>84</v>
      </c>
      <c r="E369" t="str">
        <f t="shared" si="69"/>
        <v>Male</v>
      </c>
      <c r="F369">
        <v>31</v>
      </c>
      <c r="G369" t="s">
        <v>77</v>
      </c>
      <c r="H369" t="s">
        <v>78</v>
      </c>
      <c r="I369" t="s">
        <v>43</v>
      </c>
      <c r="J369">
        <v>11</v>
      </c>
      <c r="K369" s="4" t="str" cm="1">
        <f t="array" ref="K369">_xlfn.IFS(J369&lt;=5,"0-5",J369&lt;=10,"6-10",J369&lt;=15,"11-15",J369&lt;=20,"16-20",J369&gt;20,"21+")</f>
        <v>11-15</v>
      </c>
      <c r="N369" s="8" t="str">
        <f t="shared" si="70"/>
        <v/>
      </c>
      <c r="O369">
        <v>3.3</v>
      </c>
      <c r="P369">
        <v>0</v>
      </c>
      <c r="Q369" t="s">
        <v>2072</v>
      </c>
    </row>
    <row r="370" spans="1:19" x14ac:dyDescent="0.3">
      <c r="A370" t="s">
        <v>812</v>
      </c>
      <c r="B370" t="s">
        <v>813</v>
      </c>
      <c r="C370" t="str">
        <f t="shared" si="75"/>
        <v>Scott Keller</v>
      </c>
      <c r="D370" t="s">
        <v>40</v>
      </c>
      <c r="E370" t="str">
        <f t="shared" si="69"/>
        <v>Male</v>
      </c>
      <c r="F370">
        <v>33</v>
      </c>
      <c r="G370" t="s">
        <v>104</v>
      </c>
      <c r="H370" t="s">
        <v>105</v>
      </c>
      <c r="I370" t="s">
        <v>106</v>
      </c>
      <c r="K370" s="4" t="str" cm="1">
        <f t="array" ref="K370">_xlfn.IFS(J370&lt;=5,"0-5",J370&lt;=10,"6-10",J370&lt;=15,"11-15",J370&lt;=20,"16-20",J370&gt;20,"21+")</f>
        <v>0-5</v>
      </c>
      <c r="L370" t="s">
        <v>28</v>
      </c>
      <c r="M370" s="2" t="str">
        <f>SUBSTITUTE(L370,"$","")</f>
        <v>40</v>
      </c>
      <c r="N370" s="8">
        <f t="shared" si="70"/>
        <v>40</v>
      </c>
      <c r="O370">
        <v>4.3</v>
      </c>
      <c r="P370">
        <v>1</v>
      </c>
      <c r="Q370" t="s">
        <v>2073</v>
      </c>
      <c r="R370" s="1">
        <v>0.63</v>
      </c>
      <c r="S370" s="3">
        <f>R370</f>
        <v>0.63</v>
      </c>
    </row>
    <row r="371" spans="1:19" x14ac:dyDescent="0.3">
      <c r="A371" t="s">
        <v>814</v>
      </c>
      <c r="B371" t="s">
        <v>815</v>
      </c>
      <c r="C371" t="str">
        <f t="shared" si="75"/>
        <v>Deborah Brown</v>
      </c>
      <c r="D371" t="s">
        <v>12</v>
      </c>
      <c r="E371" t="str">
        <f t="shared" si="69"/>
        <v>Female</v>
      </c>
      <c r="F371">
        <v>31</v>
      </c>
      <c r="G371" t="s">
        <v>99</v>
      </c>
      <c r="H371" t="s">
        <v>100</v>
      </c>
      <c r="I371" t="s">
        <v>106</v>
      </c>
      <c r="J371">
        <v>3</v>
      </c>
      <c r="K371" s="4" t="str" cm="1">
        <f t="array" ref="K371">_xlfn.IFS(J371&lt;=5,"0-5",J371&lt;=10,"6-10",J371&lt;=15,"11-15",J371&lt;=20,"16-20",J371&gt;20,"21+")</f>
        <v>0-5</v>
      </c>
      <c r="L371" t="s">
        <v>113</v>
      </c>
      <c r="M371" s="2" t="str">
        <f>SUBSTITUTE(L371,"$","")</f>
        <v>20</v>
      </c>
      <c r="N371" s="8">
        <f t="shared" si="70"/>
        <v>20</v>
      </c>
      <c r="P371" t="s">
        <v>23</v>
      </c>
      <c r="Q371" t="s">
        <v>2072</v>
      </c>
    </row>
    <row r="372" spans="1:19" x14ac:dyDescent="0.3">
      <c r="A372" t="s">
        <v>816</v>
      </c>
      <c r="B372" t="s">
        <v>817</v>
      </c>
      <c r="C372" t="str">
        <f t="shared" si="75"/>
        <v>Jennifer Lara</v>
      </c>
      <c r="D372" t="s">
        <v>26</v>
      </c>
      <c r="E372" t="str">
        <f t="shared" si="69"/>
        <v>Female</v>
      </c>
      <c r="F372">
        <v>49</v>
      </c>
      <c r="G372" t="s">
        <v>7</v>
      </c>
      <c r="H372" t="s">
        <v>8</v>
      </c>
      <c r="I372" t="s">
        <v>43</v>
      </c>
      <c r="J372">
        <v>15</v>
      </c>
      <c r="K372" s="4" t="str" cm="1">
        <f t="array" ref="K372">_xlfn.IFS(J372&lt;=5,"0-5",J372&lt;=10,"6-10",J372&lt;=15,"11-15",J372&lt;=20,"16-20",J372&gt;20,"21+")</f>
        <v>11-15</v>
      </c>
      <c r="L372" t="s">
        <v>44</v>
      </c>
      <c r="M372" s="2" t="str">
        <f>TRIM(MID(L372,FIND(" ",L372)+1,LEN(L372)))</f>
        <v>75</v>
      </c>
      <c r="N372" s="8">
        <f t="shared" si="70"/>
        <v>75</v>
      </c>
      <c r="O372">
        <v>2.6</v>
      </c>
      <c r="P372" t="s">
        <v>23</v>
      </c>
      <c r="Q372" t="s">
        <v>2072</v>
      </c>
      <c r="R372" s="1">
        <v>0.83</v>
      </c>
      <c r="S372" s="3">
        <f t="shared" ref="S372:S374" si="78">R372</f>
        <v>0.83</v>
      </c>
    </row>
    <row r="373" spans="1:19" x14ac:dyDescent="0.3">
      <c r="A373" t="s">
        <v>818</v>
      </c>
      <c r="B373" t="s">
        <v>819</v>
      </c>
      <c r="C373" t="str">
        <f t="shared" si="75"/>
        <v>Jason Scott</v>
      </c>
      <c r="D373" t="s">
        <v>19</v>
      </c>
      <c r="E373" t="str">
        <f t="shared" si="69"/>
        <v>Male</v>
      </c>
      <c r="F373">
        <v>35</v>
      </c>
      <c r="G373" t="s">
        <v>171</v>
      </c>
      <c r="H373" t="s">
        <v>64</v>
      </c>
      <c r="I373" t="s">
        <v>22</v>
      </c>
      <c r="J373">
        <v>12</v>
      </c>
      <c r="K373" s="4" t="str" cm="1">
        <f t="array" ref="K373">_xlfn.IFS(J373&lt;=5,"0-5",J373&lt;=10,"6-10",J373&lt;=15,"11-15",J373&lt;=20,"16-20",J373&gt;20,"21+")</f>
        <v>11-15</v>
      </c>
      <c r="L373" t="s">
        <v>306</v>
      </c>
      <c r="M373" s="2" t="str">
        <f>TRIM(MID(L373,FIND(" ",L373)+1,LEN(L373)))</f>
        <v>20</v>
      </c>
      <c r="N373" s="8">
        <f t="shared" si="70"/>
        <v>20</v>
      </c>
      <c r="O373">
        <v>4.0999999999999996</v>
      </c>
      <c r="R373" s="1">
        <v>0.94</v>
      </c>
      <c r="S373" s="3">
        <f t="shared" si="78"/>
        <v>0.94</v>
      </c>
    </row>
    <row r="374" spans="1:19" x14ac:dyDescent="0.3">
      <c r="A374" t="s">
        <v>820</v>
      </c>
      <c r="B374" t="s">
        <v>821</v>
      </c>
      <c r="C374" t="str">
        <f t="shared" si="75"/>
        <v>Gregory Garrison</v>
      </c>
      <c r="D374" t="s">
        <v>84</v>
      </c>
      <c r="E374" t="str">
        <f t="shared" si="69"/>
        <v>Male</v>
      </c>
      <c r="F374">
        <v>45</v>
      </c>
      <c r="G374" t="s">
        <v>85</v>
      </c>
      <c r="H374" t="s">
        <v>86</v>
      </c>
      <c r="I374" t="s">
        <v>43</v>
      </c>
      <c r="J374">
        <v>19</v>
      </c>
      <c r="K374" s="4" t="str" cm="1">
        <f t="array" ref="K374">_xlfn.IFS(J374&lt;=5,"0-5",J374&lt;=10,"6-10",J374&lt;=15,"11-15",J374&lt;=20,"16-20",J374&gt;20,"21+")</f>
        <v>16-20</v>
      </c>
      <c r="L374" t="s">
        <v>28</v>
      </c>
      <c r="M374" s="2" t="str">
        <f>SUBSTITUTE(L374,"$","")</f>
        <v>40</v>
      </c>
      <c r="N374" s="8">
        <f t="shared" si="70"/>
        <v>40</v>
      </c>
      <c r="O374">
        <v>2.2000000000000002</v>
      </c>
      <c r="P374">
        <v>1</v>
      </c>
      <c r="Q374" t="s">
        <v>2073</v>
      </c>
      <c r="R374" s="1">
        <v>0.78</v>
      </c>
      <c r="S374" s="3">
        <f t="shared" si="78"/>
        <v>0.78</v>
      </c>
    </row>
    <row r="375" spans="1:19" x14ac:dyDescent="0.3">
      <c r="A375" t="s">
        <v>822</v>
      </c>
      <c r="B375" t="s">
        <v>823</v>
      </c>
      <c r="C375" t="str">
        <f t="shared" si="75"/>
        <v>Chelsea Anderson</v>
      </c>
      <c r="D375" t="s">
        <v>31</v>
      </c>
      <c r="E375" t="str">
        <f t="shared" si="69"/>
        <v>Female</v>
      </c>
      <c r="F375">
        <v>39</v>
      </c>
      <c r="G375" t="s">
        <v>34</v>
      </c>
      <c r="H375" t="s">
        <v>35</v>
      </c>
      <c r="I375" t="s">
        <v>43</v>
      </c>
      <c r="J375">
        <v>13</v>
      </c>
      <c r="K375" s="4" t="str" cm="1">
        <f t="array" ref="K375">_xlfn.IFS(J375&lt;=5,"0-5",J375&lt;=10,"6-10",J375&lt;=15,"11-15",J375&lt;=20,"16-20",J375&gt;20,"21+")</f>
        <v>11-15</v>
      </c>
      <c r="L375">
        <v>30</v>
      </c>
      <c r="M375" s="2">
        <f>L375</f>
        <v>30</v>
      </c>
      <c r="N375" s="8">
        <f t="shared" si="70"/>
        <v>30</v>
      </c>
      <c r="O375">
        <v>1.1000000000000001</v>
      </c>
      <c r="P375">
        <v>1</v>
      </c>
      <c r="Q375" t="s">
        <v>2073</v>
      </c>
    </row>
    <row r="376" spans="1:19" x14ac:dyDescent="0.3">
      <c r="A376" t="s">
        <v>824</v>
      </c>
      <c r="B376" t="s">
        <v>825</v>
      </c>
      <c r="C376" t="str">
        <f t="shared" si="75"/>
        <v>Gerald Johnson</v>
      </c>
      <c r="D376" t="s">
        <v>53</v>
      </c>
      <c r="E376" t="str">
        <f t="shared" si="69"/>
        <v>Male</v>
      </c>
      <c r="G376" t="s">
        <v>63</v>
      </c>
      <c r="H376" t="s">
        <v>64</v>
      </c>
      <c r="I376" t="s">
        <v>9</v>
      </c>
      <c r="K376" s="4" t="str" cm="1">
        <f t="array" ref="K376">_xlfn.IFS(J376&lt;=5,"0-5",J376&lt;=10,"6-10",J376&lt;=15,"11-15",J376&lt;=20,"16-20",J376&gt;20,"21+")</f>
        <v>0-5</v>
      </c>
      <c r="L376" t="s">
        <v>56</v>
      </c>
      <c r="M376" s="2" t="str">
        <f>SUBSTITUTE(L376,"$","")</f>
        <v>50</v>
      </c>
      <c r="N376" s="8">
        <f t="shared" si="70"/>
        <v>50</v>
      </c>
      <c r="O376">
        <v>2.1</v>
      </c>
      <c r="P376">
        <v>1</v>
      </c>
      <c r="Q376" t="s">
        <v>2073</v>
      </c>
      <c r="R376" s="1">
        <v>0.82</v>
      </c>
      <c r="S376" s="3">
        <f t="shared" ref="S376:S377" si="79">R376</f>
        <v>0.82</v>
      </c>
    </row>
    <row r="377" spans="1:19" x14ac:dyDescent="0.3">
      <c r="A377" t="s">
        <v>826</v>
      </c>
      <c r="B377" t="s">
        <v>827</v>
      </c>
      <c r="C377" t="str">
        <f t="shared" si="75"/>
        <v>Kevin Ellis</v>
      </c>
      <c r="D377" t="s">
        <v>19</v>
      </c>
      <c r="E377" t="str">
        <f t="shared" si="69"/>
        <v>Male</v>
      </c>
      <c r="F377">
        <v>24</v>
      </c>
      <c r="G377" t="s">
        <v>20</v>
      </c>
      <c r="H377" t="s">
        <v>21</v>
      </c>
      <c r="I377" t="s">
        <v>70</v>
      </c>
      <c r="J377">
        <v>3</v>
      </c>
      <c r="K377" s="4" t="str" cm="1">
        <f t="array" ref="K377">_xlfn.IFS(J377&lt;=5,"0-5",J377&lt;=10,"6-10",J377&lt;=15,"11-15",J377&lt;=20,"16-20",J377&gt;20,"21+")</f>
        <v>0-5</v>
      </c>
      <c r="L377" t="s">
        <v>37</v>
      </c>
      <c r="M377" s="2" t="str">
        <f>SUBSTITUTE(L377,"$","")</f>
        <v>30</v>
      </c>
      <c r="N377" s="8">
        <f t="shared" si="70"/>
        <v>30</v>
      </c>
      <c r="O377">
        <v>2.2999999999999998</v>
      </c>
      <c r="P377" t="b">
        <v>0</v>
      </c>
      <c r="Q377" t="s">
        <v>2072</v>
      </c>
      <c r="R377" s="1">
        <v>0.66</v>
      </c>
      <c r="S377" s="3">
        <f t="shared" si="79"/>
        <v>0.66</v>
      </c>
    </row>
    <row r="378" spans="1:19" x14ac:dyDescent="0.3">
      <c r="A378" t="s">
        <v>828</v>
      </c>
      <c r="B378" t="s">
        <v>829</v>
      </c>
      <c r="C378" t="str">
        <f t="shared" si="75"/>
        <v>Mitchell Keller</v>
      </c>
      <c r="D378" t="s">
        <v>89</v>
      </c>
      <c r="E378" t="str">
        <f t="shared" si="69"/>
        <v>Male</v>
      </c>
      <c r="F378">
        <v>50</v>
      </c>
      <c r="G378" t="s">
        <v>13</v>
      </c>
      <c r="H378" t="s">
        <v>14</v>
      </c>
      <c r="I378" t="s">
        <v>22</v>
      </c>
      <c r="J378">
        <v>26</v>
      </c>
      <c r="K378" s="4" t="str" cm="1">
        <f t="array" ref="K378">_xlfn.IFS(J378&lt;=5,"0-5",J378&lt;=10,"6-10",J378&lt;=15,"11-15",J378&lt;=20,"16-20",J378&gt;20,"21+")</f>
        <v>21+</v>
      </c>
      <c r="N378" s="8" t="str">
        <f t="shared" si="70"/>
        <v/>
      </c>
      <c r="O378">
        <v>3.6</v>
      </c>
      <c r="P378">
        <v>1</v>
      </c>
      <c r="Q378" t="s">
        <v>2073</v>
      </c>
      <c r="R378">
        <v>82</v>
      </c>
      <c r="S378" s="3">
        <f>R378/100</f>
        <v>0.82</v>
      </c>
    </row>
    <row r="379" spans="1:19" x14ac:dyDescent="0.3">
      <c r="A379" t="s">
        <v>830</v>
      </c>
      <c r="B379" t="s">
        <v>831</v>
      </c>
      <c r="C379" t="str">
        <f t="shared" si="75"/>
        <v>Mary Brown</v>
      </c>
      <c r="D379" t="s">
        <v>31</v>
      </c>
      <c r="E379" t="str">
        <f t="shared" si="69"/>
        <v>Female</v>
      </c>
      <c r="F379">
        <v>23</v>
      </c>
      <c r="G379" t="s">
        <v>20</v>
      </c>
      <c r="H379" t="s">
        <v>21</v>
      </c>
      <c r="I379" t="s">
        <v>106</v>
      </c>
      <c r="J379">
        <v>4</v>
      </c>
      <c r="K379" s="4" t="str" cm="1">
        <f t="array" ref="K379">_xlfn.IFS(J379&lt;=5,"0-5",J379&lt;=10,"6-10",J379&lt;=15,"11-15",J379&lt;=20,"16-20",J379&gt;20,"21+")</f>
        <v>0-5</v>
      </c>
      <c r="L379" t="s">
        <v>306</v>
      </c>
      <c r="M379" s="2" t="str">
        <f>TRIM(MID(L379,FIND(" ",L379)+1,LEN(L379)))</f>
        <v>20</v>
      </c>
      <c r="N379" s="8">
        <f t="shared" si="70"/>
        <v>20</v>
      </c>
      <c r="O379">
        <v>4.7</v>
      </c>
      <c r="P379" t="b">
        <v>1</v>
      </c>
      <c r="Q379" t="s">
        <v>2073</v>
      </c>
      <c r="R379" s="1">
        <v>0.84</v>
      </c>
      <c r="S379" s="3">
        <f t="shared" ref="S379:S380" si="80">R379</f>
        <v>0.84</v>
      </c>
    </row>
    <row r="380" spans="1:19" x14ac:dyDescent="0.3">
      <c r="A380" t="s">
        <v>832</v>
      </c>
      <c r="B380" t="s">
        <v>833</v>
      </c>
      <c r="C380" t="str">
        <f t="shared" si="75"/>
        <v>Ronald Walls</v>
      </c>
      <c r="D380" t="s">
        <v>53</v>
      </c>
      <c r="E380" t="str">
        <f t="shared" si="69"/>
        <v>Male</v>
      </c>
      <c r="F380">
        <v>27</v>
      </c>
      <c r="G380" t="s">
        <v>120</v>
      </c>
      <c r="H380" t="s">
        <v>14</v>
      </c>
      <c r="I380" t="s">
        <v>70</v>
      </c>
      <c r="J380">
        <v>8</v>
      </c>
      <c r="K380" s="4" t="str" cm="1">
        <f t="array" ref="K380">_xlfn.IFS(J380&lt;=5,"0-5",J380&lt;=10,"6-10",J380&lt;=15,"11-15",J380&lt;=20,"16-20",J380&gt;20,"21+")</f>
        <v>6-10</v>
      </c>
      <c r="L380">
        <v>20</v>
      </c>
      <c r="M380" s="2">
        <f>L380</f>
        <v>20</v>
      </c>
      <c r="N380" s="8">
        <f t="shared" si="70"/>
        <v>20</v>
      </c>
      <c r="O380">
        <v>4.8</v>
      </c>
      <c r="P380" t="s">
        <v>23</v>
      </c>
      <c r="Q380" t="s">
        <v>2072</v>
      </c>
      <c r="R380" s="1">
        <v>0.81</v>
      </c>
      <c r="S380" s="3">
        <f t="shared" si="80"/>
        <v>0.81</v>
      </c>
    </row>
    <row r="381" spans="1:19" x14ac:dyDescent="0.3">
      <c r="A381" t="s">
        <v>834</v>
      </c>
      <c r="B381" t="s">
        <v>835</v>
      </c>
      <c r="C381" t="str">
        <f t="shared" si="75"/>
        <v>Anthony Avila</v>
      </c>
      <c r="D381" t="s">
        <v>89</v>
      </c>
      <c r="E381" t="str">
        <f t="shared" si="69"/>
        <v>Male</v>
      </c>
      <c r="F381">
        <v>58</v>
      </c>
      <c r="G381" t="s">
        <v>145</v>
      </c>
      <c r="H381" t="s">
        <v>146</v>
      </c>
      <c r="I381" t="s">
        <v>36</v>
      </c>
      <c r="J381">
        <v>10</v>
      </c>
      <c r="K381" s="4" t="str" cm="1">
        <f t="array" ref="K381">_xlfn.IFS(J381&lt;=5,"0-5",J381&lt;=10,"6-10",J381&lt;=15,"11-15",J381&lt;=20,"16-20",J381&gt;20,"21+")</f>
        <v>6-10</v>
      </c>
      <c r="L381">
        <v>75</v>
      </c>
      <c r="M381" s="2">
        <f>L381</f>
        <v>75</v>
      </c>
      <c r="N381" s="8">
        <f t="shared" si="70"/>
        <v>75</v>
      </c>
      <c r="O381">
        <v>4.2</v>
      </c>
      <c r="P381" t="s">
        <v>23</v>
      </c>
      <c r="Q381" t="s">
        <v>2072</v>
      </c>
      <c r="R381">
        <v>71</v>
      </c>
      <c r="S381" s="3">
        <f>R381/100</f>
        <v>0.71</v>
      </c>
    </row>
    <row r="382" spans="1:19" x14ac:dyDescent="0.3">
      <c r="A382" t="s">
        <v>836</v>
      </c>
      <c r="B382" t="s">
        <v>837</v>
      </c>
      <c r="C382" t="str">
        <f t="shared" si="75"/>
        <v>Douglas Goodwin</v>
      </c>
      <c r="D382" t="s">
        <v>40</v>
      </c>
      <c r="E382" t="str">
        <f t="shared" si="69"/>
        <v>Male</v>
      </c>
      <c r="F382">
        <v>37</v>
      </c>
      <c r="G382" t="s">
        <v>7</v>
      </c>
      <c r="H382" t="s">
        <v>8</v>
      </c>
      <c r="I382" t="s">
        <v>106</v>
      </c>
      <c r="J382">
        <v>5</v>
      </c>
      <c r="K382" s="4" t="str" cm="1">
        <f t="array" ref="K382">_xlfn.IFS(J382&lt;=5,"0-5",J382&lt;=10,"6-10",J382&lt;=15,"11-15",J382&lt;=20,"16-20",J382&gt;20,"21+")</f>
        <v>0-5</v>
      </c>
      <c r="N382" s="8" t="str">
        <f t="shared" si="70"/>
        <v/>
      </c>
      <c r="O382">
        <v>4.8</v>
      </c>
      <c r="P382">
        <v>1</v>
      </c>
      <c r="Q382" t="s">
        <v>2073</v>
      </c>
      <c r="R382" s="1">
        <v>0.61</v>
      </c>
      <c r="S382" s="3">
        <f t="shared" ref="S382:S388" si="81">R382</f>
        <v>0.61</v>
      </c>
    </row>
    <row r="383" spans="1:19" x14ac:dyDescent="0.3">
      <c r="A383" t="s">
        <v>838</v>
      </c>
      <c r="B383" t="s">
        <v>839</v>
      </c>
      <c r="C383" t="str">
        <f t="shared" si="75"/>
        <v>James Mills</v>
      </c>
      <c r="D383" t="s">
        <v>53</v>
      </c>
      <c r="E383" t="str">
        <f t="shared" si="69"/>
        <v>Male</v>
      </c>
      <c r="F383">
        <v>39</v>
      </c>
      <c r="G383" t="s">
        <v>182</v>
      </c>
      <c r="H383" t="s">
        <v>64</v>
      </c>
      <c r="I383" t="s">
        <v>9</v>
      </c>
      <c r="J383">
        <v>18</v>
      </c>
      <c r="K383" s="4" t="str" cm="1">
        <f t="array" ref="K383">_xlfn.IFS(J383&lt;=5,"0-5",J383&lt;=10,"6-10",J383&lt;=15,"11-15",J383&lt;=20,"16-20",J383&gt;20,"21+")</f>
        <v>16-20</v>
      </c>
      <c r="L383">
        <v>75</v>
      </c>
      <c r="M383" s="2">
        <f>L383</f>
        <v>75</v>
      </c>
      <c r="N383" s="8">
        <f t="shared" si="70"/>
        <v>75</v>
      </c>
      <c r="O383">
        <v>4</v>
      </c>
      <c r="P383">
        <v>1</v>
      </c>
      <c r="Q383" t="s">
        <v>2073</v>
      </c>
      <c r="R383" s="1">
        <v>0.66</v>
      </c>
      <c r="S383" s="3">
        <f t="shared" si="81"/>
        <v>0.66</v>
      </c>
    </row>
    <row r="384" spans="1:19" x14ac:dyDescent="0.3">
      <c r="A384" t="s">
        <v>840</v>
      </c>
      <c r="B384" t="s">
        <v>841</v>
      </c>
      <c r="C384" t="str">
        <f t="shared" si="75"/>
        <v>Nicole Marks</v>
      </c>
      <c r="D384" t="s">
        <v>12</v>
      </c>
      <c r="E384" t="str">
        <f t="shared" si="69"/>
        <v>Female</v>
      </c>
      <c r="F384">
        <v>46</v>
      </c>
      <c r="G384" t="s">
        <v>131</v>
      </c>
      <c r="H384" t="s">
        <v>132</v>
      </c>
      <c r="I384" t="s">
        <v>43</v>
      </c>
      <c r="J384">
        <v>10</v>
      </c>
      <c r="K384" s="4" t="str" cm="1">
        <f t="array" ref="K384">_xlfn.IFS(J384&lt;=5,"0-5",J384&lt;=10,"6-10",J384&lt;=15,"11-15",J384&lt;=20,"16-20",J384&gt;20,"21+")</f>
        <v>6-10</v>
      </c>
      <c r="L384" t="s">
        <v>113</v>
      </c>
      <c r="M384" s="2" t="str">
        <f>SUBSTITUTE(L384,"$","")</f>
        <v>20</v>
      </c>
      <c r="N384" s="8">
        <f t="shared" si="70"/>
        <v>20</v>
      </c>
      <c r="O384">
        <v>2.5</v>
      </c>
      <c r="P384" t="b">
        <v>1</v>
      </c>
      <c r="Q384" t="s">
        <v>2073</v>
      </c>
      <c r="R384" s="1">
        <v>0.97</v>
      </c>
      <c r="S384" s="3">
        <f t="shared" si="81"/>
        <v>0.97</v>
      </c>
    </row>
    <row r="385" spans="1:19" x14ac:dyDescent="0.3">
      <c r="A385" t="s">
        <v>842</v>
      </c>
      <c r="B385" t="s">
        <v>843</v>
      </c>
      <c r="C385" t="str">
        <f t="shared" si="75"/>
        <v>Phyllis Dawson</v>
      </c>
      <c r="D385" t="s">
        <v>69</v>
      </c>
      <c r="E385" t="str">
        <f t="shared" si="69"/>
        <v>Female</v>
      </c>
      <c r="G385" t="s">
        <v>59</v>
      </c>
      <c r="H385" t="s">
        <v>14</v>
      </c>
      <c r="I385" t="s">
        <v>65</v>
      </c>
      <c r="J385">
        <v>0</v>
      </c>
      <c r="K385" s="4" t="str" cm="1">
        <f t="array" ref="K385">_xlfn.IFS(J385&lt;=5,"0-5",J385&lt;=10,"6-10",J385&lt;=15,"11-15",J385&lt;=20,"16-20",J385&gt;20,"21+")</f>
        <v>0-5</v>
      </c>
      <c r="L385" t="s">
        <v>306</v>
      </c>
      <c r="M385" s="2" t="str">
        <f>TRIM(MID(L385,FIND(" ",L385)+1,LEN(L385)))</f>
        <v>20</v>
      </c>
      <c r="N385" s="8">
        <f t="shared" si="70"/>
        <v>20</v>
      </c>
      <c r="O385">
        <v>4.8</v>
      </c>
      <c r="P385">
        <v>0</v>
      </c>
      <c r="Q385" t="s">
        <v>2072</v>
      </c>
      <c r="R385" s="1">
        <v>0.74</v>
      </c>
      <c r="S385" s="3">
        <f t="shared" si="81"/>
        <v>0.74</v>
      </c>
    </row>
    <row r="386" spans="1:19" x14ac:dyDescent="0.3">
      <c r="A386" t="s">
        <v>844</v>
      </c>
      <c r="B386" t="s">
        <v>845</v>
      </c>
      <c r="C386" t="str">
        <f t="shared" si="75"/>
        <v>Renee Arnold</v>
      </c>
      <c r="D386" t="s">
        <v>6</v>
      </c>
      <c r="E386" t="str">
        <f t="shared" ref="E386:E449" si="82">IF(LOWER(LEFT(D386,1))="f","Female","Male")</f>
        <v>Female</v>
      </c>
      <c r="F386">
        <v>39</v>
      </c>
      <c r="G386" t="s">
        <v>171</v>
      </c>
      <c r="H386" t="s">
        <v>64</v>
      </c>
      <c r="I386" t="s">
        <v>9</v>
      </c>
      <c r="J386">
        <v>21</v>
      </c>
      <c r="K386" s="4" t="str" cm="1">
        <f t="array" ref="K386">_xlfn.IFS(J386&lt;=5,"0-5",J386&lt;=10,"6-10",J386&lt;=15,"11-15",J386&lt;=20,"16-20",J386&gt;20,"21+")</f>
        <v>21+</v>
      </c>
      <c r="L386">
        <v>30</v>
      </c>
      <c r="M386" s="2">
        <f>L386</f>
        <v>30</v>
      </c>
      <c r="N386" s="8">
        <f t="shared" si="70"/>
        <v>30</v>
      </c>
      <c r="O386">
        <v>4.7</v>
      </c>
      <c r="P386" t="b">
        <v>0</v>
      </c>
      <c r="Q386" t="s">
        <v>2072</v>
      </c>
      <c r="R386" s="1">
        <v>0.61</v>
      </c>
      <c r="S386" s="3">
        <f t="shared" si="81"/>
        <v>0.61</v>
      </c>
    </row>
    <row r="387" spans="1:19" x14ac:dyDescent="0.3">
      <c r="A387" t="s">
        <v>846</v>
      </c>
      <c r="B387" t="s">
        <v>847</v>
      </c>
      <c r="C387" t="str">
        <f t="shared" si="75"/>
        <v>Eric Robinson</v>
      </c>
      <c r="D387" t="s">
        <v>84</v>
      </c>
      <c r="E387" t="str">
        <f t="shared" si="82"/>
        <v>Male</v>
      </c>
      <c r="F387">
        <v>59</v>
      </c>
      <c r="G387" t="s">
        <v>131</v>
      </c>
      <c r="H387" t="s">
        <v>132</v>
      </c>
      <c r="I387" t="s">
        <v>9</v>
      </c>
      <c r="J387">
        <v>25</v>
      </c>
      <c r="K387" s="4" t="str" cm="1">
        <f t="array" ref="K387">_xlfn.IFS(J387&lt;=5,"0-5",J387&lt;=10,"6-10",J387&lt;=15,"11-15",J387&lt;=20,"16-20",J387&gt;20,"21+")</f>
        <v>21+</v>
      </c>
      <c r="L387">
        <v>20</v>
      </c>
      <c r="M387" s="2">
        <f>L387</f>
        <v>20</v>
      </c>
      <c r="N387" s="8">
        <f t="shared" ref="N387:N450" si="83">IF(M387="", "", VALUE(M387))</f>
        <v>20</v>
      </c>
      <c r="O387">
        <v>4</v>
      </c>
      <c r="P387">
        <v>0</v>
      </c>
      <c r="Q387" t="s">
        <v>2072</v>
      </c>
      <c r="R387" s="1">
        <v>0.9</v>
      </c>
      <c r="S387" s="3">
        <f t="shared" si="81"/>
        <v>0.9</v>
      </c>
    </row>
    <row r="388" spans="1:19" x14ac:dyDescent="0.3">
      <c r="A388" t="s">
        <v>848</v>
      </c>
      <c r="B388" t="s">
        <v>849</v>
      </c>
      <c r="C388" t="str">
        <f t="shared" si="75"/>
        <v>Paul Brown</v>
      </c>
      <c r="D388" t="s">
        <v>40</v>
      </c>
      <c r="E388" t="str">
        <f t="shared" si="82"/>
        <v>Male</v>
      </c>
      <c r="F388">
        <v>21</v>
      </c>
      <c r="G388" t="s">
        <v>34</v>
      </c>
      <c r="H388" t="s">
        <v>35</v>
      </c>
      <c r="I388" t="s">
        <v>81</v>
      </c>
      <c r="J388">
        <v>0</v>
      </c>
      <c r="K388" s="4" t="str" cm="1">
        <f t="array" ref="K388">_xlfn.IFS(J388&lt;=5,"0-5",J388&lt;=10,"6-10",J388&lt;=15,"11-15",J388&lt;=20,"16-20",J388&gt;20,"21+")</f>
        <v>0-5</v>
      </c>
      <c r="L388" t="s">
        <v>28</v>
      </c>
      <c r="M388" s="2" t="str">
        <f>SUBSTITUTE(L388,"$","")</f>
        <v>40</v>
      </c>
      <c r="N388" s="8">
        <f t="shared" si="83"/>
        <v>40</v>
      </c>
      <c r="O388">
        <v>4.0999999999999996</v>
      </c>
      <c r="P388" t="s">
        <v>66</v>
      </c>
      <c r="Q388" t="s">
        <v>2073</v>
      </c>
      <c r="R388" s="1">
        <v>0.97</v>
      </c>
      <c r="S388" s="3">
        <f t="shared" si="81"/>
        <v>0.97</v>
      </c>
    </row>
    <row r="389" spans="1:19" x14ac:dyDescent="0.3">
      <c r="A389" t="s">
        <v>850</v>
      </c>
      <c r="B389" t="s">
        <v>851</v>
      </c>
      <c r="C389" t="str">
        <f t="shared" si="75"/>
        <v>Sarah Proctor</v>
      </c>
      <c r="D389" t="s">
        <v>12</v>
      </c>
      <c r="E389" t="str">
        <f t="shared" si="82"/>
        <v>Female</v>
      </c>
      <c r="F389">
        <v>23</v>
      </c>
      <c r="G389" t="s">
        <v>120</v>
      </c>
      <c r="H389" t="s">
        <v>14</v>
      </c>
      <c r="I389" t="s">
        <v>81</v>
      </c>
      <c r="J389">
        <v>5</v>
      </c>
      <c r="K389" s="4" t="str" cm="1">
        <f t="array" ref="K389">_xlfn.IFS(J389&lt;=5,"0-5",J389&lt;=10,"6-10",J389&lt;=15,"11-15",J389&lt;=20,"16-20",J389&gt;20,"21+")</f>
        <v>0-5</v>
      </c>
      <c r="L389">
        <v>100</v>
      </c>
      <c r="M389" s="2">
        <f>L389</f>
        <v>100</v>
      </c>
      <c r="N389" s="8">
        <f t="shared" si="83"/>
        <v>100</v>
      </c>
      <c r="O389">
        <v>3.2</v>
      </c>
      <c r="P389">
        <v>1</v>
      </c>
      <c r="Q389" t="s">
        <v>2073</v>
      </c>
    </row>
    <row r="390" spans="1:19" x14ac:dyDescent="0.3">
      <c r="A390" t="s">
        <v>852</v>
      </c>
      <c r="B390" t="s">
        <v>853</v>
      </c>
      <c r="C390" t="str">
        <f t="shared" si="75"/>
        <v>Matthew Hicks</v>
      </c>
      <c r="D390" t="s">
        <v>40</v>
      </c>
      <c r="E390" t="str">
        <f t="shared" si="82"/>
        <v>Male</v>
      </c>
      <c r="F390">
        <v>27</v>
      </c>
      <c r="G390" t="s">
        <v>131</v>
      </c>
      <c r="H390" t="s">
        <v>132</v>
      </c>
      <c r="I390" t="s">
        <v>27</v>
      </c>
      <c r="J390">
        <v>1</v>
      </c>
      <c r="K390" s="4" t="str" cm="1">
        <f t="array" ref="K390">_xlfn.IFS(J390&lt;=5,"0-5",J390&lt;=10,"6-10",J390&lt;=15,"11-15",J390&lt;=20,"16-20",J390&gt;20,"21+")</f>
        <v>0-5</v>
      </c>
      <c r="L390">
        <v>20</v>
      </c>
      <c r="M390" s="2">
        <f>L390</f>
        <v>20</v>
      </c>
      <c r="N390" s="8">
        <f t="shared" si="83"/>
        <v>20</v>
      </c>
      <c r="O390">
        <v>4.3</v>
      </c>
      <c r="P390" t="s">
        <v>23</v>
      </c>
      <c r="Q390" t="s">
        <v>2072</v>
      </c>
      <c r="R390" s="1">
        <v>0.76</v>
      </c>
      <c r="S390" s="3">
        <f t="shared" ref="S390:S391" si="84">R390</f>
        <v>0.76</v>
      </c>
    </row>
    <row r="391" spans="1:19" x14ac:dyDescent="0.3">
      <c r="A391" t="s">
        <v>854</v>
      </c>
      <c r="B391" t="s">
        <v>855</v>
      </c>
      <c r="C391" t="str">
        <f t="shared" si="75"/>
        <v>Christopher Black</v>
      </c>
      <c r="D391" t="s">
        <v>40</v>
      </c>
      <c r="E391" t="str">
        <f t="shared" si="82"/>
        <v>Male</v>
      </c>
      <c r="F391">
        <v>27</v>
      </c>
      <c r="G391" t="s">
        <v>167</v>
      </c>
      <c r="H391" t="s">
        <v>168</v>
      </c>
      <c r="I391" t="s">
        <v>70</v>
      </c>
      <c r="J391">
        <v>4</v>
      </c>
      <c r="K391" s="4" t="str" cm="1">
        <f t="array" ref="K391">_xlfn.IFS(J391&lt;=5,"0-5",J391&lt;=10,"6-10",J391&lt;=15,"11-15",J391&lt;=20,"16-20",J391&gt;20,"21+")</f>
        <v>0-5</v>
      </c>
      <c r="L391">
        <v>40</v>
      </c>
      <c r="M391" s="2">
        <f>L391</f>
        <v>40</v>
      </c>
      <c r="N391" s="8">
        <f t="shared" si="83"/>
        <v>40</v>
      </c>
      <c r="O391">
        <v>4.4000000000000004</v>
      </c>
      <c r="P391">
        <v>0</v>
      </c>
      <c r="Q391" t="s">
        <v>2072</v>
      </c>
      <c r="R391" s="1">
        <v>0.92</v>
      </c>
      <c r="S391" s="3">
        <f t="shared" si="84"/>
        <v>0.92</v>
      </c>
    </row>
    <row r="392" spans="1:19" x14ac:dyDescent="0.3">
      <c r="A392" t="s">
        <v>856</v>
      </c>
      <c r="B392" t="s">
        <v>857</v>
      </c>
      <c r="C392" t="str">
        <f t="shared" si="75"/>
        <v>Joanne Reyes</v>
      </c>
      <c r="D392" t="s">
        <v>26</v>
      </c>
      <c r="E392" t="str">
        <f t="shared" si="82"/>
        <v>Female</v>
      </c>
      <c r="F392">
        <v>48</v>
      </c>
      <c r="G392" t="s">
        <v>145</v>
      </c>
      <c r="H392" t="s">
        <v>146</v>
      </c>
      <c r="I392" t="s">
        <v>43</v>
      </c>
      <c r="J392">
        <v>21</v>
      </c>
      <c r="K392" s="4" t="str" cm="1">
        <f t="array" ref="K392">_xlfn.IFS(J392&lt;=5,"0-5",J392&lt;=10,"6-10",J392&lt;=15,"11-15",J392&lt;=20,"16-20",J392&gt;20,"21+")</f>
        <v>21+</v>
      </c>
      <c r="L392">
        <v>40</v>
      </c>
      <c r="M392" s="2">
        <f>L392</f>
        <v>40</v>
      </c>
      <c r="N392" s="8">
        <f t="shared" si="83"/>
        <v>40</v>
      </c>
      <c r="O392">
        <v>2.2999999999999998</v>
      </c>
      <c r="P392">
        <v>0</v>
      </c>
      <c r="Q392" t="s">
        <v>2072</v>
      </c>
    </row>
    <row r="393" spans="1:19" x14ac:dyDescent="0.3">
      <c r="A393" t="s">
        <v>858</v>
      </c>
      <c r="B393" t="s">
        <v>859</v>
      </c>
      <c r="C393" t="str">
        <f t="shared" si="75"/>
        <v>Isaac Gray</v>
      </c>
      <c r="D393" t="s">
        <v>53</v>
      </c>
      <c r="E393" t="str">
        <f t="shared" si="82"/>
        <v>Male</v>
      </c>
      <c r="F393">
        <v>21</v>
      </c>
      <c r="G393" t="s">
        <v>145</v>
      </c>
      <c r="H393" t="s">
        <v>146</v>
      </c>
      <c r="I393" t="s">
        <v>36</v>
      </c>
      <c r="J393">
        <v>1</v>
      </c>
      <c r="K393" s="4" t="str" cm="1">
        <f t="array" ref="K393">_xlfn.IFS(J393&lt;=5,"0-5",J393&lt;=10,"6-10",J393&lt;=15,"11-15",J393&lt;=20,"16-20",J393&gt;20,"21+")</f>
        <v>0-5</v>
      </c>
      <c r="L393" t="s">
        <v>113</v>
      </c>
      <c r="M393" s="2" t="str">
        <f>SUBSTITUTE(L393,"$","")</f>
        <v>20</v>
      </c>
      <c r="N393" s="8">
        <f t="shared" si="83"/>
        <v>20</v>
      </c>
      <c r="O393">
        <v>2.4</v>
      </c>
      <c r="P393">
        <v>1</v>
      </c>
      <c r="Q393" t="s">
        <v>2073</v>
      </c>
      <c r="R393" s="1">
        <v>0.66</v>
      </c>
      <c r="S393" s="3">
        <f t="shared" ref="S393:S394" si="85">R393</f>
        <v>0.66</v>
      </c>
    </row>
    <row r="394" spans="1:19" x14ac:dyDescent="0.3">
      <c r="A394" t="s">
        <v>860</v>
      </c>
      <c r="B394" t="s">
        <v>861</v>
      </c>
      <c r="C394" t="str">
        <f t="shared" si="75"/>
        <v>Joshua Roberts</v>
      </c>
      <c r="D394" t="s">
        <v>40</v>
      </c>
      <c r="E394" t="str">
        <f t="shared" si="82"/>
        <v>Male</v>
      </c>
      <c r="F394">
        <v>37</v>
      </c>
      <c r="G394" t="s">
        <v>7</v>
      </c>
      <c r="H394" t="s">
        <v>8</v>
      </c>
      <c r="I394" t="s">
        <v>81</v>
      </c>
      <c r="K394" s="4" t="str" cm="1">
        <f t="array" ref="K394">_xlfn.IFS(J394&lt;=5,"0-5",J394&lt;=10,"6-10",J394&lt;=15,"11-15",J394&lt;=20,"16-20",J394&gt;20,"21+")</f>
        <v>0-5</v>
      </c>
      <c r="L394">
        <v>50</v>
      </c>
      <c r="M394" s="2">
        <f>L394</f>
        <v>50</v>
      </c>
      <c r="N394" s="8">
        <f t="shared" si="83"/>
        <v>50</v>
      </c>
      <c r="O394">
        <v>4.5999999999999996</v>
      </c>
      <c r="P394">
        <v>0</v>
      </c>
      <c r="Q394" t="s">
        <v>2072</v>
      </c>
      <c r="R394" s="1">
        <v>0.83</v>
      </c>
      <c r="S394" s="3">
        <f t="shared" si="85"/>
        <v>0.83</v>
      </c>
    </row>
    <row r="395" spans="1:19" x14ac:dyDescent="0.3">
      <c r="A395" t="s">
        <v>862</v>
      </c>
      <c r="B395" t="s">
        <v>863</v>
      </c>
      <c r="C395" t="str">
        <f t="shared" si="75"/>
        <v>Elizabeth Estrada</v>
      </c>
      <c r="D395" t="s">
        <v>26</v>
      </c>
      <c r="E395" t="str">
        <f t="shared" si="82"/>
        <v>Female</v>
      </c>
      <c r="F395">
        <v>31</v>
      </c>
      <c r="G395" t="s">
        <v>20</v>
      </c>
      <c r="H395" t="s">
        <v>21</v>
      </c>
      <c r="I395" t="s">
        <v>65</v>
      </c>
      <c r="J395">
        <v>10</v>
      </c>
      <c r="K395" s="4" t="str" cm="1">
        <f t="array" ref="K395">_xlfn.IFS(J395&lt;=5,"0-5",J395&lt;=10,"6-10",J395&lt;=15,"11-15",J395&lt;=20,"16-20",J395&gt;20,"21+")</f>
        <v>6-10</v>
      </c>
      <c r="L395">
        <v>50</v>
      </c>
      <c r="M395" s="2">
        <f>L395</f>
        <v>50</v>
      </c>
      <c r="N395" s="8">
        <f t="shared" si="83"/>
        <v>50</v>
      </c>
      <c r="O395">
        <v>0</v>
      </c>
      <c r="P395" t="s">
        <v>151</v>
      </c>
      <c r="Q395" t="s">
        <v>2072</v>
      </c>
    </row>
    <row r="396" spans="1:19" x14ac:dyDescent="0.3">
      <c r="A396" t="s">
        <v>864</v>
      </c>
      <c r="B396" t="s">
        <v>865</v>
      </c>
      <c r="C396" t="str">
        <f t="shared" si="75"/>
        <v>Lori Malone</v>
      </c>
      <c r="D396" t="s">
        <v>6</v>
      </c>
      <c r="E396" t="str">
        <f t="shared" si="82"/>
        <v>Female</v>
      </c>
      <c r="F396">
        <v>41</v>
      </c>
      <c r="G396" t="s">
        <v>131</v>
      </c>
      <c r="H396" t="s">
        <v>132</v>
      </c>
      <c r="I396" t="s">
        <v>9</v>
      </c>
      <c r="J396">
        <v>21</v>
      </c>
      <c r="K396" s="4" t="str" cm="1">
        <f t="array" ref="K396">_xlfn.IFS(J396&lt;=5,"0-5",J396&lt;=10,"6-10",J396&lt;=15,"11-15",J396&lt;=20,"16-20",J396&gt;20,"21+")</f>
        <v>21+</v>
      </c>
      <c r="N396" s="8" t="str">
        <f t="shared" si="83"/>
        <v/>
      </c>
      <c r="O396">
        <v>0</v>
      </c>
      <c r="P396" t="s">
        <v>66</v>
      </c>
      <c r="Q396" t="s">
        <v>2073</v>
      </c>
    </row>
    <row r="397" spans="1:19" x14ac:dyDescent="0.3">
      <c r="A397" t="s">
        <v>866</v>
      </c>
      <c r="B397" t="s">
        <v>867</v>
      </c>
      <c r="C397" t="str">
        <f t="shared" si="75"/>
        <v>Anthony Huynh MD</v>
      </c>
      <c r="D397" t="s">
        <v>19</v>
      </c>
      <c r="E397" t="str">
        <f t="shared" si="82"/>
        <v>Male</v>
      </c>
      <c r="F397">
        <v>31</v>
      </c>
      <c r="G397" t="s">
        <v>116</v>
      </c>
      <c r="H397" t="s">
        <v>117</v>
      </c>
      <c r="I397" t="s">
        <v>70</v>
      </c>
      <c r="J397">
        <v>0</v>
      </c>
      <c r="K397" s="4" t="str" cm="1">
        <f t="array" ref="K397">_xlfn.IFS(J397&lt;=5,"0-5",J397&lt;=10,"6-10",J397&lt;=15,"11-15",J397&lt;=20,"16-20",J397&gt;20,"21+")</f>
        <v>0-5</v>
      </c>
      <c r="L397" t="s">
        <v>113</v>
      </c>
      <c r="M397" s="2" t="str">
        <f>SUBSTITUTE(L397,"$","")</f>
        <v>20</v>
      </c>
      <c r="N397" s="8">
        <f t="shared" si="83"/>
        <v>20</v>
      </c>
      <c r="O397">
        <v>4.2</v>
      </c>
      <c r="P397" t="s">
        <v>66</v>
      </c>
      <c r="Q397" t="s">
        <v>2073</v>
      </c>
      <c r="R397">
        <v>82</v>
      </c>
      <c r="S397" s="3">
        <f>R397/100</f>
        <v>0.82</v>
      </c>
    </row>
    <row r="398" spans="1:19" x14ac:dyDescent="0.3">
      <c r="A398" t="s">
        <v>868</v>
      </c>
      <c r="B398" t="s">
        <v>869</v>
      </c>
      <c r="C398" t="str">
        <f t="shared" si="75"/>
        <v>Mindy York</v>
      </c>
      <c r="D398" t="s">
        <v>12</v>
      </c>
      <c r="E398" t="str">
        <f t="shared" si="82"/>
        <v>Female</v>
      </c>
      <c r="F398">
        <v>58</v>
      </c>
      <c r="G398" t="s">
        <v>63</v>
      </c>
      <c r="H398" t="s">
        <v>64</v>
      </c>
      <c r="I398" t="s">
        <v>43</v>
      </c>
      <c r="J398">
        <v>0</v>
      </c>
      <c r="K398" s="4" t="str" cm="1">
        <f t="array" ref="K398">_xlfn.IFS(J398&lt;=5,"0-5",J398&lt;=10,"6-10",J398&lt;=15,"11-15",J398&lt;=20,"16-20",J398&gt;20,"21+")</f>
        <v>0-5</v>
      </c>
      <c r="L398">
        <v>50</v>
      </c>
      <c r="M398" s="2">
        <f>L398</f>
        <v>50</v>
      </c>
      <c r="N398" s="8">
        <f t="shared" si="83"/>
        <v>50</v>
      </c>
      <c r="O398">
        <v>2.2999999999999998</v>
      </c>
      <c r="P398">
        <v>0</v>
      </c>
      <c r="Q398" t="s">
        <v>2072</v>
      </c>
      <c r="R398" s="1">
        <v>0.77</v>
      </c>
      <c r="S398" s="3">
        <f t="shared" ref="S398:S405" si="86">R398</f>
        <v>0.77</v>
      </c>
    </row>
    <row r="399" spans="1:19" x14ac:dyDescent="0.3">
      <c r="A399" t="s">
        <v>870</v>
      </c>
      <c r="B399" t="s">
        <v>871</v>
      </c>
      <c r="C399" t="str">
        <f>TRIM(MID(B399,FIND(" ",B399)+1,LEN(B399)))</f>
        <v>Christine Cherry</v>
      </c>
      <c r="D399" t="s">
        <v>6</v>
      </c>
      <c r="E399" t="str">
        <f t="shared" si="82"/>
        <v>Female</v>
      </c>
      <c r="F399">
        <v>45</v>
      </c>
      <c r="G399" t="s">
        <v>34</v>
      </c>
      <c r="H399" t="s">
        <v>35</v>
      </c>
      <c r="I399" t="s">
        <v>43</v>
      </c>
      <c r="J399">
        <v>17</v>
      </c>
      <c r="K399" s="4" t="str" cm="1">
        <f t="array" ref="K399">_xlfn.IFS(J399&lt;=5,"0-5",J399&lt;=10,"6-10",J399&lt;=15,"11-15",J399&lt;=20,"16-20",J399&gt;20,"21+")</f>
        <v>16-20</v>
      </c>
      <c r="L399" t="s">
        <v>56</v>
      </c>
      <c r="M399" s="2" t="str">
        <f>SUBSTITUTE(L399,"$","")</f>
        <v>50</v>
      </c>
      <c r="N399" s="8">
        <f t="shared" si="83"/>
        <v>50</v>
      </c>
      <c r="O399">
        <v>4.7</v>
      </c>
      <c r="P399">
        <v>1</v>
      </c>
      <c r="Q399" t="s">
        <v>2073</v>
      </c>
      <c r="R399" s="1">
        <v>0.73</v>
      </c>
      <c r="S399" s="3">
        <f t="shared" si="86"/>
        <v>0.73</v>
      </c>
    </row>
    <row r="400" spans="1:19" x14ac:dyDescent="0.3">
      <c r="A400" t="s">
        <v>872</v>
      </c>
      <c r="B400" t="s">
        <v>873</v>
      </c>
      <c r="C400" t="str">
        <f>B400</f>
        <v>Daniel Foster</v>
      </c>
      <c r="D400" t="s">
        <v>40</v>
      </c>
      <c r="E400" t="str">
        <f t="shared" si="82"/>
        <v>Male</v>
      </c>
      <c r="F400">
        <v>51</v>
      </c>
      <c r="G400" t="s">
        <v>104</v>
      </c>
      <c r="H400" t="s">
        <v>105</v>
      </c>
      <c r="I400" t="s">
        <v>70</v>
      </c>
      <c r="J400">
        <v>5</v>
      </c>
      <c r="K400" s="4" t="str" cm="1">
        <f t="array" ref="K400">_xlfn.IFS(J400&lt;=5,"0-5",J400&lt;=10,"6-10",J400&lt;=15,"11-15",J400&lt;=20,"16-20",J400&gt;20,"21+")</f>
        <v>0-5</v>
      </c>
      <c r="N400" s="8" t="str">
        <f t="shared" si="83"/>
        <v/>
      </c>
      <c r="O400">
        <v>3</v>
      </c>
      <c r="P400">
        <v>1</v>
      </c>
      <c r="Q400" t="s">
        <v>2073</v>
      </c>
      <c r="R400" s="1">
        <v>0.88</v>
      </c>
      <c r="S400" s="3">
        <f t="shared" si="86"/>
        <v>0.88</v>
      </c>
    </row>
    <row r="401" spans="1:19" x14ac:dyDescent="0.3">
      <c r="A401" t="s">
        <v>874</v>
      </c>
      <c r="B401" t="s">
        <v>875</v>
      </c>
      <c r="C401" t="str">
        <f>TRIM(MID(B401,FIND(" ",B401)+1,LEN(B401)))</f>
        <v>David Valencia</v>
      </c>
      <c r="D401" t="s">
        <v>53</v>
      </c>
      <c r="E401" t="str">
        <f t="shared" si="82"/>
        <v>Male</v>
      </c>
      <c r="F401">
        <v>54</v>
      </c>
      <c r="G401" t="s">
        <v>50</v>
      </c>
      <c r="H401" t="s">
        <v>14</v>
      </c>
      <c r="I401" t="s">
        <v>65</v>
      </c>
      <c r="J401">
        <v>3</v>
      </c>
      <c r="K401" s="4" t="str" cm="1">
        <f t="array" ref="K401">_xlfn.IFS(J401&lt;=5,"0-5",J401&lt;=10,"6-10",J401&lt;=15,"11-15",J401&lt;=20,"16-20",J401&gt;20,"21+")</f>
        <v>0-5</v>
      </c>
      <c r="L401" t="s">
        <v>101</v>
      </c>
      <c r="M401" s="2" t="str">
        <f>TRIM(MID(L401,FIND(" ",L401)+1,LEN(L401)))</f>
        <v>30</v>
      </c>
      <c r="N401" s="8">
        <f t="shared" si="83"/>
        <v>30</v>
      </c>
      <c r="O401">
        <v>2.4</v>
      </c>
      <c r="P401">
        <v>0</v>
      </c>
      <c r="Q401" t="s">
        <v>2072</v>
      </c>
      <c r="R401" s="1">
        <v>0.81</v>
      </c>
      <c r="S401" s="3">
        <f t="shared" si="86"/>
        <v>0.81</v>
      </c>
    </row>
    <row r="402" spans="1:19" x14ac:dyDescent="0.3">
      <c r="A402" t="s">
        <v>876</v>
      </c>
      <c r="B402" t="s">
        <v>877</v>
      </c>
      <c r="C402" t="str">
        <f t="shared" ref="C402:C432" si="87">B402</f>
        <v>Ethan Adams</v>
      </c>
      <c r="D402" t="s">
        <v>84</v>
      </c>
      <c r="E402" t="str">
        <f t="shared" si="82"/>
        <v>Male</v>
      </c>
      <c r="F402">
        <v>22</v>
      </c>
      <c r="G402" t="s">
        <v>116</v>
      </c>
      <c r="H402" t="s">
        <v>117</v>
      </c>
      <c r="I402" t="s">
        <v>43</v>
      </c>
      <c r="J402">
        <v>1</v>
      </c>
      <c r="K402" s="4" t="str" cm="1">
        <f t="array" ref="K402">_xlfn.IFS(J402&lt;=5,"0-5",J402&lt;=10,"6-10",J402&lt;=15,"11-15",J402&lt;=20,"16-20",J402&gt;20,"21+")</f>
        <v>0-5</v>
      </c>
      <c r="L402">
        <v>20</v>
      </c>
      <c r="M402" s="2">
        <f>L402</f>
        <v>20</v>
      </c>
      <c r="N402" s="8">
        <f t="shared" si="83"/>
        <v>20</v>
      </c>
      <c r="O402">
        <v>1.7</v>
      </c>
      <c r="P402" t="s">
        <v>23</v>
      </c>
      <c r="Q402" t="s">
        <v>2072</v>
      </c>
      <c r="R402" s="1">
        <v>0.78</v>
      </c>
      <c r="S402" s="3">
        <f t="shared" si="86"/>
        <v>0.78</v>
      </c>
    </row>
    <row r="403" spans="1:19" x14ac:dyDescent="0.3">
      <c r="A403" t="s">
        <v>878</v>
      </c>
      <c r="B403" t="s">
        <v>879</v>
      </c>
      <c r="C403" t="str">
        <f t="shared" si="87"/>
        <v>Brett Moore</v>
      </c>
      <c r="D403" t="s">
        <v>84</v>
      </c>
      <c r="E403" t="str">
        <f t="shared" si="82"/>
        <v>Male</v>
      </c>
      <c r="F403">
        <v>36</v>
      </c>
      <c r="G403" t="s">
        <v>54</v>
      </c>
      <c r="H403" t="s">
        <v>55</v>
      </c>
      <c r="I403" t="s">
        <v>70</v>
      </c>
      <c r="J403">
        <v>2</v>
      </c>
      <c r="K403" s="4" t="str" cm="1">
        <f t="array" ref="K403">_xlfn.IFS(J403&lt;=5,"0-5",J403&lt;=10,"6-10",J403&lt;=15,"11-15",J403&lt;=20,"16-20",J403&gt;20,"21+")</f>
        <v>0-5</v>
      </c>
      <c r="L403">
        <v>75</v>
      </c>
      <c r="M403" s="2">
        <f>L403</f>
        <v>75</v>
      </c>
      <c r="N403" s="8">
        <f t="shared" si="83"/>
        <v>75</v>
      </c>
      <c r="O403">
        <v>0</v>
      </c>
      <c r="P403" t="b">
        <v>0</v>
      </c>
      <c r="Q403" t="s">
        <v>2072</v>
      </c>
      <c r="R403" s="1">
        <v>0.92</v>
      </c>
      <c r="S403" s="3">
        <f t="shared" si="86"/>
        <v>0.92</v>
      </c>
    </row>
    <row r="404" spans="1:19" x14ac:dyDescent="0.3">
      <c r="A404" t="s">
        <v>880</v>
      </c>
      <c r="B404" t="s">
        <v>881</v>
      </c>
      <c r="C404" t="str">
        <f t="shared" si="87"/>
        <v>Phillip Griffin</v>
      </c>
      <c r="D404" t="s">
        <v>53</v>
      </c>
      <c r="E404" t="str">
        <f t="shared" si="82"/>
        <v>Male</v>
      </c>
      <c r="F404">
        <v>50</v>
      </c>
      <c r="G404" t="s">
        <v>20</v>
      </c>
      <c r="H404" t="s">
        <v>21</v>
      </c>
      <c r="I404" t="s">
        <v>81</v>
      </c>
      <c r="J404">
        <v>32</v>
      </c>
      <c r="K404" s="4" t="str" cm="1">
        <f t="array" ref="K404">_xlfn.IFS(J404&lt;=5,"0-5",J404&lt;=10,"6-10",J404&lt;=15,"11-15",J404&lt;=20,"16-20",J404&gt;20,"21+")</f>
        <v>21+</v>
      </c>
      <c r="L404" t="s">
        <v>37</v>
      </c>
      <c r="M404" s="2" t="str">
        <f>SUBSTITUTE(L404,"$","")</f>
        <v>30</v>
      </c>
      <c r="N404" s="8">
        <f t="shared" si="83"/>
        <v>30</v>
      </c>
      <c r="P404">
        <v>0</v>
      </c>
      <c r="Q404" t="s">
        <v>2072</v>
      </c>
      <c r="R404" s="1">
        <v>0.64</v>
      </c>
      <c r="S404" s="3">
        <f t="shared" si="86"/>
        <v>0.64</v>
      </c>
    </row>
    <row r="405" spans="1:19" x14ac:dyDescent="0.3">
      <c r="A405" t="s">
        <v>882</v>
      </c>
      <c r="B405" t="s">
        <v>883</v>
      </c>
      <c r="C405" t="str">
        <f t="shared" si="87"/>
        <v>Stacie Wall</v>
      </c>
      <c r="D405" t="s">
        <v>69</v>
      </c>
      <c r="E405" t="str">
        <f t="shared" si="82"/>
        <v>Female</v>
      </c>
      <c r="F405">
        <v>41</v>
      </c>
      <c r="G405" t="s">
        <v>13</v>
      </c>
      <c r="H405" t="s">
        <v>14</v>
      </c>
      <c r="I405" t="s">
        <v>9</v>
      </c>
      <c r="J405">
        <v>14</v>
      </c>
      <c r="K405" s="4" t="str" cm="1">
        <f t="array" ref="K405">_xlfn.IFS(J405&lt;=5,"0-5",J405&lt;=10,"6-10",J405&lt;=15,"11-15",J405&lt;=20,"16-20",J405&gt;20,"21+")</f>
        <v>11-15</v>
      </c>
      <c r="L405">
        <v>30</v>
      </c>
      <c r="M405" s="2">
        <f>L405</f>
        <v>30</v>
      </c>
      <c r="N405" s="8">
        <f t="shared" si="83"/>
        <v>30</v>
      </c>
      <c r="O405">
        <v>0</v>
      </c>
      <c r="P405" t="s">
        <v>66</v>
      </c>
      <c r="Q405" t="s">
        <v>2073</v>
      </c>
      <c r="R405" s="1">
        <v>0.78</v>
      </c>
      <c r="S405" s="3">
        <f t="shared" si="86"/>
        <v>0.78</v>
      </c>
    </row>
    <row r="406" spans="1:19" x14ac:dyDescent="0.3">
      <c r="A406" t="s">
        <v>884</v>
      </c>
      <c r="B406" t="s">
        <v>885</v>
      </c>
      <c r="C406" t="str">
        <f t="shared" si="87"/>
        <v>Jacob Austin</v>
      </c>
      <c r="D406" t="s">
        <v>84</v>
      </c>
      <c r="E406" t="str">
        <f t="shared" si="82"/>
        <v>Male</v>
      </c>
      <c r="G406" t="s">
        <v>145</v>
      </c>
      <c r="H406" t="s">
        <v>146</v>
      </c>
      <c r="I406" t="s">
        <v>27</v>
      </c>
      <c r="J406">
        <v>10</v>
      </c>
      <c r="K406" s="4" t="str" cm="1">
        <f t="array" ref="K406">_xlfn.IFS(J406&lt;=5,"0-5",J406&lt;=10,"6-10",J406&lt;=15,"11-15",J406&lt;=20,"16-20",J406&gt;20,"21+")</f>
        <v>6-10</v>
      </c>
      <c r="L406">
        <v>20</v>
      </c>
      <c r="M406" s="2">
        <f>L406</f>
        <v>20</v>
      </c>
      <c r="N406" s="8">
        <f t="shared" si="83"/>
        <v>20</v>
      </c>
      <c r="O406">
        <v>1.8</v>
      </c>
      <c r="P406" t="s">
        <v>60</v>
      </c>
      <c r="Q406" t="s">
        <v>2073</v>
      </c>
      <c r="R406">
        <v>85</v>
      </c>
      <c r="S406" s="3">
        <f>R406/100</f>
        <v>0.85</v>
      </c>
    </row>
    <row r="407" spans="1:19" x14ac:dyDescent="0.3">
      <c r="A407" t="s">
        <v>886</v>
      </c>
      <c r="B407" t="s">
        <v>887</v>
      </c>
      <c r="C407" t="str">
        <f t="shared" si="87"/>
        <v>Sabrina Davidson</v>
      </c>
      <c r="D407" t="s">
        <v>12</v>
      </c>
      <c r="E407" t="str">
        <f t="shared" si="82"/>
        <v>Female</v>
      </c>
      <c r="F407">
        <v>51</v>
      </c>
      <c r="G407" t="s">
        <v>34</v>
      </c>
      <c r="H407" t="s">
        <v>35</v>
      </c>
      <c r="I407" t="s">
        <v>70</v>
      </c>
      <c r="J407">
        <v>27</v>
      </c>
      <c r="K407" s="4" t="str" cm="1">
        <f t="array" ref="K407">_xlfn.IFS(J407&lt;=5,"0-5",J407&lt;=10,"6-10",J407&lt;=15,"11-15",J407&lt;=20,"16-20",J407&gt;20,"21+")</f>
        <v>21+</v>
      </c>
      <c r="L407" t="s">
        <v>56</v>
      </c>
      <c r="M407" s="2" t="str">
        <f>SUBSTITUTE(L407,"$","")</f>
        <v>50</v>
      </c>
      <c r="N407" s="8">
        <f t="shared" si="83"/>
        <v>50</v>
      </c>
      <c r="O407">
        <v>0</v>
      </c>
      <c r="P407" t="s">
        <v>151</v>
      </c>
      <c r="Q407" t="s">
        <v>2072</v>
      </c>
      <c r="R407" s="1">
        <v>0.78</v>
      </c>
      <c r="S407" s="3">
        <f t="shared" ref="S407:S413" si="88">R407</f>
        <v>0.78</v>
      </c>
    </row>
    <row r="408" spans="1:19" x14ac:dyDescent="0.3">
      <c r="A408" t="s">
        <v>888</v>
      </c>
      <c r="B408" t="s">
        <v>889</v>
      </c>
      <c r="C408" t="str">
        <f t="shared" si="87"/>
        <v>Dustin Douglas</v>
      </c>
      <c r="D408" t="s">
        <v>19</v>
      </c>
      <c r="E408" t="str">
        <f t="shared" si="82"/>
        <v>Male</v>
      </c>
      <c r="F408">
        <v>21</v>
      </c>
      <c r="G408" t="s">
        <v>127</v>
      </c>
      <c r="H408" t="s">
        <v>128</v>
      </c>
      <c r="I408" t="s">
        <v>36</v>
      </c>
      <c r="J408">
        <v>2</v>
      </c>
      <c r="K408" s="4" t="str" cm="1">
        <f t="array" ref="K408">_xlfn.IFS(J408&lt;=5,"0-5",J408&lt;=10,"6-10",J408&lt;=15,"11-15",J408&lt;=20,"16-20",J408&gt;20,"21+")</f>
        <v>0-5</v>
      </c>
      <c r="L408" t="s">
        <v>37</v>
      </c>
      <c r="M408" s="2" t="str">
        <f>SUBSTITUTE(L408,"$","")</f>
        <v>30</v>
      </c>
      <c r="N408" s="8">
        <f t="shared" si="83"/>
        <v>30</v>
      </c>
      <c r="O408">
        <v>3.8</v>
      </c>
      <c r="P408">
        <v>1</v>
      </c>
      <c r="Q408" t="s">
        <v>2073</v>
      </c>
      <c r="R408" s="1">
        <v>0.98</v>
      </c>
      <c r="S408" s="3">
        <f t="shared" si="88"/>
        <v>0.98</v>
      </c>
    </row>
    <row r="409" spans="1:19" x14ac:dyDescent="0.3">
      <c r="A409" t="s">
        <v>890</v>
      </c>
      <c r="B409" t="s">
        <v>891</v>
      </c>
      <c r="C409" t="str">
        <f t="shared" si="87"/>
        <v>Steven Norris</v>
      </c>
      <c r="D409" t="s">
        <v>53</v>
      </c>
      <c r="E409" t="str">
        <f t="shared" si="82"/>
        <v>Male</v>
      </c>
      <c r="F409">
        <v>51</v>
      </c>
      <c r="G409" t="s">
        <v>77</v>
      </c>
      <c r="H409" t="s">
        <v>78</v>
      </c>
      <c r="I409" t="s">
        <v>36</v>
      </c>
      <c r="J409">
        <v>33</v>
      </c>
      <c r="K409" s="4" t="str" cm="1">
        <f t="array" ref="K409">_xlfn.IFS(J409&lt;=5,"0-5",J409&lt;=10,"6-10",J409&lt;=15,"11-15",J409&lt;=20,"16-20",J409&gt;20,"21+")</f>
        <v>21+</v>
      </c>
      <c r="L409" t="s">
        <v>47</v>
      </c>
      <c r="M409" s="2" t="str">
        <f>TRIM(MID(L409,FIND(" ",L409)+1,LEN(L409)))</f>
        <v>40</v>
      </c>
      <c r="N409" s="8">
        <f t="shared" si="83"/>
        <v>40</v>
      </c>
      <c r="O409">
        <v>0</v>
      </c>
      <c r="P409" t="s">
        <v>66</v>
      </c>
      <c r="Q409" t="s">
        <v>2073</v>
      </c>
      <c r="R409" s="1">
        <v>0.63</v>
      </c>
      <c r="S409" s="3">
        <f t="shared" si="88"/>
        <v>0.63</v>
      </c>
    </row>
    <row r="410" spans="1:19" x14ac:dyDescent="0.3">
      <c r="A410" t="s">
        <v>892</v>
      </c>
      <c r="B410" t="s">
        <v>893</v>
      </c>
      <c r="C410" t="str">
        <f t="shared" si="87"/>
        <v>Mindy Sullivan</v>
      </c>
      <c r="D410" t="s">
        <v>31</v>
      </c>
      <c r="E410" t="str">
        <f t="shared" si="82"/>
        <v>Female</v>
      </c>
      <c r="F410">
        <v>37</v>
      </c>
      <c r="G410" t="s">
        <v>41</v>
      </c>
      <c r="H410" t="s">
        <v>42</v>
      </c>
      <c r="I410" t="s">
        <v>22</v>
      </c>
      <c r="J410">
        <v>11</v>
      </c>
      <c r="K410" s="4" t="str" cm="1">
        <f t="array" ref="K410">_xlfn.IFS(J410&lt;=5,"0-5",J410&lt;=10,"6-10",J410&lt;=15,"11-15",J410&lt;=20,"16-20",J410&gt;20,"21+")</f>
        <v>11-15</v>
      </c>
      <c r="L410" t="s">
        <v>47</v>
      </c>
      <c r="M410" s="2" t="str">
        <f>TRIM(MID(L410,FIND(" ",L410)+1,LEN(L410)))</f>
        <v>40</v>
      </c>
      <c r="N410" s="8">
        <f t="shared" si="83"/>
        <v>40</v>
      </c>
      <c r="O410">
        <v>3.6</v>
      </c>
      <c r="P410" t="s">
        <v>23</v>
      </c>
      <c r="Q410" t="s">
        <v>2072</v>
      </c>
      <c r="R410" s="1">
        <v>0.73</v>
      </c>
      <c r="S410" s="3">
        <f t="shared" si="88"/>
        <v>0.73</v>
      </c>
    </row>
    <row r="411" spans="1:19" x14ac:dyDescent="0.3">
      <c r="A411" t="s">
        <v>894</v>
      </c>
      <c r="B411" t="s">
        <v>895</v>
      </c>
      <c r="C411" t="str">
        <f t="shared" si="87"/>
        <v>Elizabeth Stone</v>
      </c>
      <c r="D411" t="s">
        <v>6</v>
      </c>
      <c r="E411" t="str">
        <f t="shared" si="82"/>
        <v>Female</v>
      </c>
      <c r="F411">
        <v>20</v>
      </c>
      <c r="G411" t="s">
        <v>182</v>
      </c>
      <c r="H411" t="s">
        <v>64</v>
      </c>
      <c r="I411" t="s">
        <v>22</v>
      </c>
      <c r="J411">
        <v>2</v>
      </c>
      <c r="K411" s="4" t="str" cm="1">
        <f t="array" ref="K411">_xlfn.IFS(J411&lt;=5,"0-5",J411&lt;=10,"6-10",J411&lt;=15,"11-15",J411&lt;=20,"16-20",J411&gt;20,"21+")</f>
        <v>0-5</v>
      </c>
      <c r="L411">
        <v>30</v>
      </c>
      <c r="M411" s="2">
        <f>L411</f>
        <v>30</v>
      </c>
      <c r="N411" s="8">
        <f t="shared" si="83"/>
        <v>30</v>
      </c>
      <c r="O411">
        <v>0</v>
      </c>
      <c r="P411">
        <v>0</v>
      </c>
      <c r="Q411" t="s">
        <v>2072</v>
      </c>
      <c r="R411" s="1">
        <v>0.94</v>
      </c>
      <c r="S411" s="3">
        <f t="shared" si="88"/>
        <v>0.94</v>
      </c>
    </row>
    <row r="412" spans="1:19" x14ac:dyDescent="0.3">
      <c r="A412" t="s">
        <v>896</v>
      </c>
      <c r="B412" t="s">
        <v>897</v>
      </c>
      <c r="C412" t="str">
        <f t="shared" si="87"/>
        <v>Diane Flores</v>
      </c>
      <c r="D412" t="s">
        <v>69</v>
      </c>
      <c r="E412" t="str">
        <f t="shared" si="82"/>
        <v>Female</v>
      </c>
      <c r="F412">
        <v>50</v>
      </c>
      <c r="G412" t="s">
        <v>13</v>
      </c>
      <c r="H412" t="s">
        <v>14</v>
      </c>
      <c r="I412" t="s">
        <v>27</v>
      </c>
      <c r="J412">
        <v>31</v>
      </c>
      <c r="K412" s="4" t="str" cm="1">
        <f t="array" ref="K412">_xlfn.IFS(J412&lt;=5,"0-5",J412&lt;=10,"6-10",J412&lt;=15,"11-15",J412&lt;=20,"16-20",J412&gt;20,"21+")</f>
        <v>21+</v>
      </c>
      <c r="L412" t="s">
        <v>56</v>
      </c>
      <c r="M412" s="2" t="str">
        <f>SUBSTITUTE(L412,"$","")</f>
        <v>50</v>
      </c>
      <c r="N412" s="8">
        <f t="shared" si="83"/>
        <v>50</v>
      </c>
      <c r="O412">
        <v>4.0999999999999996</v>
      </c>
      <c r="R412" s="1">
        <v>0.81</v>
      </c>
      <c r="S412" s="3">
        <f t="shared" si="88"/>
        <v>0.81</v>
      </c>
    </row>
    <row r="413" spans="1:19" x14ac:dyDescent="0.3">
      <c r="A413" t="s">
        <v>898</v>
      </c>
      <c r="B413" t="s">
        <v>899</v>
      </c>
      <c r="C413" t="str">
        <f t="shared" si="87"/>
        <v>Jessica Erickson</v>
      </c>
      <c r="D413" t="s">
        <v>12</v>
      </c>
      <c r="E413" t="str">
        <f t="shared" si="82"/>
        <v>Female</v>
      </c>
      <c r="F413">
        <v>58</v>
      </c>
      <c r="G413" t="s">
        <v>54</v>
      </c>
      <c r="H413" t="s">
        <v>55</v>
      </c>
      <c r="I413" t="s">
        <v>22</v>
      </c>
      <c r="J413">
        <v>17</v>
      </c>
      <c r="K413" s="4" t="str" cm="1">
        <f t="array" ref="K413">_xlfn.IFS(J413&lt;=5,"0-5",J413&lt;=10,"6-10",J413&lt;=15,"11-15",J413&lt;=20,"16-20",J413&gt;20,"21+")</f>
        <v>16-20</v>
      </c>
      <c r="L413" t="s">
        <v>56</v>
      </c>
      <c r="M413" s="2" t="str">
        <f>SUBSTITUTE(L413,"$","")</f>
        <v>50</v>
      </c>
      <c r="N413" s="8">
        <f t="shared" si="83"/>
        <v>50</v>
      </c>
      <c r="O413">
        <v>2.6</v>
      </c>
      <c r="P413">
        <v>1</v>
      </c>
      <c r="Q413" t="s">
        <v>2073</v>
      </c>
      <c r="R413" s="1">
        <v>0.61</v>
      </c>
      <c r="S413" s="3">
        <f t="shared" si="88"/>
        <v>0.61</v>
      </c>
    </row>
    <row r="414" spans="1:19" x14ac:dyDescent="0.3">
      <c r="A414" t="s">
        <v>900</v>
      </c>
      <c r="B414" t="s">
        <v>901</v>
      </c>
      <c r="C414" t="str">
        <f t="shared" si="87"/>
        <v>Sara Moses</v>
      </c>
      <c r="D414" t="s">
        <v>12</v>
      </c>
      <c r="E414" t="str">
        <f t="shared" si="82"/>
        <v>Female</v>
      </c>
      <c r="F414">
        <v>40</v>
      </c>
      <c r="G414" t="s">
        <v>99</v>
      </c>
      <c r="H414" t="s">
        <v>100</v>
      </c>
      <c r="I414" t="s">
        <v>65</v>
      </c>
      <c r="J414">
        <v>2</v>
      </c>
      <c r="K414" s="4" t="str" cm="1">
        <f t="array" ref="K414">_xlfn.IFS(J414&lt;=5,"0-5",J414&lt;=10,"6-10",J414&lt;=15,"11-15",J414&lt;=20,"16-20",J414&gt;20,"21+")</f>
        <v>0-5</v>
      </c>
      <c r="L414" t="s">
        <v>221</v>
      </c>
      <c r="M414" s="2" t="str">
        <f>SUBSTITUTE(L414,"$","")</f>
        <v>100</v>
      </c>
      <c r="N414" s="8">
        <f t="shared" si="83"/>
        <v>100</v>
      </c>
      <c r="O414">
        <v>0</v>
      </c>
      <c r="P414">
        <v>0</v>
      </c>
      <c r="Q414" t="s">
        <v>2072</v>
      </c>
    </row>
    <row r="415" spans="1:19" x14ac:dyDescent="0.3">
      <c r="A415" t="s">
        <v>902</v>
      </c>
      <c r="B415" t="s">
        <v>903</v>
      </c>
      <c r="C415" t="str">
        <f t="shared" si="87"/>
        <v>Allison Henderson</v>
      </c>
      <c r="D415" t="s">
        <v>26</v>
      </c>
      <c r="E415" t="str">
        <f t="shared" si="82"/>
        <v>Female</v>
      </c>
      <c r="F415">
        <v>26</v>
      </c>
      <c r="G415" t="s">
        <v>131</v>
      </c>
      <c r="H415" t="s">
        <v>132</v>
      </c>
      <c r="I415" t="s">
        <v>27</v>
      </c>
      <c r="J415">
        <v>2</v>
      </c>
      <c r="K415" s="4" t="str" cm="1">
        <f t="array" ref="K415">_xlfn.IFS(J415&lt;=5,"0-5",J415&lt;=10,"6-10",J415&lt;=15,"11-15",J415&lt;=20,"16-20",J415&gt;20,"21+")</f>
        <v>0-5</v>
      </c>
      <c r="L415">
        <v>20</v>
      </c>
      <c r="M415" s="2">
        <f>L415</f>
        <v>20</v>
      </c>
      <c r="N415" s="8">
        <f t="shared" si="83"/>
        <v>20</v>
      </c>
      <c r="O415">
        <v>1.3</v>
      </c>
      <c r="P415" t="s">
        <v>151</v>
      </c>
      <c r="Q415" t="s">
        <v>2072</v>
      </c>
      <c r="R415" s="1">
        <v>0.83</v>
      </c>
      <c r="S415" s="3">
        <f>R415</f>
        <v>0.83</v>
      </c>
    </row>
    <row r="416" spans="1:19" x14ac:dyDescent="0.3">
      <c r="A416" t="s">
        <v>904</v>
      </c>
      <c r="B416" t="s">
        <v>905</v>
      </c>
      <c r="C416" t="str">
        <f t="shared" si="87"/>
        <v>Susan Dixon</v>
      </c>
      <c r="D416" t="s">
        <v>12</v>
      </c>
      <c r="E416" t="str">
        <f t="shared" si="82"/>
        <v>Female</v>
      </c>
      <c r="F416">
        <v>44</v>
      </c>
      <c r="G416" t="s">
        <v>104</v>
      </c>
      <c r="H416" t="s">
        <v>105</v>
      </c>
      <c r="I416" t="s">
        <v>70</v>
      </c>
      <c r="J416">
        <v>22</v>
      </c>
      <c r="K416" s="4" t="str" cm="1">
        <f t="array" ref="K416">_xlfn.IFS(J416&lt;=5,"0-5",J416&lt;=10,"6-10",J416&lt;=15,"11-15",J416&lt;=20,"16-20",J416&gt;20,"21+")</f>
        <v>21+</v>
      </c>
      <c r="L416">
        <v>30</v>
      </c>
      <c r="M416" s="2">
        <f>L416</f>
        <v>30</v>
      </c>
      <c r="N416" s="8">
        <f t="shared" si="83"/>
        <v>30</v>
      </c>
      <c r="O416">
        <v>4.0999999999999996</v>
      </c>
      <c r="P416" t="s">
        <v>66</v>
      </c>
      <c r="Q416" t="s">
        <v>2073</v>
      </c>
    </row>
    <row r="417" spans="1:19" x14ac:dyDescent="0.3">
      <c r="A417" t="s">
        <v>906</v>
      </c>
      <c r="B417" t="s">
        <v>907</v>
      </c>
      <c r="C417" t="str">
        <f t="shared" si="87"/>
        <v>David Morrison</v>
      </c>
      <c r="D417" t="s">
        <v>19</v>
      </c>
      <c r="E417" t="str">
        <f t="shared" si="82"/>
        <v>Male</v>
      </c>
      <c r="F417">
        <v>42</v>
      </c>
      <c r="G417" t="s">
        <v>171</v>
      </c>
      <c r="H417" t="s">
        <v>64</v>
      </c>
      <c r="I417" t="s">
        <v>106</v>
      </c>
      <c r="J417">
        <v>8</v>
      </c>
      <c r="K417" s="4" t="str" cm="1">
        <f t="array" ref="K417">_xlfn.IFS(J417&lt;=5,"0-5",J417&lt;=10,"6-10",J417&lt;=15,"11-15",J417&lt;=20,"16-20",J417&gt;20,"21+")</f>
        <v>6-10</v>
      </c>
      <c r="L417" t="s">
        <v>56</v>
      </c>
      <c r="M417" s="2" t="str">
        <f>SUBSTITUTE(L417,"$","")</f>
        <v>50</v>
      </c>
      <c r="N417" s="8">
        <f t="shared" si="83"/>
        <v>50</v>
      </c>
      <c r="O417">
        <v>2.4</v>
      </c>
      <c r="P417" t="s">
        <v>151</v>
      </c>
      <c r="Q417" t="s">
        <v>2072</v>
      </c>
      <c r="R417" s="1">
        <v>0.68</v>
      </c>
      <c r="S417" s="3">
        <f t="shared" ref="S417:S418" si="89">R417</f>
        <v>0.68</v>
      </c>
    </row>
    <row r="418" spans="1:19" x14ac:dyDescent="0.3">
      <c r="A418" t="s">
        <v>908</v>
      </c>
      <c r="B418" t="s">
        <v>328</v>
      </c>
      <c r="C418" t="str">
        <f t="shared" si="87"/>
        <v>Jason Carter</v>
      </c>
      <c r="D418" t="s">
        <v>84</v>
      </c>
      <c r="E418" t="str">
        <f t="shared" si="82"/>
        <v>Male</v>
      </c>
      <c r="F418">
        <v>38</v>
      </c>
      <c r="G418" t="s">
        <v>171</v>
      </c>
      <c r="H418" t="s">
        <v>64</v>
      </c>
      <c r="I418" t="s">
        <v>43</v>
      </c>
      <c r="J418">
        <v>9</v>
      </c>
      <c r="K418" s="4" t="str" cm="1">
        <f t="array" ref="K418">_xlfn.IFS(J418&lt;=5,"0-5",J418&lt;=10,"6-10",J418&lt;=15,"11-15",J418&lt;=20,"16-20",J418&gt;20,"21+")</f>
        <v>6-10</v>
      </c>
      <c r="L418" t="s">
        <v>56</v>
      </c>
      <c r="M418" s="2" t="str">
        <f>SUBSTITUTE(L418,"$","")</f>
        <v>50</v>
      </c>
      <c r="N418" s="8">
        <f t="shared" si="83"/>
        <v>50</v>
      </c>
      <c r="O418">
        <v>0</v>
      </c>
      <c r="P418">
        <v>0</v>
      </c>
      <c r="Q418" t="s">
        <v>2072</v>
      </c>
      <c r="R418" s="1">
        <v>0.74</v>
      </c>
      <c r="S418" s="3">
        <f t="shared" si="89"/>
        <v>0.74</v>
      </c>
    </row>
    <row r="419" spans="1:19" x14ac:dyDescent="0.3">
      <c r="A419" t="s">
        <v>909</v>
      </c>
      <c r="B419" t="s">
        <v>910</v>
      </c>
      <c r="C419" t="str">
        <f t="shared" si="87"/>
        <v>James Jacobs</v>
      </c>
      <c r="D419" t="s">
        <v>19</v>
      </c>
      <c r="E419" t="str">
        <f t="shared" si="82"/>
        <v>Male</v>
      </c>
      <c r="F419">
        <v>51</v>
      </c>
      <c r="G419" t="s">
        <v>131</v>
      </c>
      <c r="H419" t="s">
        <v>132</v>
      </c>
      <c r="I419" t="s">
        <v>27</v>
      </c>
      <c r="J419">
        <v>32</v>
      </c>
      <c r="K419" s="4" t="str" cm="1">
        <f t="array" ref="K419">_xlfn.IFS(J419&lt;=5,"0-5",J419&lt;=10,"6-10",J419&lt;=15,"11-15",J419&lt;=20,"16-20",J419&gt;20,"21+")</f>
        <v>21+</v>
      </c>
      <c r="L419">
        <v>100</v>
      </c>
      <c r="M419" s="2">
        <f>L419</f>
        <v>100</v>
      </c>
      <c r="N419" s="8">
        <f t="shared" si="83"/>
        <v>100</v>
      </c>
      <c r="O419">
        <v>4.4000000000000004</v>
      </c>
      <c r="P419" t="b">
        <v>0</v>
      </c>
      <c r="Q419" t="s">
        <v>2072</v>
      </c>
      <c r="R419">
        <v>91</v>
      </c>
      <c r="S419" s="3">
        <f>R419/100</f>
        <v>0.91</v>
      </c>
    </row>
    <row r="420" spans="1:19" x14ac:dyDescent="0.3">
      <c r="A420" t="s">
        <v>911</v>
      </c>
      <c r="B420" t="s">
        <v>912</v>
      </c>
      <c r="C420" t="str">
        <f t="shared" si="87"/>
        <v>Kathleen Quinn</v>
      </c>
      <c r="D420" t="s">
        <v>31</v>
      </c>
      <c r="E420" t="str">
        <f t="shared" si="82"/>
        <v>Female</v>
      </c>
      <c r="F420">
        <v>36</v>
      </c>
      <c r="G420" t="s">
        <v>127</v>
      </c>
      <c r="H420" t="s">
        <v>128</v>
      </c>
      <c r="I420" t="s">
        <v>36</v>
      </c>
      <c r="J420">
        <v>8</v>
      </c>
      <c r="K420" s="4" t="str" cm="1">
        <f t="array" ref="K420">_xlfn.IFS(J420&lt;=5,"0-5",J420&lt;=10,"6-10",J420&lt;=15,"11-15",J420&lt;=20,"16-20",J420&gt;20,"21+")</f>
        <v>6-10</v>
      </c>
      <c r="L420" t="s">
        <v>16</v>
      </c>
      <c r="M420" s="2" t="str">
        <f>TRIM(MID(L420,FIND(" ",L420)+1,LEN(L420)))</f>
        <v>100</v>
      </c>
      <c r="N420" s="8">
        <f t="shared" si="83"/>
        <v>100</v>
      </c>
      <c r="O420">
        <v>2.2000000000000002</v>
      </c>
      <c r="P420">
        <v>1</v>
      </c>
      <c r="Q420" t="s">
        <v>2073</v>
      </c>
      <c r="R420" s="1">
        <v>0.97</v>
      </c>
      <c r="S420" s="3">
        <f t="shared" ref="S420:S424" si="90">R420</f>
        <v>0.97</v>
      </c>
    </row>
    <row r="421" spans="1:19" x14ac:dyDescent="0.3">
      <c r="A421" t="s">
        <v>913</v>
      </c>
      <c r="B421" t="s">
        <v>914</v>
      </c>
      <c r="C421" t="str">
        <f t="shared" si="87"/>
        <v>Natalie Frank MD</v>
      </c>
      <c r="D421" t="s">
        <v>12</v>
      </c>
      <c r="E421" t="str">
        <f t="shared" si="82"/>
        <v>Female</v>
      </c>
      <c r="F421">
        <v>37</v>
      </c>
      <c r="G421" t="s">
        <v>13</v>
      </c>
      <c r="H421" t="s">
        <v>14</v>
      </c>
      <c r="I421" t="s">
        <v>15</v>
      </c>
      <c r="J421">
        <v>10</v>
      </c>
      <c r="K421" s="4" t="str" cm="1">
        <f t="array" ref="K421">_xlfn.IFS(J421&lt;=5,"0-5",J421&lt;=10,"6-10",J421&lt;=15,"11-15",J421&lt;=20,"16-20",J421&gt;20,"21+")</f>
        <v>6-10</v>
      </c>
      <c r="L421">
        <v>30</v>
      </c>
      <c r="M421" s="2">
        <f>L421</f>
        <v>30</v>
      </c>
      <c r="N421" s="8">
        <f t="shared" si="83"/>
        <v>30</v>
      </c>
      <c r="O421">
        <v>0</v>
      </c>
      <c r="P421">
        <v>0</v>
      </c>
      <c r="Q421" t="s">
        <v>2072</v>
      </c>
      <c r="R421" s="1">
        <v>0.96</v>
      </c>
      <c r="S421" s="3">
        <f t="shared" si="90"/>
        <v>0.96</v>
      </c>
    </row>
    <row r="422" spans="1:19" x14ac:dyDescent="0.3">
      <c r="A422" t="s">
        <v>915</v>
      </c>
      <c r="B422" t="s">
        <v>916</v>
      </c>
      <c r="C422" t="str">
        <f t="shared" si="87"/>
        <v>Michael Reed</v>
      </c>
      <c r="D422" t="s">
        <v>19</v>
      </c>
      <c r="E422" t="str">
        <f t="shared" si="82"/>
        <v>Male</v>
      </c>
      <c r="F422">
        <v>31</v>
      </c>
      <c r="G422" t="s">
        <v>145</v>
      </c>
      <c r="H422" t="s">
        <v>146</v>
      </c>
      <c r="I422" t="s">
        <v>81</v>
      </c>
      <c r="J422">
        <v>0</v>
      </c>
      <c r="K422" s="4" t="str" cm="1">
        <f t="array" ref="K422">_xlfn.IFS(J422&lt;=5,"0-5",J422&lt;=10,"6-10",J422&lt;=15,"11-15",J422&lt;=20,"16-20",J422&gt;20,"21+")</f>
        <v>0-5</v>
      </c>
      <c r="L422">
        <v>50</v>
      </c>
      <c r="M422" s="2">
        <f>L422</f>
        <v>50</v>
      </c>
      <c r="N422" s="8">
        <f t="shared" si="83"/>
        <v>50</v>
      </c>
      <c r="O422">
        <v>1.1000000000000001</v>
      </c>
      <c r="P422" t="s">
        <v>66</v>
      </c>
      <c r="Q422" t="s">
        <v>2073</v>
      </c>
      <c r="R422" s="1">
        <v>0.73</v>
      </c>
      <c r="S422" s="3">
        <f t="shared" si="90"/>
        <v>0.73</v>
      </c>
    </row>
    <row r="423" spans="1:19" x14ac:dyDescent="0.3">
      <c r="A423" t="s">
        <v>917</v>
      </c>
      <c r="B423" t="s">
        <v>918</v>
      </c>
      <c r="C423" t="str">
        <f t="shared" si="87"/>
        <v>Sheila Smith</v>
      </c>
      <c r="D423" t="s">
        <v>6</v>
      </c>
      <c r="E423" t="str">
        <f t="shared" si="82"/>
        <v>Female</v>
      </c>
      <c r="F423">
        <v>47</v>
      </c>
      <c r="G423" t="s">
        <v>85</v>
      </c>
      <c r="H423" t="s">
        <v>86</v>
      </c>
      <c r="I423" t="s">
        <v>70</v>
      </c>
      <c r="J423">
        <v>22</v>
      </c>
      <c r="K423" s="4" t="str" cm="1">
        <f t="array" ref="K423">_xlfn.IFS(J423&lt;=5,"0-5",J423&lt;=10,"6-10",J423&lt;=15,"11-15",J423&lt;=20,"16-20",J423&gt;20,"21+")</f>
        <v>21+</v>
      </c>
      <c r="N423" s="8" t="str">
        <f t="shared" si="83"/>
        <v/>
      </c>
      <c r="O423">
        <v>1.4</v>
      </c>
      <c r="P423" t="s">
        <v>60</v>
      </c>
      <c r="Q423" t="s">
        <v>2073</v>
      </c>
      <c r="R423" s="1">
        <v>0.72</v>
      </c>
      <c r="S423" s="3">
        <f t="shared" si="90"/>
        <v>0.72</v>
      </c>
    </row>
    <row r="424" spans="1:19" x14ac:dyDescent="0.3">
      <c r="A424" t="s">
        <v>919</v>
      </c>
      <c r="B424" t="s">
        <v>920</v>
      </c>
      <c r="C424" t="str">
        <f t="shared" si="87"/>
        <v>Morgan Ford</v>
      </c>
      <c r="D424" t="s">
        <v>31</v>
      </c>
      <c r="E424" t="str">
        <f t="shared" si="82"/>
        <v>Female</v>
      </c>
      <c r="F424">
        <v>60</v>
      </c>
      <c r="G424" t="s">
        <v>171</v>
      </c>
      <c r="H424" t="s">
        <v>64</v>
      </c>
      <c r="I424" t="s">
        <v>65</v>
      </c>
      <c r="J424">
        <v>34</v>
      </c>
      <c r="K424" s="4" t="str" cm="1">
        <f t="array" ref="K424">_xlfn.IFS(J424&lt;=5,"0-5",J424&lt;=10,"6-10",J424&lt;=15,"11-15",J424&lt;=20,"16-20",J424&gt;20,"21+")</f>
        <v>21+</v>
      </c>
      <c r="L424" t="s">
        <v>221</v>
      </c>
      <c r="M424" s="2" t="str">
        <f>SUBSTITUTE(L424,"$","")</f>
        <v>100</v>
      </c>
      <c r="N424" s="8">
        <f t="shared" si="83"/>
        <v>100</v>
      </c>
      <c r="O424">
        <v>0</v>
      </c>
      <c r="P424" t="b">
        <v>1</v>
      </c>
      <c r="Q424" t="s">
        <v>2073</v>
      </c>
      <c r="R424" s="1">
        <v>0.74</v>
      </c>
      <c r="S424" s="3">
        <f t="shared" si="90"/>
        <v>0.74</v>
      </c>
    </row>
    <row r="425" spans="1:19" x14ac:dyDescent="0.3">
      <c r="A425" t="s">
        <v>921</v>
      </c>
      <c r="B425" t="s">
        <v>922</v>
      </c>
      <c r="C425" t="str">
        <f t="shared" si="87"/>
        <v>Linda Schultz</v>
      </c>
      <c r="D425" t="s">
        <v>12</v>
      </c>
      <c r="E425" t="str">
        <f t="shared" si="82"/>
        <v>Female</v>
      </c>
      <c r="F425">
        <v>48</v>
      </c>
      <c r="G425" t="s">
        <v>63</v>
      </c>
      <c r="H425" t="s">
        <v>64</v>
      </c>
      <c r="I425" t="s">
        <v>15</v>
      </c>
      <c r="J425">
        <v>5</v>
      </c>
      <c r="K425" s="4" t="str" cm="1">
        <f t="array" ref="K425">_xlfn.IFS(J425&lt;=5,"0-5",J425&lt;=10,"6-10",J425&lt;=15,"11-15",J425&lt;=20,"16-20",J425&gt;20,"21+")</f>
        <v>0-5</v>
      </c>
      <c r="L425">
        <v>30</v>
      </c>
      <c r="M425" s="2">
        <f>L425</f>
        <v>30</v>
      </c>
      <c r="N425" s="8">
        <f t="shared" si="83"/>
        <v>30</v>
      </c>
      <c r="O425">
        <v>1.5</v>
      </c>
      <c r="P425" t="s">
        <v>23</v>
      </c>
      <c r="Q425" t="s">
        <v>2072</v>
      </c>
    </row>
    <row r="426" spans="1:19" x14ac:dyDescent="0.3">
      <c r="A426" t="s">
        <v>923</v>
      </c>
      <c r="B426" t="s">
        <v>924</v>
      </c>
      <c r="C426" t="str">
        <f t="shared" si="87"/>
        <v>Regina Daniel</v>
      </c>
      <c r="D426" t="s">
        <v>26</v>
      </c>
      <c r="E426" t="str">
        <f t="shared" si="82"/>
        <v>Female</v>
      </c>
      <c r="F426">
        <v>24</v>
      </c>
      <c r="G426" t="s">
        <v>85</v>
      </c>
      <c r="H426" t="s">
        <v>86</v>
      </c>
      <c r="I426" t="s">
        <v>36</v>
      </c>
      <c r="J426">
        <v>3</v>
      </c>
      <c r="K426" s="4" t="str" cm="1">
        <f t="array" ref="K426">_xlfn.IFS(J426&lt;=5,"0-5",J426&lt;=10,"6-10",J426&lt;=15,"11-15",J426&lt;=20,"16-20",J426&gt;20,"21+")</f>
        <v>0-5</v>
      </c>
      <c r="L426">
        <v>20</v>
      </c>
      <c r="M426" s="2">
        <f>L426</f>
        <v>20</v>
      </c>
      <c r="N426" s="8">
        <f t="shared" si="83"/>
        <v>20</v>
      </c>
      <c r="O426">
        <v>0</v>
      </c>
      <c r="P426">
        <v>1</v>
      </c>
      <c r="Q426" t="s">
        <v>2073</v>
      </c>
    </row>
    <row r="427" spans="1:19" x14ac:dyDescent="0.3">
      <c r="A427" t="s">
        <v>925</v>
      </c>
      <c r="B427" t="s">
        <v>926</v>
      </c>
      <c r="C427" t="str">
        <f t="shared" si="87"/>
        <v>Allison Perkins</v>
      </c>
      <c r="D427" t="s">
        <v>12</v>
      </c>
      <c r="E427" t="str">
        <f t="shared" si="82"/>
        <v>Female</v>
      </c>
      <c r="F427">
        <v>35</v>
      </c>
      <c r="G427" t="s">
        <v>34</v>
      </c>
      <c r="H427" t="s">
        <v>35</v>
      </c>
      <c r="I427" t="s">
        <v>106</v>
      </c>
      <c r="J427">
        <v>10</v>
      </c>
      <c r="K427" s="4" t="str" cm="1">
        <f t="array" ref="K427">_xlfn.IFS(J427&lt;=5,"0-5",J427&lt;=10,"6-10",J427&lt;=15,"11-15",J427&lt;=20,"16-20",J427&gt;20,"21+")</f>
        <v>6-10</v>
      </c>
      <c r="L427">
        <v>75</v>
      </c>
      <c r="M427" s="2">
        <f>L427</f>
        <v>75</v>
      </c>
      <c r="N427" s="8">
        <f t="shared" si="83"/>
        <v>75</v>
      </c>
      <c r="O427">
        <v>0</v>
      </c>
      <c r="R427" s="1">
        <v>0.74</v>
      </c>
      <c r="S427" s="3">
        <f t="shared" ref="S427:S432" si="91">R427</f>
        <v>0.74</v>
      </c>
    </row>
    <row r="428" spans="1:19" x14ac:dyDescent="0.3">
      <c r="A428" t="s">
        <v>927</v>
      </c>
      <c r="B428" t="s">
        <v>928</v>
      </c>
      <c r="C428" t="str">
        <f t="shared" si="87"/>
        <v>Bradley Weaver</v>
      </c>
      <c r="D428" t="s">
        <v>53</v>
      </c>
      <c r="E428" t="str">
        <f t="shared" si="82"/>
        <v>Male</v>
      </c>
      <c r="F428">
        <v>35</v>
      </c>
      <c r="G428" t="s">
        <v>50</v>
      </c>
      <c r="H428" t="s">
        <v>14</v>
      </c>
      <c r="I428" t="s">
        <v>81</v>
      </c>
      <c r="K428" s="4" t="str" cm="1">
        <f t="array" ref="K428">_xlfn.IFS(J428&lt;=5,"0-5",J428&lt;=10,"6-10",J428&lt;=15,"11-15",J428&lt;=20,"16-20",J428&gt;20,"21+")</f>
        <v>0-5</v>
      </c>
      <c r="L428">
        <v>100</v>
      </c>
      <c r="M428" s="2">
        <f>L428</f>
        <v>100</v>
      </c>
      <c r="N428" s="8">
        <f t="shared" si="83"/>
        <v>100</v>
      </c>
      <c r="O428">
        <v>3.5</v>
      </c>
      <c r="P428" t="s">
        <v>66</v>
      </c>
      <c r="Q428" t="s">
        <v>2073</v>
      </c>
      <c r="R428" s="1">
        <v>0.71</v>
      </c>
      <c r="S428" s="3">
        <f t="shared" si="91"/>
        <v>0.71</v>
      </c>
    </row>
    <row r="429" spans="1:19" x14ac:dyDescent="0.3">
      <c r="A429" t="s">
        <v>929</v>
      </c>
      <c r="B429" t="s">
        <v>930</v>
      </c>
      <c r="C429" t="str">
        <f t="shared" si="87"/>
        <v>Sarah Hall</v>
      </c>
      <c r="D429" t="s">
        <v>69</v>
      </c>
      <c r="E429" t="str">
        <f t="shared" si="82"/>
        <v>Female</v>
      </c>
      <c r="F429">
        <v>29</v>
      </c>
      <c r="G429" t="s">
        <v>34</v>
      </c>
      <c r="H429" t="s">
        <v>35</v>
      </c>
      <c r="I429" t="s">
        <v>65</v>
      </c>
      <c r="J429">
        <v>6</v>
      </c>
      <c r="K429" s="4" t="str" cm="1">
        <f t="array" ref="K429">_xlfn.IFS(J429&lt;=5,"0-5",J429&lt;=10,"6-10",J429&lt;=15,"11-15",J429&lt;=20,"16-20",J429&gt;20,"21+")</f>
        <v>6-10</v>
      </c>
      <c r="N429" s="8" t="str">
        <f t="shared" si="83"/>
        <v/>
      </c>
      <c r="O429">
        <v>4.8</v>
      </c>
      <c r="P429" t="s">
        <v>23</v>
      </c>
      <c r="Q429" t="s">
        <v>2072</v>
      </c>
      <c r="R429" s="1">
        <v>0.83</v>
      </c>
      <c r="S429" s="3">
        <f t="shared" si="91"/>
        <v>0.83</v>
      </c>
    </row>
    <row r="430" spans="1:19" x14ac:dyDescent="0.3">
      <c r="A430" t="s">
        <v>931</v>
      </c>
      <c r="B430" t="s">
        <v>932</v>
      </c>
      <c r="C430" t="str">
        <f t="shared" si="87"/>
        <v>Diana Walton</v>
      </c>
      <c r="D430" t="s">
        <v>69</v>
      </c>
      <c r="E430" t="str">
        <f t="shared" si="82"/>
        <v>Female</v>
      </c>
      <c r="F430">
        <v>36</v>
      </c>
      <c r="G430" t="s">
        <v>7</v>
      </c>
      <c r="H430" t="s">
        <v>8</v>
      </c>
      <c r="I430" t="s">
        <v>106</v>
      </c>
      <c r="J430">
        <v>1</v>
      </c>
      <c r="K430" s="4" t="str" cm="1">
        <f t="array" ref="K430">_xlfn.IFS(J430&lt;=5,"0-5",J430&lt;=10,"6-10",J430&lt;=15,"11-15",J430&lt;=20,"16-20",J430&gt;20,"21+")</f>
        <v>0-5</v>
      </c>
      <c r="L430" t="s">
        <v>162</v>
      </c>
      <c r="M430" s="2" t="str">
        <f>SUBSTITUTE(L430,"$","")</f>
        <v>75</v>
      </c>
      <c r="N430" s="8">
        <f t="shared" si="83"/>
        <v>75</v>
      </c>
      <c r="R430" s="1">
        <v>0.63</v>
      </c>
      <c r="S430" s="3">
        <f t="shared" si="91"/>
        <v>0.63</v>
      </c>
    </row>
    <row r="431" spans="1:19" x14ac:dyDescent="0.3">
      <c r="A431" t="s">
        <v>933</v>
      </c>
      <c r="B431" t="s">
        <v>934</v>
      </c>
      <c r="C431" t="str">
        <f t="shared" si="87"/>
        <v>Donna Davis</v>
      </c>
      <c r="D431" t="s">
        <v>12</v>
      </c>
      <c r="E431" t="str">
        <f t="shared" si="82"/>
        <v>Female</v>
      </c>
      <c r="F431">
        <v>44</v>
      </c>
      <c r="G431" t="s">
        <v>120</v>
      </c>
      <c r="H431" t="s">
        <v>14</v>
      </c>
      <c r="I431" t="s">
        <v>36</v>
      </c>
      <c r="J431">
        <v>0</v>
      </c>
      <c r="K431" s="4" t="str" cm="1">
        <f t="array" ref="K431">_xlfn.IFS(J431&lt;=5,"0-5",J431&lt;=10,"6-10",J431&lt;=15,"11-15",J431&lt;=20,"16-20",J431&gt;20,"21+")</f>
        <v>0-5</v>
      </c>
      <c r="N431" s="8" t="str">
        <f t="shared" si="83"/>
        <v/>
      </c>
      <c r="O431">
        <v>4.8</v>
      </c>
      <c r="R431" s="1">
        <v>0.84</v>
      </c>
      <c r="S431" s="3">
        <f t="shared" si="91"/>
        <v>0.84</v>
      </c>
    </row>
    <row r="432" spans="1:19" x14ac:dyDescent="0.3">
      <c r="A432" t="s">
        <v>935</v>
      </c>
      <c r="B432" t="s">
        <v>936</v>
      </c>
      <c r="C432" t="str">
        <f t="shared" si="87"/>
        <v>Christopher Mcclain</v>
      </c>
      <c r="D432" t="s">
        <v>53</v>
      </c>
      <c r="E432" t="str">
        <f t="shared" si="82"/>
        <v>Male</v>
      </c>
      <c r="F432">
        <v>44</v>
      </c>
      <c r="G432" t="s">
        <v>145</v>
      </c>
      <c r="H432" t="s">
        <v>146</v>
      </c>
      <c r="I432" t="s">
        <v>27</v>
      </c>
      <c r="K432" s="4" t="str" cm="1">
        <f t="array" ref="K432">_xlfn.IFS(J432&lt;=5,"0-5",J432&lt;=10,"6-10",J432&lt;=15,"11-15",J432&lt;=20,"16-20",J432&gt;20,"21+")</f>
        <v>0-5</v>
      </c>
      <c r="N432" s="8" t="str">
        <f t="shared" si="83"/>
        <v/>
      </c>
      <c r="O432">
        <v>1.4</v>
      </c>
      <c r="P432">
        <v>0</v>
      </c>
      <c r="Q432" t="s">
        <v>2072</v>
      </c>
      <c r="R432" s="1">
        <v>0.93</v>
      </c>
      <c r="S432" s="3">
        <f t="shared" si="91"/>
        <v>0.93</v>
      </c>
    </row>
    <row r="433" spans="1:19" x14ac:dyDescent="0.3">
      <c r="A433" t="s">
        <v>937</v>
      </c>
      <c r="B433" t="s">
        <v>938</v>
      </c>
      <c r="C433" t="str">
        <f>TRIM(MID(B433,FIND(" ",B433)+1,LEN(B433)))</f>
        <v>Paul Williamson</v>
      </c>
      <c r="D433" t="s">
        <v>40</v>
      </c>
      <c r="E433" t="str">
        <f t="shared" si="82"/>
        <v>Male</v>
      </c>
      <c r="F433">
        <v>40</v>
      </c>
      <c r="G433" t="s">
        <v>85</v>
      </c>
      <c r="H433" t="s">
        <v>86</v>
      </c>
      <c r="I433" t="s">
        <v>36</v>
      </c>
      <c r="J433">
        <v>13</v>
      </c>
      <c r="K433" s="4" t="str" cm="1">
        <f t="array" ref="K433">_xlfn.IFS(J433&lt;=5,"0-5",J433&lt;=10,"6-10",J433&lt;=15,"11-15",J433&lt;=20,"16-20",J433&gt;20,"21+")</f>
        <v>11-15</v>
      </c>
      <c r="L433" t="s">
        <v>16</v>
      </c>
      <c r="M433" s="2" t="str">
        <f>TRIM(MID(L433,FIND(" ",L433)+1,LEN(L433)))</f>
        <v>100</v>
      </c>
      <c r="N433" s="8">
        <f t="shared" si="83"/>
        <v>100</v>
      </c>
      <c r="O433">
        <v>1.1000000000000001</v>
      </c>
      <c r="P433">
        <v>1</v>
      </c>
      <c r="Q433" t="s">
        <v>2073</v>
      </c>
    </row>
    <row r="434" spans="1:19" x14ac:dyDescent="0.3">
      <c r="A434" t="s">
        <v>939</v>
      </c>
      <c r="B434" t="s">
        <v>940</v>
      </c>
      <c r="C434" t="str">
        <f t="shared" ref="C434:C453" si="92">B434</f>
        <v>Barbara Brown</v>
      </c>
      <c r="D434" t="s">
        <v>26</v>
      </c>
      <c r="E434" t="str">
        <f t="shared" si="82"/>
        <v>Female</v>
      </c>
      <c r="F434">
        <v>53</v>
      </c>
      <c r="G434" t="s">
        <v>34</v>
      </c>
      <c r="H434" t="s">
        <v>35</v>
      </c>
      <c r="I434" t="s">
        <v>106</v>
      </c>
      <c r="J434">
        <v>13</v>
      </c>
      <c r="K434" s="4" t="str" cm="1">
        <f t="array" ref="K434">_xlfn.IFS(J434&lt;=5,"0-5",J434&lt;=10,"6-10",J434&lt;=15,"11-15",J434&lt;=20,"16-20",J434&gt;20,"21+")</f>
        <v>11-15</v>
      </c>
      <c r="L434" t="s">
        <v>56</v>
      </c>
      <c r="M434" s="2" t="str">
        <f>SUBSTITUTE(L434,"$","")</f>
        <v>50</v>
      </c>
      <c r="N434" s="8">
        <f t="shared" si="83"/>
        <v>50</v>
      </c>
      <c r="O434">
        <v>3.3</v>
      </c>
      <c r="P434" t="s">
        <v>66</v>
      </c>
      <c r="Q434" t="s">
        <v>2073</v>
      </c>
      <c r="R434" s="1">
        <v>0.93</v>
      </c>
      <c r="S434" s="3">
        <f t="shared" ref="S434:S443" si="93">R434</f>
        <v>0.93</v>
      </c>
    </row>
    <row r="435" spans="1:19" x14ac:dyDescent="0.3">
      <c r="A435" t="s">
        <v>941</v>
      </c>
      <c r="B435" t="s">
        <v>942</v>
      </c>
      <c r="C435" t="str">
        <f t="shared" si="92"/>
        <v>Kimberly Allen</v>
      </c>
      <c r="D435" t="s">
        <v>6</v>
      </c>
      <c r="E435" t="str">
        <f t="shared" si="82"/>
        <v>Female</v>
      </c>
      <c r="F435">
        <v>35</v>
      </c>
      <c r="G435" t="s">
        <v>20</v>
      </c>
      <c r="H435" t="s">
        <v>21</v>
      </c>
      <c r="I435" t="s">
        <v>9</v>
      </c>
      <c r="J435">
        <v>0</v>
      </c>
      <c r="K435" s="4" t="str" cm="1">
        <f t="array" ref="K435">_xlfn.IFS(J435&lt;=5,"0-5",J435&lt;=10,"6-10",J435&lt;=15,"11-15",J435&lt;=20,"16-20",J435&gt;20,"21+")</f>
        <v>0-5</v>
      </c>
      <c r="L435" t="s">
        <v>101</v>
      </c>
      <c r="M435" s="2" t="str">
        <f>TRIM(MID(L435,FIND(" ",L435)+1,LEN(L435)))</f>
        <v>30</v>
      </c>
      <c r="N435" s="8">
        <f t="shared" si="83"/>
        <v>30</v>
      </c>
      <c r="O435">
        <v>4.5999999999999996</v>
      </c>
      <c r="R435" s="1">
        <v>0.97</v>
      </c>
      <c r="S435" s="3">
        <f t="shared" si="93"/>
        <v>0.97</v>
      </c>
    </row>
    <row r="436" spans="1:19" x14ac:dyDescent="0.3">
      <c r="A436" t="s">
        <v>943</v>
      </c>
      <c r="B436" t="s">
        <v>944</v>
      </c>
      <c r="C436" t="str">
        <f t="shared" si="92"/>
        <v>Elizabeth Edwards</v>
      </c>
      <c r="D436" t="s">
        <v>12</v>
      </c>
      <c r="E436" t="str">
        <f t="shared" si="82"/>
        <v>Female</v>
      </c>
      <c r="F436">
        <v>27</v>
      </c>
      <c r="G436" t="s">
        <v>63</v>
      </c>
      <c r="H436" t="s">
        <v>64</v>
      </c>
      <c r="I436" t="s">
        <v>106</v>
      </c>
      <c r="J436">
        <v>7</v>
      </c>
      <c r="K436" s="4" t="str" cm="1">
        <f t="array" ref="K436">_xlfn.IFS(J436&lt;=5,"0-5",J436&lt;=10,"6-10",J436&lt;=15,"11-15",J436&lt;=20,"16-20",J436&gt;20,"21+")</f>
        <v>6-10</v>
      </c>
      <c r="L436" t="s">
        <v>44</v>
      </c>
      <c r="M436" s="2" t="str">
        <f>TRIM(MID(L436,FIND(" ",L436)+1,LEN(L436)))</f>
        <v>75</v>
      </c>
      <c r="N436" s="8">
        <f t="shared" si="83"/>
        <v>75</v>
      </c>
      <c r="O436">
        <v>2.8</v>
      </c>
      <c r="P436">
        <v>1</v>
      </c>
      <c r="Q436" t="s">
        <v>2073</v>
      </c>
      <c r="R436" s="1">
        <v>0.92</v>
      </c>
      <c r="S436" s="3">
        <f t="shared" si="93"/>
        <v>0.92</v>
      </c>
    </row>
    <row r="437" spans="1:19" x14ac:dyDescent="0.3">
      <c r="A437" t="s">
        <v>945</v>
      </c>
      <c r="B437" t="s">
        <v>946</v>
      </c>
      <c r="C437" t="str">
        <f t="shared" si="92"/>
        <v>Anthony Downs</v>
      </c>
      <c r="D437" t="s">
        <v>53</v>
      </c>
      <c r="E437" t="str">
        <f t="shared" si="82"/>
        <v>Male</v>
      </c>
      <c r="F437">
        <v>34</v>
      </c>
      <c r="G437" t="s">
        <v>13</v>
      </c>
      <c r="H437" t="s">
        <v>14</v>
      </c>
      <c r="I437" t="s">
        <v>81</v>
      </c>
      <c r="J437">
        <v>6</v>
      </c>
      <c r="K437" s="4" t="str" cm="1">
        <f t="array" ref="K437">_xlfn.IFS(J437&lt;=5,"0-5",J437&lt;=10,"6-10",J437&lt;=15,"11-15",J437&lt;=20,"16-20",J437&gt;20,"21+")</f>
        <v>6-10</v>
      </c>
      <c r="L437">
        <v>50</v>
      </c>
      <c r="M437" s="2">
        <f>L437</f>
        <v>50</v>
      </c>
      <c r="N437" s="8">
        <f t="shared" si="83"/>
        <v>50</v>
      </c>
      <c r="O437">
        <v>5</v>
      </c>
      <c r="P437" t="s">
        <v>66</v>
      </c>
      <c r="Q437" t="s">
        <v>2073</v>
      </c>
      <c r="R437" s="1">
        <v>0.92</v>
      </c>
      <c r="S437" s="3">
        <f t="shared" si="93"/>
        <v>0.92</v>
      </c>
    </row>
    <row r="438" spans="1:19" x14ac:dyDescent="0.3">
      <c r="A438" t="s">
        <v>947</v>
      </c>
      <c r="B438" t="s">
        <v>948</v>
      </c>
      <c r="C438" t="str">
        <f t="shared" si="92"/>
        <v>Jack Ortega</v>
      </c>
      <c r="D438" t="s">
        <v>19</v>
      </c>
      <c r="E438" t="str">
        <f t="shared" si="82"/>
        <v>Male</v>
      </c>
      <c r="F438">
        <v>24</v>
      </c>
      <c r="G438" t="s">
        <v>85</v>
      </c>
      <c r="H438" t="s">
        <v>86</v>
      </c>
      <c r="I438" t="s">
        <v>70</v>
      </c>
      <c r="J438">
        <v>2</v>
      </c>
      <c r="K438" s="4" t="str" cm="1">
        <f t="array" ref="K438">_xlfn.IFS(J438&lt;=5,"0-5",J438&lt;=10,"6-10",J438&lt;=15,"11-15",J438&lt;=20,"16-20",J438&gt;20,"21+")</f>
        <v>0-5</v>
      </c>
      <c r="L438">
        <v>75</v>
      </c>
      <c r="M438" s="2">
        <f>L438</f>
        <v>75</v>
      </c>
      <c r="N438" s="8">
        <f t="shared" si="83"/>
        <v>75</v>
      </c>
      <c r="O438">
        <v>4.7</v>
      </c>
      <c r="P438" t="s">
        <v>151</v>
      </c>
      <c r="Q438" t="s">
        <v>2072</v>
      </c>
      <c r="R438" s="1">
        <v>0.68</v>
      </c>
      <c r="S438" s="3">
        <f t="shared" si="93"/>
        <v>0.68</v>
      </c>
    </row>
    <row r="439" spans="1:19" x14ac:dyDescent="0.3">
      <c r="A439" t="s">
        <v>949</v>
      </c>
      <c r="B439" t="s">
        <v>950</v>
      </c>
      <c r="C439" t="str">
        <f t="shared" si="92"/>
        <v>Marvin Moore</v>
      </c>
      <c r="D439" t="s">
        <v>19</v>
      </c>
      <c r="E439" t="str">
        <f t="shared" si="82"/>
        <v>Male</v>
      </c>
      <c r="F439">
        <v>57</v>
      </c>
      <c r="G439" t="s">
        <v>50</v>
      </c>
      <c r="H439" t="s">
        <v>14</v>
      </c>
      <c r="I439" t="s">
        <v>65</v>
      </c>
      <c r="J439">
        <v>13</v>
      </c>
      <c r="K439" s="4" t="str" cm="1">
        <f t="array" ref="K439">_xlfn.IFS(J439&lt;=5,"0-5",J439&lt;=10,"6-10",J439&lt;=15,"11-15",J439&lt;=20,"16-20",J439&gt;20,"21+")</f>
        <v>11-15</v>
      </c>
      <c r="L439">
        <v>100</v>
      </c>
      <c r="M439" s="2">
        <f>L439</f>
        <v>100</v>
      </c>
      <c r="N439" s="8">
        <f t="shared" si="83"/>
        <v>100</v>
      </c>
      <c r="O439">
        <v>3.5</v>
      </c>
      <c r="P439" t="s">
        <v>151</v>
      </c>
      <c r="Q439" t="s">
        <v>2072</v>
      </c>
      <c r="R439" s="1">
        <v>0.95</v>
      </c>
      <c r="S439" s="3">
        <f t="shared" si="93"/>
        <v>0.95</v>
      </c>
    </row>
    <row r="440" spans="1:19" x14ac:dyDescent="0.3">
      <c r="A440" t="s">
        <v>951</v>
      </c>
      <c r="B440" t="s">
        <v>952</v>
      </c>
      <c r="C440" t="str">
        <f t="shared" si="92"/>
        <v>Tony French</v>
      </c>
      <c r="D440" t="s">
        <v>40</v>
      </c>
      <c r="E440" t="str">
        <f t="shared" si="82"/>
        <v>Male</v>
      </c>
      <c r="F440">
        <v>28</v>
      </c>
      <c r="G440" t="s">
        <v>104</v>
      </c>
      <c r="H440" t="s">
        <v>105</v>
      </c>
      <c r="I440" t="s">
        <v>65</v>
      </c>
      <c r="J440">
        <v>7</v>
      </c>
      <c r="K440" s="4" t="str" cm="1">
        <f t="array" ref="K440">_xlfn.IFS(J440&lt;=5,"0-5",J440&lt;=10,"6-10",J440&lt;=15,"11-15",J440&lt;=20,"16-20",J440&gt;20,"21+")</f>
        <v>6-10</v>
      </c>
      <c r="L440" t="s">
        <v>221</v>
      </c>
      <c r="M440" s="2" t="str">
        <f>SUBSTITUTE(L440,"$","")</f>
        <v>100</v>
      </c>
      <c r="N440" s="8">
        <f t="shared" si="83"/>
        <v>100</v>
      </c>
      <c r="O440">
        <v>4.3</v>
      </c>
      <c r="P440" t="b">
        <v>0</v>
      </c>
      <c r="Q440" t="s">
        <v>2072</v>
      </c>
      <c r="R440" s="1">
        <v>0.76</v>
      </c>
      <c r="S440" s="3">
        <f t="shared" si="93"/>
        <v>0.76</v>
      </c>
    </row>
    <row r="441" spans="1:19" x14ac:dyDescent="0.3">
      <c r="A441" t="s">
        <v>953</v>
      </c>
      <c r="B441" t="s">
        <v>954</v>
      </c>
      <c r="C441" t="str">
        <f t="shared" si="92"/>
        <v>Stacy Hudson</v>
      </c>
      <c r="D441" t="s">
        <v>26</v>
      </c>
      <c r="E441" t="str">
        <f t="shared" si="82"/>
        <v>Female</v>
      </c>
      <c r="F441">
        <v>26</v>
      </c>
      <c r="G441" t="s">
        <v>7</v>
      </c>
      <c r="H441" t="s">
        <v>8</v>
      </c>
      <c r="I441" t="s">
        <v>81</v>
      </c>
      <c r="J441">
        <v>7</v>
      </c>
      <c r="K441" s="4" t="str" cm="1">
        <f t="array" ref="K441">_xlfn.IFS(J441&lt;=5,"0-5",J441&lt;=10,"6-10",J441&lt;=15,"11-15",J441&lt;=20,"16-20",J441&gt;20,"21+")</f>
        <v>6-10</v>
      </c>
      <c r="L441" t="s">
        <v>16</v>
      </c>
      <c r="M441" s="2" t="str">
        <f>TRIM(MID(L441,FIND(" ",L441)+1,LEN(L441)))</f>
        <v>100</v>
      </c>
      <c r="N441" s="8">
        <f t="shared" si="83"/>
        <v>100</v>
      </c>
      <c r="O441">
        <v>3.3</v>
      </c>
      <c r="P441" t="s">
        <v>60</v>
      </c>
      <c r="Q441" t="s">
        <v>2073</v>
      </c>
      <c r="R441" s="1">
        <v>0.66</v>
      </c>
      <c r="S441" s="3">
        <f t="shared" si="93"/>
        <v>0.66</v>
      </c>
    </row>
    <row r="442" spans="1:19" x14ac:dyDescent="0.3">
      <c r="A442" t="s">
        <v>955</v>
      </c>
      <c r="B442" t="s">
        <v>956</v>
      </c>
      <c r="C442" t="str">
        <f t="shared" si="92"/>
        <v>Scott Washington</v>
      </c>
      <c r="D442" t="s">
        <v>89</v>
      </c>
      <c r="E442" t="str">
        <f t="shared" si="82"/>
        <v>Male</v>
      </c>
      <c r="F442">
        <v>34</v>
      </c>
      <c r="G442" t="s">
        <v>63</v>
      </c>
      <c r="H442" t="s">
        <v>64</v>
      </c>
      <c r="I442" t="s">
        <v>15</v>
      </c>
      <c r="J442">
        <v>15</v>
      </c>
      <c r="K442" s="4" t="str" cm="1">
        <f t="array" ref="K442">_xlfn.IFS(J442&lt;=5,"0-5",J442&lt;=10,"6-10",J442&lt;=15,"11-15",J442&lt;=20,"16-20",J442&gt;20,"21+")</f>
        <v>11-15</v>
      </c>
      <c r="L442">
        <v>75</v>
      </c>
      <c r="M442" s="2">
        <f>L442</f>
        <v>75</v>
      </c>
      <c r="N442" s="8">
        <f t="shared" si="83"/>
        <v>75</v>
      </c>
      <c r="P442">
        <v>0</v>
      </c>
      <c r="Q442" t="s">
        <v>2072</v>
      </c>
      <c r="R442" s="1">
        <v>0.73</v>
      </c>
      <c r="S442" s="3">
        <f t="shared" si="93"/>
        <v>0.73</v>
      </c>
    </row>
    <row r="443" spans="1:19" x14ac:dyDescent="0.3">
      <c r="A443" t="s">
        <v>957</v>
      </c>
      <c r="B443" t="s">
        <v>958</v>
      </c>
      <c r="C443" t="str">
        <f t="shared" si="92"/>
        <v>Timothy Wright</v>
      </c>
      <c r="D443" t="s">
        <v>89</v>
      </c>
      <c r="E443" t="str">
        <f t="shared" si="82"/>
        <v>Male</v>
      </c>
      <c r="F443">
        <v>43</v>
      </c>
      <c r="G443" t="s">
        <v>77</v>
      </c>
      <c r="H443" t="s">
        <v>78</v>
      </c>
      <c r="I443" t="s">
        <v>36</v>
      </c>
      <c r="K443" s="4" t="str" cm="1">
        <f t="array" ref="K443">_xlfn.IFS(J443&lt;=5,"0-5",J443&lt;=10,"6-10",J443&lt;=15,"11-15",J443&lt;=20,"16-20",J443&gt;20,"21+")</f>
        <v>0-5</v>
      </c>
      <c r="L443" t="s">
        <v>306</v>
      </c>
      <c r="M443" s="2" t="str">
        <f>TRIM(MID(L443,FIND(" ",L443)+1,LEN(L443)))</f>
        <v>20</v>
      </c>
      <c r="N443" s="8">
        <f t="shared" si="83"/>
        <v>20</v>
      </c>
      <c r="O443">
        <v>2.8</v>
      </c>
      <c r="R443" s="1">
        <v>0.99</v>
      </c>
      <c r="S443" s="3">
        <f t="shared" si="93"/>
        <v>0.99</v>
      </c>
    </row>
    <row r="444" spans="1:19" x14ac:dyDescent="0.3">
      <c r="A444" t="s">
        <v>959</v>
      </c>
      <c r="B444" t="s">
        <v>960</v>
      </c>
      <c r="C444" t="str">
        <f t="shared" si="92"/>
        <v>Joseph Gonzalez</v>
      </c>
      <c r="D444" t="s">
        <v>84</v>
      </c>
      <c r="E444" t="str">
        <f t="shared" si="82"/>
        <v>Male</v>
      </c>
      <c r="F444">
        <v>31</v>
      </c>
      <c r="G444" t="s">
        <v>167</v>
      </c>
      <c r="H444" t="s">
        <v>168</v>
      </c>
      <c r="I444" t="s">
        <v>22</v>
      </c>
      <c r="J444">
        <v>5</v>
      </c>
      <c r="K444" s="4" t="str" cm="1">
        <f t="array" ref="K444">_xlfn.IFS(J444&lt;=5,"0-5",J444&lt;=10,"6-10",J444&lt;=15,"11-15",J444&lt;=20,"16-20",J444&gt;20,"21+")</f>
        <v>0-5</v>
      </c>
      <c r="N444" s="8" t="str">
        <f t="shared" si="83"/>
        <v/>
      </c>
      <c r="O444">
        <v>2.7</v>
      </c>
      <c r="P444">
        <v>1</v>
      </c>
      <c r="Q444" t="s">
        <v>2073</v>
      </c>
      <c r="R444">
        <v>94</v>
      </c>
      <c r="S444" s="3">
        <f t="shared" ref="S444:S445" si="94">R444/100</f>
        <v>0.94</v>
      </c>
    </row>
    <row r="445" spans="1:19" x14ac:dyDescent="0.3">
      <c r="A445" t="s">
        <v>961</v>
      </c>
      <c r="B445" t="s">
        <v>962</v>
      </c>
      <c r="C445" t="str">
        <f t="shared" si="92"/>
        <v>Andrea Perez</v>
      </c>
      <c r="D445" t="s">
        <v>12</v>
      </c>
      <c r="E445" t="str">
        <f t="shared" si="82"/>
        <v>Female</v>
      </c>
      <c r="F445">
        <v>34</v>
      </c>
      <c r="G445" t="s">
        <v>167</v>
      </c>
      <c r="H445" t="s">
        <v>168</v>
      </c>
      <c r="I445" t="s">
        <v>9</v>
      </c>
      <c r="K445" s="4" t="str" cm="1">
        <f t="array" ref="K445">_xlfn.IFS(J445&lt;=5,"0-5",J445&lt;=10,"6-10",J445&lt;=15,"11-15",J445&lt;=20,"16-20",J445&gt;20,"21+")</f>
        <v>0-5</v>
      </c>
      <c r="L445" t="s">
        <v>56</v>
      </c>
      <c r="M445" s="2" t="str">
        <f>SUBSTITUTE(L445,"$","")</f>
        <v>50</v>
      </c>
      <c r="N445" s="8">
        <f t="shared" si="83"/>
        <v>50</v>
      </c>
      <c r="O445">
        <v>0</v>
      </c>
      <c r="P445" t="b">
        <v>0</v>
      </c>
      <c r="Q445" t="s">
        <v>2072</v>
      </c>
      <c r="R445">
        <v>84</v>
      </c>
      <c r="S445" s="3">
        <f t="shared" si="94"/>
        <v>0.84</v>
      </c>
    </row>
    <row r="446" spans="1:19" x14ac:dyDescent="0.3">
      <c r="A446" t="s">
        <v>963</v>
      </c>
      <c r="B446" t="s">
        <v>964</v>
      </c>
      <c r="C446" t="str">
        <f t="shared" si="92"/>
        <v>Angel Collins</v>
      </c>
      <c r="D446" t="s">
        <v>26</v>
      </c>
      <c r="E446" t="str">
        <f t="shared" si="82"/>
        <v>Female</v>
      </c>
      <c r="F446">
        <v>32</v>
      </c>
      <c r="G446" t="s">
        <v>116</v>
      </c>
      <c r="H446" t="s">
        <v>117</v>
      </c>
      <c r="I446" t="s">
        <v>70</v>
      </c>
      <c r="J446">
        <v>10</v>
      </c>
      <c r="K446" s="4" t="str" cm="1">
        <f t="array" ref="K446">_xlfn.IFS(J446&lt;=5,"0-5",J446&lt;=10,"6-10",J446&lt;=15,"11-15",J446&lt;=20,"16-20",J446&gt;20,"21+")</f>
        <v>6-10</v>
      </c>
      <c r="L446" t="s">
        <v>113</v>
      </c>
      <c r="M446" s="2" t="str">
        <f>SUBSTITUTE(L446,"$","")</f>
        <v>20</v>
      </c>
      <c r="N446" s="8">
        <f t="shared" si="83"/>
        <v>20</v>
      </c>
      <c r="P446" t="s">
        <v>66</v>
      </c>
      <c r="Q446" t="s">
        <v>2073</v>
      </c>
      <c r="R446" s="1">
        <v>0.92</v>
      </c>
      <c r="S446" s="3">
        <f>R446</f>
        <v>0.92</v>
      </c>
    </row>
    <row r="447" spans="1:19" x14ac:dyDescent="0.3">
      <c r="A447" t="s">
        <v>965</v>
      </c>
      <c r="B447" t="s">
        <v>966</v>
      </c>
      <c r="C447" t="str">
        <f t="shared" si="92"/>
        <v>Daniel Terry</v>
      </c>
      <c r="D447" t="s">
        <v>40</v>
      </c>
      <c r="E447" t="str">
        <f t="shared" si="82"/>
        <v>Male</v>
      </c>
      <c r="F447">
        <v>24</v>
      </c>
      <c r="G447" t="s">
        <v>131</v>
      </c>
      <c r="H447" t="s">
        <v>132</v>
      </c>
      <c r="I447" t="s">
        <v>81</v>
      </c>
      <c r="J447">
        <v>6</v>
      </c>
      <c r="K447" s="4" t="str" cm="1">
        <f t="array" ref="K447">_xlfn.IFS(J447&lt;=5,"0-5",J447&lt;=10,"6-10",J447&lt;=15,"11-15",J447&lt;=20,"16-20",J447&gt;20,"21+")</f>
        <v>6-10</v>
      </c>
      <c r="L447" t="s">
        <v>162</v>
      </c>
      <c r="M447" s="2" t="str">
        <f>SUBSTITUTE(L447,"$","")</f>
        <v>75</v>
      </c>
      <c r="N447" s="8">
        <f t="shared" si="83"/>
        <v>75</v>
      </c>
      <c r="O447">
        <v>4.3</v>
      </c>
      <c r="P447" t="s">
        <v>60</v>
      </c>
      <c r="Q447" t="s">
        <v>2073</v>
      </c>
    </row>
    <row r="448" spans="1:19" x14ac:dyDescent="0.3">
      <c r="A448" t="s">
        <v>967</v>
      </c>
      <c r="B448" t="s">
        <v>968</v>
      </c>
      <c r="C448" t="str">
        <f t="shared" si="92"/>
        <v>Steven Whitaker</v>
      </c>
      <c r="D448" t="s">
        <v>19</v>
      </c>
      <c r="E448" t="str">
        <f t="shared" si="82"/>
        <v>Male</v>
      </c>
      <c r="F448">
        <v>35</v>
      </c>
      <c r="G448" t="s">
        <v>59</v>
      </c>
      <c r="H448" t="s">
        <v>14</v>
      </c>
      <c r="I448" t="s">
        <v>36</v>
      </c>
      <c r="J448">
        <v>8</v>
      </c>
      <c r="K448" s="4" t="str" cm="1">
        <f t="array" ref="K448">_xlfn.IFS(J448&lt;=5,"0-5",J448&lt;=10,"6-10",J448&lt;=15,"11-15",J448&lt;=20,"16-20",J448&gt;20,"21+")</f>
        <v>6-10</v>
      </c>
      <c r="L448" t="s">
        <v>90</v>
      </c>
      <c r="M448" s="2" t="str">
        <f>TRIM(MID(L448,FIND(" ",L448)+1,LEN(L448)))</f>
        <v>50</v>
      </c>
      <c r="N448" s="8">
        <f t="shared" si="83"/>
        <v>50</v>
      </c>
      <c r="P448" t="s">
        <v>151</v>
      </c>
      <c r="Q448" t="s">
        <v>2072</v>
      </c>
      <c r="R448">
        <v>90</v>
      </c>
      <c r="S448" s="3">
        <f>R448/100</f>
        <v>0.9</v>
      </c>
    </row>
    <row r="449" spans="1:19" x14ac:dyDescent="0.3">
      <c r="A449" t="s">
        <v>969</v>
      </c>
      <c r="B449" t="s">
        <v>970</v>
      </c>
      <c r="C449" t="str">
        <f t="shared" si="92"/>
        <v>Denise Neal</v>
      </c>
      <c r="D449" t="s">
        <v>12</v>
      </c>
      <c r="E449" t="str">
        <f t="shared" si="82"/>
        <v>Female</v>
      </c>
      <c r="F449">
        <v>22</v>
      </c>
      <c r="G449" t="s">
        <v>13</v>
      </c>
      <c r="H449" t="s">
        <v>14</v>
      </c>
      <c r="I449" t="s">
        <v>15</v>
      </c>
      <c r="J449">
        <v>4</v>
      </c>
      <c r="K449" s="4" t="str" cm="1">
        <f t="array" ref="K449">_xlfn.IFS(J449&lt;=5,"0-5",J449&lt;=10,"6-10",J449&lt;=15,"11-15",J449&lt;=20,"16-20",J449&gt;20,"21+")</f>
        <v>0-5</v>
      </c>
      <c r="L449">
        <v>20</v>
      </c>
      <c r="M449" s="2">
        <f>L449</f>
        <v>20</v>
      </c>
      <c r="N449" s="8">
        <f t="shared" si="83"/>
        <v>20</v>
      </c>
      <c r="P449">
        <v>0</v>
      </c>
      <c r="Q449" t="s">
        <v>2072</v>
      </c>
      <c r="R449" s="1">
        <v>0.73</v>
      </c>
      <c r="S449" s="3">
        <f t="shared" ref="S449:S453" si="95">R449</f>
        <v>0.73</v>
      </c>
    </row>
    <row r="450" spans="1:19" x14ac:dyDescent="0.3">
      <c r="A450" t="s">
        <v>971</v>
      </c>
      <c r="B450" t="s">
        <v>972</v>
      </c>
      <c r="C450" t="str">
        <f t="shared" si="92"/>
        <v>Amanda Jacobs</v>
      </c>
      <c r="D450" t="s">
        <v>26</v>
      </c>
      <c r="E450" t="str">
        <f t="shared" ref="E450:E513" si="96">IF(LOWER(LEFT(D450,1))="f","Female","Male")</f>
        <v>Female</v>
      </c>
      <c r="F450">
        <v>55</v>
      </c>
      <c r="G450" t="s">
        <v>131</v>
      </c>
      <c r="H450" t="s">
        <v>132</v>
      </c>
      <c r="I450" t="s">
        <v>36</v>
      </c>
      <c r="J450">
        <v>3</v>
      </c>
      <c r="K450" s="4" t="str" cm="1">
        <f t="array" ref="K450">_xlfn.IFS(J450&lt;=5,"0-5",J450&lt;=10,"6-10",J450&lt;=15,"11-15",J450&lt;=20,"16-20",J450&gt;20,"21+")</f>
        <v>0-5</v>
      </c>
      <c r="L450">
        <v>100</v>
      </c>
      <c r="M450" s="2">
        <f>L450</f>
        <v>100</v>
      </c>
      <c r="N450" s="8">
        <f t="shared" si="83"/>
        <v>100</v>
      </c>
      <c r="P450">
        <v>1</v>
      </c>
      <c r="Q450" t="s">
        <v>2073</v>
      </c>
      <c r="R450" s="1">
        <v>0.73</v>
      </c>
      <c r="S450" s="3">
        <f t="shared" si="95"/>
        <v>0.73</v>
      </c>
    </row>
    <row r="451" spans="1:19" x14ac:dyDescent="0.3">
      <c r="A451" t="s">
        <v>973</v>
      </c>
      <c r="B451" t="s">
        <v>974</v>
      </c>
      <c r="C451" t="str">
        <f t="shared" si="92"/>
        <v>Karen Mercer</v>
      </c>
      <c r="D451" t="s">
        <v>31</v>
      </c>
      <c r="E451" t="str">
        <f t="shared" si="96"/>
        <v>Female</v>
      </c>
      <c r="F451">
        <v>54</v>
      </c>
      <c r="G451" t="s">
        <v>63</v>
      </c>
      <c r="H451" t="s">
        <v>64</v>
      </c>
      <c r="I451" t="s">
        <v>106</v>
      </c>
      <c r="K451" s="4" t="str" cm="1">
        <f t="array" ref="K451">_xlfn.IFS(J451&lt;=5,"0-5",J451&lt;=10,"6-10",J451&lt;=15,"11-15",J451&lt;=20,"16-20",J451&gt;20,"21+")</f>
        <v>0-5</v>
      </c>
      <c r="L451">
        <v>30</v>
      </c>
      <c r="M451" s="2">
        <f>L451</f>
        <v>30</v>
      </c>
      <c r="N451" s="8">
        <f t="shared" ref="N451:N514" si="97">IF(M451="", "", VALUE(M451))</f>
        <v>30</v>
      </c>
      <c r="O451">
        <v>2.9</v>
      </c>
      <c r="P451" t="b">
        <v>1</v>
      </c>
      <c r="Q451" t="s">
        <v>2073</v>
      </c>
      <c r="R451" s="1">
        <v>0.78</v>
      </c>
      <c r="S451" s="3">
        <f t="shared" si="95"/>
        <v>0.78</v>
      </c>
    </row>
    <row r="452" spans="1:19" x14ac:dyDescent="0.3">
      <c r="A452" t="s">
        <v>975</v>
      </c>
      <c r="B452" t="s">
        <v>976</v>
      </c>
      <c r="C452" t="str">
        <f t="shared" si="92"/>
        <v>Lindsay Hudson</v>
      </c>
      <c r="D452" t="s">
        <v>6</v>
      </c>
      <c r="E452" t="str">
        <f t="shared" si="96"/>
        <v>Female</v>
      </c>
      <c r="F452">
        <v>36</v>
      </c>
      <c r="G452" t="s">
        <v>34</v>
      </c>
      <c r="H452" t="s">
        <v>35</v>
      </c>
      <c r="I452" t="s">
        <v>70</v>
      </c>
      <c r="J452">
        <v>11</v>
      </c>
      <c r="K452" s="4" t="str" cm="1">
        <f t="array" ref="K452">_xlfn.IFS(J452&lt;=5,"0-5",J452&lt;=10,"6-10",J452&lt;=15,"11-15",J452&lt;=20,"16-20",J452&gt;20,"21+")</f>
        <v>11-15</v>
      </c>
      <c r="L452" t="s">
        <v>37</v>
      </c>
      <c r="M452" s="2" t="str">
        <f>SUBSTITUTE(L452,"$","")</f>
        <v>30</v>
      </c>
      <c r="N452" s="8">
        <f t="shared" si="97"/>
        <v>30</v>
      </c>
      <c r="O452">
        <v>0</v>
      </c>
      <c r="P452" t="b">
        <v>1</v>
      </c>
      <c r="Q452" t="s">
        <v>2073</v>
      </c>
      <c r="R452" s="1">
        <v>0.63</v>
      </c>
      <c r="S452" s="3">
        <f t="shared" si="95"/>
        <v>0.63</v>
      </c>
    </row>
    <row r="453" spans="1:19" x14ac:dyDescent="0.3">
      <c r="A453" t="s">
        <v>977</v>
      </c>
      <c r="B453" t="s">
        <v>978</v>
      </c>
      <c r="C453" t="str">
        <f t="shared" si="92"/>
        <v>Stephanie Armstrong</v>
      </c>
      <c r="D453" t="s">
        <v>31</v>
      </c>
      <c r="E453" t="str">
        <f t="shared" si="96"/>
        <v>Female</v>
      </c>
      <c r="F453">
        <v>36</v>
      </c>
      <c r="G453" t="s">
        <v>34</v>
      </c>
      <c r="H453" t="s">
        <v>35</v>
      </c>
      <c r="I453" t="s">
        <v>36</v>
      </c>
      <c r="J453">
        <v>17</v>
      </c>
      <c r="K453" s="4" t="str" cm="1">
        <f t="array" ref="K453">_xlfn.IFS(J453&lt;=5,"0-5",J453&lt;=10,"6-10",J453&lt;=15,"11-15",J453&lt;=20,"16-20",J453&gt;20,"21+")</f>
        <v>16-20</v>
      </c>
      <c r="L453">
        <v>50</v>
      </c>
      <c r="M453" s="2">
        <f>L453</f>
        <v>50</v>
      </c>
      <c r="N453" s="8">
        <f t="shared" si="97"/>
        <v>50</v>
      </c>
      <c r="O453">
        <v>1.3</v>
      </c>
      <c r="R453" s="1">
        <v>0.64</v>
      </c>
      <c r="S453" s="3">
        <f t="shared" si="95"/>
        <v>0.64</v>
      </c>
    </row>
    <row r="454" spans="1:19" x14ac:dyDescent="0.3">
      <c r="A454" t="s">
        <v>979</v>
      </c>
      <c r="B454" t="s">
        <v>980</v>
      </c>
      <c r="C454" t="str">
        <f>TRIM(MID(B454,FIND(" ",B454)+1,LEN(B454)))</f>
        <v>Jessica Campbell</v>
      </c>
      <c r="D454" t="s">
        <v>6</v>
      </c>
      <c r="E454" t="str">
        <f t="shared" si="96"/>
        <v>Female</v>
      </c>
      <c r="F454">
        <v>25</v>
      </c>
      <c r="G454" t="s">
        <v>63</v>
      </c>
      <c r="H454" t="s">
        <v>64</v>
      </c>
      <c r="I454" t="s">
        <v>27</v>
      </c>
      <c r="J454">
        <v>1</v>
      </c>
      <c r="K454" s="4" t="str" cm="1">
        <f t="array" ref="K454">_xlfn.IFS(J454&lt;=5,"0-5",J454&lt;=10,"6-10",J454&lt;=15,"11-15",J454&lt;=20,"16-20",J454&gt;20,"21+")</f>
        <v>0-5</v>
      </c>
      <c r="L454">
        <v>75</v>
      </c>
      <c r="M454" s="2">
        <f>L454</f>
        <v>75</v>
      </c>
      <c r="N454" s="8">
        <f t="shared" si="97"/>
        <v>75</v>
      </c>
      <c r="O454">
        <v>0</v>
      </c>
      <c r="P454">
        <v>1</v>
      </c>
      <c r="Q454" t="s">
        <v>2073</v>
      </c>
    </row>
    <row r="455" spans="1:19" x14ac:dyDescent="0.3">
      <c r="A455" t="s">
        <v>981</v>
      </c>
      <c r="B455" t="s">
        <v>982</v>
      </c>
      <c r="C455" t="str">
        <f t="shared" ref="C455:C462" si="98">B455</f>
        <v>Curtis Maxwell</v>
      </c>
      <c r="D455" t="s">
        <v>89</v>
      </c>
      <c r="E455" t="str">
        <f t="shared" si="96"/>
        <v>Male</v>
      </c>
      <c r="F455">
        <v>46</v>
      </c>
      <c r="G455" t="s">
        <v>41</v>
      </c>
      <c r="H455" t="s">
        <v>42</v>
      </c>
      <c r="I455" t="s">
        <v>36</v>
      </c>
      <c r="J455">
        <v>16</v>
      </c>
      <c r="K455" s="4" t="str" cm="1">
        <f t="array" ref="K455">_xlfn.IFS(J455&lt;=5,"0-5",J455&lt;=10,"6-10",J455&lt;=15,"11-15",J455&lt;=20,"16-20",J455&gt;20,"21+")</f>
        <v>16-20</v>
      </c>
      <c r="L455">
        <v>20</v>
      </c>
      <c r="M455" s="2">
        <f>L455</f>
        <v>20</v>
      </c>
      <c r="N455" s="8">
        <f t="shared" si="97"/>
        <v>20</v>
      </c>
      <c r="O455">
        <v>4.8</v>
      </c>
      <c r="P455">
        <v>1</v>
      </c>
      <c r="Q455" t="s">
        <v>2073</v>
      </c>
      <c r="R455" s="1">
        <v>0.86</v>
      </c>
      <c r="S455" s="3">
        <f>R455</f>
        <v>0.86</v>
      </c>
    </row>
    <row r="456" spans="1:19" x14ac:dyDescent="0.3">
      <c r="A456" t="s">
        <v>983</v>
      </c>
      <c r="B456" t="s">
        <v>984</v>
      </c>
      <c r="C456" t="str">
        <f t="shared" si="98"/>
        <v>Adam Kelly PhD</v>
      </c>
      <c r="D456" t="s">
        <v>84</v>
      </c>
      <c r="E456" t="str">
        <f t="shared" si="96"/>
        <v>Male</v>
      </c>
      <c r="F456">
        <v>41</v>
      </c>
      <c r="G456" t="s">
        <v>63</v>
      </c>
      <c r="H456" t="s">
        <v>64</v>
      </c>
      <c r="I456" t="s">
        <v>106</v>
      </c>
      <c r="J456">
        <v>11</v>
      </c>
      <c r="K456" s="4" t="str" cm="1">
        <f t="array" ref="K456">_xlfn.IFS(J456&lt;=5,"0-5",J456&lt;=10,"6-10",J456&lt;=15,"11-15",J456&lt;=20,"16-20",J456&gt;20,"21+")</f>
        <v>11-15</v>
      </c>
      <c r="L456" t="s">
        <v>28</v>
      </c>
      <c r="M456" s="2" t="str">
        <f>SUBSTITUTE(L456,"$","")</f>
        <v>40</v>
      </c>
      <c r="N456" s="8">
        <f t="shared" si="97"/>
        <v>40</v>
      </c>
      <c r="O456">
        <v>2.4</v>
      </c>
      <c r="P456" t="b">
        <v>0</v>
      </c>
      <c r="Q456" t="s">
        <v>2072</v>
      </c>
    </row>
    <row r="457" spans="1:19" x14ac:dyDescent="0.3">
      <c r="A457" t="s">
        <v>985</v>
      </c>
      <c r="B457" t="s">
        <v>986</v>
      </c>
      <c r="C457" t="str">
        <f t="shared" si="98"/>
        <v>Julie Becker</v>
      </c>
      <c r="D457" t="s">
        <v>12</v>
      </c>
      <c r="E457" t="str">
        <f t="shared" si="96"/>
        <v>Female</v>
      </c>
      <c r="F457">
        <v>21</v>
      </c>
      <c r="G457" t="s">
        <v>116</v>
      </c>
      <c r="H457" t="s">
        <v>117</v>
      </c>
      <c r="I457" t="s">
        <v>15</v>
      </c>
      <c r="J457">
        <v>3</v>
      </c>
      <c r="K457" s="4" t="str" cm="1">
        <f t="array" ref="K457">_xlfn.IFS(J457&lt;=5,"0-5",J457&lt;=10,"6-10",J457&lt;=15,"11-15",J457&lt;=20,"16-20",J457&gt;20,"21+")</f>
        <v>0-5</v>
      </c>
      <c r="L457" t="s">
        <v>221</v>
      </c>
      <c r="M457" s="2" t="str">
        <f>SUBSTITUTE(L457,"$","")</f>
        <v>100</v>
      </c>
      <c r="N457" s="8">
        <f t="shared" si="97"/>
        <v>100</v>
      </c>
      <c r="O457">
        <v>4.7</v>
      </c>
      <c r="P457" t="s">
        <v>23</v>
      </c>
      <c r="Q457" t="s">
        <v>2072</v>
      </c>
      <c r="R457" s="1">
        <v>0.96</v>
      </c>
      <c r="S457" s="3">
        <f>R457</f>
        <v>0.96</v>
      </c>
    </row>
    <row r="458" spans="1:19" x14ac:dyDescent="0.3">
      <c r="A458" t="s">
        <v>987</v>
      </c>
      <c r="B458" t="s">
        <v>988</v>
      </c>
      <c r="C458" t="str">
        <f t="shared" si="98"/>
        <v>James Moore</v>
      </c>
      <c r="D458" t="s">
        <v>89</v>
      </c>
      <c r="E458" t="str">
        <f t="shared" si="96"/>
        <v>Male</v>
      </c>
      <c r="F458">
        <v>29</v>
      </c>
      <c r="G458" t="s">
        <v>50</v>
      </c>
      <c r="H458" t="s">
        <v>14</v>
      </c>
      <c r="I458" t="s">
        <v>22</v>
      </c>
      <c r="K458" s="4" t="str" cm="1">
        <f t="array" ref="K458">_xlfn.IFS(J458&lt;=5,"0-5",J458&lt;=10,"6-10",J458&lt;=15,"11-15",J458&lt;=20,"16-20",J458&gt;20,"21+")</f>
        <v>0-5</v>
      </c>
      <c r="L458" t="s">
        <v>162</v>
      </c>
      <c r="M458" s="2" t="str">
        <f>SUBSTITUTE(L458,"$","")</f>
        <v>75</v>
      </c>
      <c r="N458" s="8">
        <f t="shared" si="97"/>
        <v>75</v>
      </c>
      <c r="O458">
        <v>2</v>
      </c>
      <c r="P458">
        <v>0</v>
      </c>
      <c r="Q458" t="s">
        <v>2072</v>
      </c>
    </row>
    <row r="459" spans="1:19" x14ac:dyDescent="0.3">
      <c r="A459" t="s">
        <v>989</v>
      </c>
      <c r="B459" t="s">
        <v>990</v>
      </c>
      <c r="C459" t="str">
        <f t="shared" si="98"/>
        <v>Danielle Barrera</v>
      </c>
      <c r="D459" t="s">
        <v>26</v>
      </c>
      <c r="E459" t="str">
        <f t="shared" si="96"/>
        <v>Female</v>
      </c>
      <c r="F459">
        <v>44</v>
      </c>
      <c r="G459" t="s">
        <v>50</v>
      </c>
      <c r="H459" t="s">
        <v>14</v>
      </c>
      <c r="I459" t="s">
        <v>15</v>
      </c>
      <c r="J459">
        <v>3</v>
      </c>
      <c r="K459" s="4" t="str" cm="1">
        <f t="array" ref="K459">_xlfn.IFS(J459&lt;=5,"0-5",J459&lt;=10,"6-10",J459&lt;=15,"11-15",J459&lt;=20,"16-20",J459&gt;20,"21+")</f>
        <v>0-5</v>
      </c>
      <c r="L459" t="s">
        <v>56</v>
      </c>
      <c r="M459" s="2" t="str">
        <f>SUBSTITUTE(L459,"$","")</f>
        <v>50</v>
      </c>
      <c r="N459" s="8">
        <f t="shared" si="97"/>
        <v>50</v>
      </c>
      <c r="O459">
        <v>2.2000000000000002</v>
      </c>
      <c r="P459">
        <v>0</v>
      </c>
      <c r="Q459" t="s">
        <v>2072</v>
      </c>
      <c r="R459" s="1">
        <v>0.77</v>
      </c>
      <c r="S459" s="3">
        <f>R459</f>
        <v>0.77</v>
      </c>
    </row>
    <row r="460" spans="1:19" x14ac:dyDescent="0.3">
      <c r="A460" t="s">
        <v>991</v>
      </c>
      <c r="B460" t="s">
        <v>992</v>
      </c>
      <c r="C460" t="str">
        <f t="shared" si="98"/>
        <v>David Sanchez</v>
      </c>
      <c r="D460" t="s">
        <v>89</v>
      </c>
      <c r="E460" t="str">
        <f t="shared" si="96"/>
        <v>Male</v>
      </c>
      <c r="F460">
        <v>40</v>
      </c>
      <c r="G460" t="s">
        <v>120</v>
      </c>
      <c r="H460" t="s">
        <v>14</v>
      </c>
      <c r="I460" t="s">
        <v>106</v>
      </c>
      <c r="J460">
        <v>1</v>
      </c>
      <c r="K460" s="4" t="str" cm="1">
        <f t="array" ref="K460">_xlfn.IFS(J460&lt;=5,"0-5",J460&lt;=10,"6-10",J460&lt;=15,"11-15",J460&lt;=20,"16-20",J460&gt;20,"21+")</f>
        <v>0-5</v>
      </c>
      <c r="L460">
        <v>100</v>
      </c>
      <c r="M460" s="2">
        <f>L460</f>
        <v>100</v>
      </c>
      <c r="N460" s="8">
        <f t="shared" si="97"/>
        <v>100</v>
      </c>
      <c r="O460">
        <v>2.1</v>
      </c>
      <c r="P460">
        <v>1</v>
      </c>
      <c r="Q460" t="s">
        <v>2073</v>
      </c>
    </row>
    <row r="461" spans="1:19" x14ac:dyDescent="0.3">
      <c r="A461" t="s">
        <v>993</v>
      </c>
      <c r="B461" t="s">
        <v>994</v>
      </c>
      <c r="C461" t="str">
        <f t="shared" si="98"/>
        <v>Tiffany Bowman</v>
      </c>
      <c r="D461" t="s">
        <v>31</v>
      </c>
      <c r="E461" t="str">
        <f t="shared" si="96"/>
        <v>Female</v>
      </c>
      <c r="F461">
        <v>27</v>
      </c>
      <c r="G461" t="s">
        <v>131</v>
      </c>
      <c r="H461" t="s">
        <v>132</v>
      </c>
      <c r="I461" t="s">
        <v>43</v>
      </c>
      <c r="J461">
        <v>1</v>
      </c>
      <c r="K461" s="4" t="str" cm="1">
        <f t="array" ref="K461">_xlfn.IFS(J461&lt;=5,"0-5",J461&lt;=10,"6-10",J461&lt;=15,"11-15",J461&lt;=20,"16-20",J461&gt;20,"21+")</f>
        <v>0-5</v>
      </c>
      <c r="L461">
        <v>30</v>
      </c>
      <c r="M461" s="2">
        <f>L461</f>
        <v>30</v>
      </c>
      <c r="N461" s="8">
        <f t="shared" si="97"/>
        <v>30</v>
      </c>
      <c r="O461">
        <v>1.7</v>
      </c>
      <c r="P461" t="b">
        <v>0</v>
      </c>
      <c r="Q461" t="s">
        <v>2072</v>
      </c>
      <c r="R461" s="1">
        <v>0.65</v>
      </c>
      <c r="S461" s="3">
        <f t="shared" ref="S461:S465" si="99">R461</f>
        <v>0.65</v>
      </c>
    </row>
    <row r="462" spans="1:19" x14ac:dyDescent="0.3">
      <c r="A462" t="s">
        <v>995</v>
      </c>
      <c r="B462" t="s">
        <v>996</v>
      </c>
      <c r="C462" t="str">
        <f t="shared" si="98"/>
        <v>Jesus Quinn</v>
      </c>
      <c r="D462" t="s">
        <v>53</v>
      </c>
      <c r="E462" t="str">
        <f t="shared" si="96"/>
        <v>Male</v>
      </c>
      <c r="F462">
        <v>53</v>
      </c>
      <c r="G462" t="s">
        <v>127</v>
      </c>
      <c r="H462" t="s">
        <v>128</v>
      </c>
      <c r="I462" t="s">
        <v>15</v>
      </c>
      <c r="J462">
        <v>35</v>
      </c>
      <c r="K462" s="4" t="str" cm="1">
        <f t="array" ref="K462">_xlfn.IFS(J462&lt;=5,"0-5",J462&lt;=10,"6-10",J462&lt;=15,"11-15",J462&lt;=20,"16-20",J462&gt;20,"21+")</f>
        <v>21+</v>
      </c>
      <c r="N462" s="8" t="str">
        <f t="shared" si="97"/>
        <v/>
      </c>
      <c r="O462">
        <v>5</v>
      </c>
      <c r="P462">
        <v>1</v>
      </c>
      <c r="Q462" t="s">
        <v>2073</v>
      </c>
      <c r="R462" s="1">
        <v>0.62</v>
      </c>
      <c r="S462" s="3">
        <f t="shared" si="99"/>
        <v>0.62</v>
      </c>
    </row>
    <row r="463" spans="1:19" x14ac:dyDescent="0.3">
      <c r="A463" t="s">
        <v>997</v>
      </c>
      <c r="B463" t="s">
        <v>998</v>
      </c>
      <c r="C463" t="str">
        <f>TRIM(MID(B463,FIND(" ",B463)+1,LEN(B463)))</f>
        <v>Danny Morris DDS</v>
      </c>
      <c r="D463" t="s">
        <v>19</v>
      </c>
      <c r="E463" t="str">
        <f t="shared" si="96"/>
        <v>Male</v>
      </c>
      <c r="F463">
        <v>20</v>
      </c>
      <c r="G463" t="s">
        <v>54</v>
      </c>
      <c r="H463" t="s">
        <v>55</v>
      </c>
      <c r="I463" t="s">
        <v>43</v>
      </c>
      <c r="J463">
        <v>1</v>
      </c>
      <c r="K463" s="4" t="str" cm="1">
        <f t="array" ref="K463">_xlfn.IFS(J463&lt;=5,"0-5",J463&lt;=10,"6-10",J463&lt;=15,"11-15",J463&lt;=20,"16-20",J463&gt;20,"21+")</f>
        <v>0-5</v>
      </c>
      <c r="L463">
        <v>50</v>
      </c>
      <c r="M463" s="2">
        <f>L463</f>
        <v>50</v>
      </c>
      <c r="N463" s="8">
        <f t="shared" si="97"/>
        <v>50</v>
      </c>
      <c r="O463">
        <v>2.9</v>
      </c>
      <c r="P463" t="s">
        <v>151</v>
      </c>
      <c r="Q463" t="s">
        <v>2072</v>
      </c>
      <c r="R463" s="1">
        <v>0.81</v>
      </c>
      <c r="S463" s="3">
        <f t="shared" si="99"/>
        <v>0.81</v>
      </c>
    </row>
    <row r="464" spans="1:19" x14ac:dyDescent="0.3">
      <c r="A464" t="s">
        <v>999</v>
      </c>
      <c r="B464" t="s">
        <v>1000</v>
      </c>
      <c r="C464" t="str">
        <f t="shared" ref="C464:C527" si="100">B464</f>
        <v>Nicole York</v>
      </c>
      <c r="D464" t="s">
        <v>31</v>
      </c>
      <c r="E464" t="str">
        <f t="shared" si="96"/>
        <v>Female</v>
      </c>
      <c r="G464" t="s">
        <v>77</v>
      </c>
      <c r="H464" t="s">
        <v>78</v>
      </c>
      <c r="I464" t="s">
        <v>81</v>
      </c>
      <c r="J464">
        <v>12</v>
      </c>
      <c r="K464" s="4" t="str" cm="1">
        <f t="array" ref="K464">_xlfn.IFS(J464&lt;=5,"0-5",J464&lt;=10,"6-10",J464&lt;=15,"11-15",J464&lt;=20,"16-20",J464&gt;20,"21+")</f>
        <v>11-15</v>
      </c>
      <c r="L464" t="s">
        <v>56</v>
      </c>
      <c r="M464" s="2" t="str">
        <f>SUBSTITUTE(L464,"$","")</f>
        <v>50</v>
      </c>
      <c r="N464" s="8">
        <f t="shared" si="97"/>
        <v>50</v>
      </c>
      <c r="O464">
        <v>4.0999999999999996</v>
      </c>
      <c r="P464" t="s">
        <v>66</v>
      </c>
      <c r="Q464" t="s">
        <v>2073</v>
      </c>
      <c r="R464" s="1">
        <v>0.62</v>
      </c>
      <c r="S464" s="3">
        <f t="shared" si="99"/>
        <v>0.62</v>
      </c>
    </row>
    <row r="465" spans="1:19" x14ac:dyDescent="0.3">
      <c r="A465" t="s">
        <v>1001</v>
      </c>
      <c r="B465" t="s">
        <v>1002</v>
      </c>
      <c r="C465" t="str">
        <f t="shared" si="100"/>
        <v>John Mathis</v>
      </c>
      <c r="D465" t="s">
        <v>19</v>
      </c>
      <c r="E465" t="str">
        <f t="shared" si="96"/>
        <v>Male</v>
      </c>
      <c r="F465">
        <v>26</v>
      </c>
      <c r="G465" t="s">
        <v>171</v>
      </c>
      <c r="H465" t="s">
        <v>64</v>
      </c>
      <c r="I465" t="s">
        <v>27</v>
      </c>
      <c r="J465">
        <v>8</v>
      </c>
      <c r="K465" s="4" t="str" cm="1">
        <f t="array" ref="K465">_xlfn.IFS(J465&lt;=5,"0-5",J465&lt;=10,"6-10",J465&lt;=15,"11-15",J465&lt;=20,"16-20",J465&gt;20,"21+")</f>
        <v>6-10</v>
      </c>
      <c r="L465">
        <v>40</v>
      </c>
      <c r="M465" s="2">
        <f>L465</f>
        <v>40</v>
      </c>
      <c r="N465" s="8">
        <f t="shared" si="97"/>
        <v>40</v>
      </c>
      <c r="O465">
        <v>4.9000000000000004</v>
      </c>
      <c r="P465" t="s">
        <v>23</v>
      </c>
      <c r="Q465" t="s">
        <v>2072</v>
      </c>
      <c r="R465" s="1">
        <v>0.87</v>
      </c>
      <c r="S465" s="3">
        <f t="shared" si="99"/>
        <v>0.87</v>
      </c>
    </row>
    <row r="466" spans="1:19" x14ac:dyDescent="0.3">
      <c r="A466" t="s">
        <v>1003</v>
      </c>
      <c r="B466" t="s">
        <v>1004</v>
      </c>
      <c r="C466" t="str">
        <f t="shared" si="100"/>
        <v>Julie Barnett</v>
      </c>
      <c r="D466" t="s">
        <v>31</v>
      </c>
      <c r="E466" t="str">
        <f t="shared" si="96"/>
        <v>Female</v>
      </c>
      <c r="F466">
        <v>49</v>
      </c>
      <c r="G466" t="s">
        <v>99</v>
      </c>
      <c r="H466" t="s">
        <v>100</v>
      </c>
      <c r="I466" t="s">
        <v>106</v>
      </c>
      <c r="J466">
        <v>13</v>
      </c>
      <c r="K466" s="4" t="str" cm="1">
        <f t="array" ref="K466">_xlfn.IFS(J466&lt;=5,"0-5",J466&lt;=10,"6-10",J466&lt;=15,"11-15",J466&lt;=20,"16-20",J466&gt;20,"21+")</f>
        <v>11-15</v>
      </c>
      <c r="L466" t="s">
        <v>221</v>
      </c>
      <c r="M466" s="2" t="str">
        <f>SUBSTITUTE(L466,"$","")</f>
        <v>100</v>
      </c>
      <c r="N466" s="8">
        <f t="shared" si="97"/>
        <v>100</v>
      </c>
      <c r="O466">
        <v>2.5</v>
      </c>
      <c r="P466" t="b">
        <v>0</v>
      </c>
      <c r="Q466" t="s">
        <v>2072</v>
      </c>
    </row>
    <row r="467" spans="1:19" x14ac:dyDescent="0.3">
      <c r="A467" t="s">
        <v>1005</v>
      </c>
      <c r="B467" t="s">
        <v>1006</v>
      </c>
      <c r="C467" t="str">
        <f t="shared" si="100"/>
        <v>Jasmine Harris</v>
      </c>
      <c r="D467" t="s">
        <v>26</v>
      </c>
      <c r="E467" t="str">
        <f t="shared" si="96"/>
        <v>Female</v>
      </c>
      <c r="F467">
        <v>20</v>
      </c>
      <c r="G467" t="s">
        <v>131</v>
      </c>
      <c r="H467" t="s">
        <v>132</v>
      </c>
      <c r="I467" t="s">
        <v>43</v>
      </c>
      <c r="J467">
        <v>0</v>
      </c>
      <c r="K467" s="4" t="str" cm="1">
        <f t="array" ref="K467">_xlfn.IFS(J467&lt;=5,"0-5",J467&lt;=10,"6-10",J467&lt;=15,"11-15",J467&lt;=20,"16-20",J467&gt;20,"21+")</f>
        <v>0-5</v>
      </c>
      <c r="L467" t="s">
        <v>101</v>
      </c>
      <c r="M467" s="2" t="str">
        <f>TRIM(MID(L467,FIND(" ",L467)+1,LEN(L467)))</f>
        <v>30</v>
      </c>
      <c r="N467" s="8">
        <f t="shared" si="97"/>
        <v>30</v>
      </c>
      <c r="O467">
        <v>0</v>
      </c>
      <c r="P467">
        <v>1</v>
      </c>
      <c r="Q467" t="s">
        <v>2073</v>
      </c>
      <c r="R467">
        <v>76</v>
      </c>
      <c r="S467" s="3">
        <f t="shared" ref="S467:S468" si="101">R467/100</f>
        <v>0.76</v>
      </c>
    </row>
    <row r="468" spans="1:19" x14ac:dyDescent="0.3">
      <c r="A468" t="s">
        <v>1007</v>
      </c>
      <c r="B468" t="s">
        <v>1008</v>
      </c>
      <c r="C468" t="str">
        <f t="shared" si="100"/>
        <v>Mary Henry</v>
      </c>
      <c r="D468" t="s">
        <v>31</v>
      </c>
      <c r="E468" t="str">
        <f t="shared" si="96"/>
        <v>Female</v>
      </c>
      <c r="F468">
        <v>39</v>
      </c>
      <c r="G468" t="s">
        <v>167</v>
      </c>
      <c r="H468" t="s">
        <v>168</v>
      </c>
      <c r="I468" t="s">
        <v>9</v>
      </c>
      <c r="J468">
        <v>11</v>
      </c>
      <c r="K468" s="4" t="str" cm="1">
        <f t="array" ref="K468">_xlfn.IFS(J468&lt;=5,"0-5",J468&lt;=10,"6-10",J468&lt;=15,"11-15",J468&lt;=20,"16-20",J468&gt;20,"21+")</f>
        <v>11-15</v>
      </c>
      <c r="L468">
        <v>100</v>
      </c>
      <c r="M468" s="2">
        <f>L468</f>
        <v>100</v>
      </c>
      <c r="N468" s="8">
        <f t="shared" si="97"/>
        <v>100</v>
      </c>
      <c r="O468">
        <v>2.8</v>
      </c>
      <c r="R468">
        <v>70</v>
      </c>
      <c r="S468" s="3">
        <f t="shared" si="101"/>
        <v>0.7</v>
      </c>
    </row>
    <row r="469" spans="1:19" x14ac:dyDescent="0.3">
      <c r="A469" t="s">
        <v>1009</v>
      </c>
      <c r="B469" t="s">
        <v>1010</v>
      </c>
      <c r="C469" t="str">
        <f t="shared" si="100"/>
        <v>Judith Riggs</v>
      </c>
      <c r="D469" t="s">
        <v>26</v>
      </c>
      <c r="E469" t="str">
        <f t="shared" si="96"/>
        <v>Female</v>
      </c>
      <c r="F469">
        <v>41</v>
      </c>
      <c r="G469" t="s">
        <v>167</v>
      </c>
      <c r="H469" t="s">
        <v>168</v>
      </c>
      <c r="I469" t="s">
        <v>106</v>
      </c>
      <c r="J469">
        <v>19</v>
      </c>
      <c r="K469" s="4" t="str" cm="1">
        <f t="array" ref="K469">_xlfn.IFS(J469&lt;=5,"0-5",J469&lt;=10,"6-10",J469&lt;=15,"11-15",J469&lt;=20,"16-20",J469&gt;20,"21+")</f>
        <v>16-20</v>
      </c>
      <c r="L469">
        <v>100</v>
      </c>
      <c r="M469" s="2">
        <f>L469</f>
        <v>100</v>
      </c>
      <c r="N469" s="8">
        <f t="shared" si="97"/>
        <v>100</v>
      </c>
      <c r="O469">
        <v>3.8</v>
      </c>
      <c r="P469" t="s">
        <v>60</v>
      </c>
      <c r="Q469" t="s">
        <v>2073</v>
      </c>
      <c r="R469" s="1">
        <v>0.71</v>
      </c>
      <c r="S469" s="3">
        <f t="shared" ref="S469:S470" si="102">R469</f>
        <v>0.71</v>
      </c>
    </row>
    <row r="470" spans="1:19" x14ac:dyDescent="0.3">
      <c r="A470" t="s">
        <v>1011</v>
      </c>
      <c r="B470" t="s">
        <v>1012</v>
      </c>
      <c r="C470" t="str">
        <f t="shared" si="100"/>
        <v>Justin Ruiz</v>
      </c>
      <c r="D470" t="s">
        <v>89</v>
      </c>
      <c r="E470" t="str">
        <f t="shared" si="96"/>
        <v>Male</v>
      </c>
      <c r="F470">
        <v>59</v>
      </c>
      <c r="G470" t="s">
        <v>120</v>
      </c>
      <c r="H470" t="s">
        <v>14</v>
      </c>
      <c r="I470" t="s">
        <v>15</v>
      </c>
      <c r="J470">
        <v>30</v>
      </c>
      <c r="K470" s="4" t="str" cm="1">
        <f t="array" ref="K470">_xlfn.IFS(J470&lt;=5,"0-5",J470&lt;=10,"6-10",J470&lt;=15,"11-15",J470&lt;=20,"16-20",J470&gt;20,"21+")</f>
        <v>21+</v>
      </c>
      <c r="L470" t="s">
        <v>101</v>
      </c>
      <c r="M470" s="2" t="str">
        <f>TRIM(MID(L470,FIND(" ",L470)+1,LEN(L470)))</f>
        <v>30</v>
      </c>
      <c r="N470" s="8">
        <f t="shared" si="97"/>
        <v>30</v>
      </c>
      <c r="O470">
        <v>4.3</v>
      </c>
      <c r="P470">
        <v>1</v>
      </c>
      <c r="Q470" t="s">
        <v>2073</v>
      </c>
      <c r="R470" s="1">
        <v>0.83</v>
      </c>
      <c r="S470" s="3">
        <f t="shared" si="102"/>
        <v>0.83</v>
      </c>
    </row>
    <row r="471" spans="1:19" x14ac:dyDescent="0.3">
      <c r="A471" t="s">
        <v>1013</v>
      </c>
      <c r="B471" t="s">
        <v>1014</v>
      </c>
      <c r="C471" t="str">
        <f t="shared" si="100"/>
        <v>Jennifer Sullivan</v>
      </c>
      <c r="D471" t="s">
        <v>69</v>
      </c>
      <c r="E471" t="str">
        <f t="shared" si="96"/>
        <v>Female</v>
      </c>
      <c r="F471">
        <v>45</v>
      </c>
      <c r="G471" t="s">
        <v>13</v>
      </c>
      <c r="H471" t="s">
        <v>14</v>
      </c>
      <c r="I471" t="s">
        <v>9</v>
      </c>
      <c r="J471">
        <v>8</v>
      </c>
      <c r="K471" s="4" t="str" cm="1">
        <f t="array" ref="K471">_xlfn.IFS(J471&lt;=5,"0-5",J471&lt;=10,"6-10",J471&lt;=15,"11-15",J471&lt;=20,"16-20",J471&gt;20,"21+")</f>
        <v>6-10</v>
      </c>
      <c r="L471">
        <v>40</v>
      </c>
      <c r="M471" s="2">
        <f>L471</f>
        <v>40</v>
      </c>
      <c r="N471" s="8">
        <f t="shared" si="97"/>
        <v>40</v>
      </c>
      <c r="O471">
        <v>0</v>
      </c>
      <c r="P471">
        <v>0</v>
      </c>
      <c r="Q471" t="s">
        <v>2072</v>
      </c>
      <c r="R471">
        <v>78</v>
      </c>
      <c r="S471" s="3">
        <f>R471/100</f>
        <v>0.78</v>
      </c>
    </row>
    <row r="472" spans="1:19" x14ac:dyDescent="0.3">
      <c r="A472" t="s">
        <v>1015</v>
      </c>
      <c r="B472" t="s">
        <v>1016</v>
      </c>
      <c r="C472" t="str">
        <f t="shared" si="100"/>
        <v>Jesse Moran</v>
      </c>
      <c r="D472" t="s">
        <v>53</v>
      </c>
      <c r="E472" t="str">
        <f t="shared" si="96"/>
        <v>Male</v>
      </c>
      <c r="F472">
        <v>22</v>
      </c>
      <c r="G472" t="s">
        <v>41</v>
      </c>
      <c r="H472" t="s">
        <v>42</v>
      </c>
      <c r="I472" t="s">
        <v>70</v>
      </c>
      <c r="J472">
        <v>0</v>
      </c>
      <c r="K472" s="4" t="str" cm="1">
        <f t="array" ref="K472">_xlfn.IFS(J472&lt;=5,"0-5",J472&lt;=10,"6-10",J472&lt;=15,"11-15",J472&lt;=20,"16-20",J472&gt;20,"21+")</f>
        <v>0-5</v>
      </c>
      <c r="L472">
        <v>40</v>
      </c>
      <c r="M472" s="2">
        <f>L472</f>
        <v>40</v>
      </c>
      <c r="N472" s="8">
        <f t="shared" si="97"/>
        <v>40</v>
      </c>
      <c r="O472">
        <v>1.3</v>
      </c>
      <c r="P472">
        <v>1</v>
      </c>
      <c r="Q472" t="s">
        <v>2073</v>
      </c>
      <c r="R472" s="1">
        <v>0.78</v>
      </c>
      <c r="S472" s="3">
        <f t="shared" ref="S472:S473" si="103">R472</f>
        <v>0.78</v>
      </c>
    </row>
    <row r="473" spans="1:19" x14ac:dyDescent="0.3">
      <c r="A473" t="s">
        <v>1017</v>
      </c>
      <c r="B473" t="s">
        <v>1018</v>
      </c>
      <c r="C473" t="str">
        <f t="shared" si="100"/>
        <v>Monica Smith</v>
      </c>
      <c r="D473" t="s">
        <v>6</v>
      </c>
      <c r="E473" t="str">
        <f t="shared" si="96"/>
        <v>Female</v>
      </c>
      <c r="F473">
        <v>48</v>
      </c>
      <c r="G473" t="s">
        <v>85</v>
      </c>
      <c r="H473" t="s">
        <v>86</v>
      </c>
      <c r="I473" t="s">
        <v>15</v>
      </c>
      <c r="J473">
        <v>7</v>
      </c>
      <c r="K473" s="4" t="str" cm="1">
        <f t="array" ref="K473">_xlfn.IFS(J473&lt;=5,"0-5",J473&lt;=10,"6-10",J473&lt;=15,"11-15",J473&lt;=20,"16-20",J473&gt;20,"21+")</f>
        <v>6-10</v>
      </c>
      <c r="L473">
        <v>50</v>
      </c>
      <c r="M473" s="2">
        <f>L473</f>
        <v>50</v>
      </c>
      <c r="N473" s="8">
        <f t="shared" si="97"/>
        <v>50</v>
      </c>
      <c r="O473">
        <v>4.7</v>
      </c>
      <c r="P473" t="s">
        <v>66</v>
      </c>
      <c r="Q473" t="s">
        <v>2073</v>
      </c>
      <c r="R473" s="1">
        <v>0.6</v>
      </c>
      <c r="S473" s="3">
        <f t="shared" si="103"/>
        <v>0.6</v>
      </c>
    </row>
    <row r="474" spans="1:19" x14ac:dyDescent="0.3">
      <c r="A474" t="s">
        <v>1019</v>
      </c>
      <c r="B474" t="s">
        <v>1020</v>
      </c>
      <c r="C474" t="str">
        <f t="shared" si="100"/>
        <v>Ian May</v>
      </c>
      <c r="D474" t="s">
        <v>53</v>
      </c>
      <c r="E474" t="str">
        <f t="shared" si="96"/>
        <v>Male</v>
      </c>
      <c r="F474">
        <v>36</v>
      </c>
      <c r="G474" t="s">
        <v>127</v>
      </c>
      <c r="H474" t="s">
        <v>128</v>
      </c>
      <c r="I474" t="s">
        <v>9</v>
      </c>
      <c r="J474">
        <v>11</v>
      </c>
      <c r="K474" s="4" t="str" cm="1">
        <f t="array" ref="K474">_xlfn.IFS(J474&lt;=5,"0-5",J474&lt;=10,"6-10",J474&lt;=15,"11-15",J474&lt;=20,"16-20",J474&gt;20,"21+")</f>
        <v>11-15</v>
      </c>
      <c r="L474" t="s">
        <v>28</v>
      </c>
      <c r="M474" s="2" t="str">
        <f>SUBSTITUTE(L474,"$","")</f>
        <v>40</v>
      </c>
      <c r="N474" s="8">
        <f t="shared" si="97"/>
        <v>40</v>
      </c>
      <c r="O474">
        <v>1.3</v>
      </c>
      <c r="P474" t="b">
        <v>1</v>
      </c>
      <c r="Q474" t="s">
        <v>2073</v>
      </c>
    </row>
    <row r="475" spans="1:19" x14ac:dyDescent="0.3">
      <c r="A475" t="s">
        <v>1021</v>
      </c>
      <c r="B475" t="s">
        <v>1022</v>
      </c>
      <c r="C475" t="str">
        <f t="shared" si="100"/>
        <v>Kayla Meyers</v>
      </c>
      <c r="D475" t="s">
        <v>12</v>
      </c>
      <c r="E475" t="str">
        <f t="shared" si="96"/>
        <v>Female</v>
      </c>
      <c r="F475">
        <v>57</v>
      </c>
      <c r="G475" t="s">
        <v>167</v>
      </c>
      <c r="H475" t="s">
        <v>168</v>
      </c>
      <c r="I475" t="s">
        <v>9</v>
      </c>
      <c r="K475" s="4" t="str" cm="1">
        <f t="array" ref="K475">_xlfn.IFS(J475&lt;=5,"0-5",J475&lt;=10,"6-10",J475&lt;=15,"11-15",J475&lt;=20,"16-20",J475&gt;20,"21+")</f>
        <v>0-5</v>
      </c>
      <c r="L475">
        <v>75</v>
      </c>
      <c r="M475" s="2">
        <f>L475</f>
        <v>75</v>
      </c>
      <c r="N475" s="8">
        <f t="shared" si="97"/>
        <v>75</v>
      </c>
      <c r="O475">
        <v>4.8</v>
      </c>
      <c r="P475">
        <v>1</v>
      </c>
      <c r="Q475" t="s">
        <v>2073</v>
      </c>
    </row>
    <row r="476" spans="1:19" x14ac:dyDescent="0.3">
      <c r="A476" t="s">
        <v>1023</v>
      </c>
      <c r="B476" t="s">
        <v>1024</v>
      </c>
      <c r="C476" t="str">
        <f t="shared" si="100"/>
        <v>John Bray</v>
      </c>
      <c r="D476" t="s">
        <v>53</v>
      </c>
      <c r="E476" t="str">
        <f t="shared" si="96"/>
        <v>Male</v>
      </c>
      <c r="F476">
        <v>42</v>
      </c>
      <c r="G476" t="s">
        <v>50</v>
      </c>
      <c r="H476" t="s">
        <v>14</v>
      </c>
      <c r="I476" t="s">
        <v>65</v>
      </c>
      <c r="J476">
        <v>14</v>
      </c>
      <c r="K476" s="4" t="str" cm="1">
        <f t="array" ref="K476">_xlfn.IFS(J476&lt;=5,"0-5",J476&lt;=10,"6-10",J476&lt;=15,"11-15",J476&lt;=20,"16-20",J476&gt;20,"21+")</f>
        <v>11-15</v>
      </c>
      <c r="L476" t="s">
        <v>37</v>
      </c>
      <c r="M476" s="2" t="str">
        <f>SUBSTITUTE(L476,"$","")</f>
        <v>30</v>
      </c>
      <c r="N476" s="8">
        <f t="shared" si="97"/>
        <v>30</v>
      </c>
      <c r="O476">
        <v>1.3</v>
      </c>
      <c r="P476">
        <v>0</v>
      </c>
      <c r="Q476" t="s">
        <v>2072</v>
      </c>
      <c r="R476" s="1">
        <v>0.94</v>
      </c>
      <c r="S476" s="3">
        <f>R476</f>
        <v>0.94</v>
      </c>
    </row>
    <row r="477" spans="1:19" x14ac:dyDescent="0.3">
      <c r="A477" t="s">
        <v>1025</v>
      </c>
      <c r="B477" t="s">
        <v>1026</v>
      </c>
      <c r="C477" t="str">
        <f t="shared" si="100"/>
        <v>James Smith</v>
      </c>
      <c r="D477" t="s">
        <v>40</v>
      </c>
      <c r="E477" t="str">
        <f t="shared" si="96"/>
        <v>Male</v>
      </c>
      <c r="F477">
        <v>31</v>
      </c>
      <c r="G477" t="s">
        <v>41</v>
      </c>
      <c r="H477" t="s">
        <v>42</v>
      </c>
      <c r="I477" t="s">
        <v>70</v>
      </c>
      <c r="J477">
        <v>11</v>
      </c>
      <c r="K477" s="4" t="str" cm="1">
        <f t="array" ref="K477">_xlfn.IFS(J477&lt;=5,"0-5",J477&lt;=10,"6-10",J477&lt;=15,"11-15",J477&lt;=20,"16-20",J477&gt;20,"21+")</f>
        <v>11-15</v>
      </c>
      <c r="L477" t="s">
        <v>56</v>
      </c>
      <c r="M477" s="2" t="str">
        <f>SUBSTITUTE(L477,"$","")</f>
        <v>50</v>
      </c>
      <c r="N477" s="8">
        <f t="shared" si="97"/>
        <v>50</v>
      </c>
      <c r="O477">
        <v>4.3</v>
      </c>
      <c r="P477">
        <v>0</v>
      </c>
      <c r="Q477" t="s">
        <v>2072</v>
      </c>
      <c r="R477">
        <v>62</v>
      </c>
      <c r="S477" s="3">
        <f>R477/100</f>
        <v>0.62</v>
      </c>
    </row>
    <row r="478" spans="1:19" x14ac:dyDescent="0.3">
      <c r="A478" t="s">
        <v>1027</v>
      </c>
      <c r="B478" t="s">
        <v>1028</v>
      </c>
      <c r="C478" t="str">
        <f t="shared" si="100"/>
        <v>Mark Duncan</v>
      </c>
      <c r="D478" t="s">
        <v>84</v>
      </c>
      <c r="E478" t="str">
        <f t="shared" si="96"/>
        <v>Male</v>
      </c>
      <c r="F478">
        <v>52</v>
      </c>
      <c r="G478" t="s">
        <v>182</v>
      </c>
      <c r="H478" t="s">
        <v>64</v>
      </c>
      <c r="I478" t="s">
        <v>70</v>
      </c>
      <c r="J478">
        <v>31</v>
      </c>
      <c r="K478" s="4" t="str" cm="1">
        <f t="array" ref="K478">_xlfn.IFS(J478&lt;=5,"0-5",J478&lt;=10,"6-10",J478&lt;=15,"11-15",J478&lt;=20,"16-20",J478&gt;20,"21+")</f>
        <v>21+</v>
      </c>
      <c r="L478">
        <v>30</v>
      </c>
      <c r="M478" s="2">
        <f>L478</f>
        <v>30</v>
      </c>
      <c r="N478" s="8">
        <f t="shared" si="97"/>
        <v>30</v>
      </c>
      <c r="P478">
        <v>1</v>
      </c>
      <c r="Q478" t="s">
        <v>2073</v>
      </c>
    </row>
    <row r="479" spans="1:19" x14ac:dyDescent="0.3">
      <c r="A479" t="s">
        <v>1029</v>
      </c>
      <c r="B479" t="s">
        <v>1030</v>
      </c>
      <c r="C479" t="str">
        <f t="shared" si="100"/>
        <v>Matthew Gay</v>
      </c>
      <c r="D479" t="s">
        <v>84</v>
      </c>
      <c r="E479" t="str">
        <f t="shared" si="96"/>
        <v>Male</v>
      </c>
      <c r="F479">
        <v>56</v>
      </c>
      <c r="G479" t="s">
        <v>34</v>
      </c>
      <c r="H479" t="s">
        <v>35</v>
      </c>
      <c r="I479" t="s">
        <v>81</v>
      </c>
      <c r="J479">
        <v>16</v>
      </c>
      <c r="K479" s="4" t="str" cm="1">
        <f t="array" ref="K479">_xlfn.IFS(J479&lt;=5,"0-5",J479&lt;=10,"6-10",J479&lt;=15,"11-15",J479&lt;=20,"16-20",J479&gt;20,"21+")</f>
        <v>16-20</v>
      </c>
      <c r="L479" t="s">
        <v>101</v>
      </c>
      <c r="M479" s="2" t="str">
        <f>TRIM(MID(L479,FIND(" ",L479)+1,LEN(L479)))</f>
        <v>30</v>
      </c>
      <c r="N479" s="8">
        <f t="shared" si="97"/>
        <v>30</v>
      </c>
      <c r="O479">
        <v>0</v>
      </c>
      <c r="P479" t="s">
        <v>60</v>
      </c>
      <c r="Q479" t="s">
        <v>2073</v>
      </c>
    </row>
    <row r="480" spans="1:19" x14ac:dyDescent="0.3">
      <c r="A480" t="s">
        <v>1031</v>
      </c>
      <c r="B480" t="s">
        <v>1032</v>
      </c>
      <c r="C480" t="str">
        <f t="shared" si="100"/>
        <v>Cheryl Freeman</v>
      </c>
      <c r="D480" t="s">
        <v>69</v>
      </c>
      <c r="E480" t="str">
        <f t="shared" si="96"/>
        <v>Female</v>
      </c>
      <c r="F480">
        <v>24</v>
      </c>
      <c r="G480" t="s">
        <v>34</v>
      </c>
      <c r="H480" t="s">
        <v>35</v>
      </c>
      <c r="I480" t="s">
        <v>81</v>
      </c>
      <c r="J480">
        <v>6</v>
      </c>
      <c r="K480" s="4" t="str" cm="1">
        <f t="array" ref="K480">_xlfn.IFS(J480&lt;=5,"0-5",J480&lt;=10,"6-10",J480&lt;=15,"11-15",J480&lt;=20,"16-20",J480&gt;20,"21+")</f>
        <v>6-10</v>
      </c>
      <c r="L480">
        <v>30</v>
      </c>
      <c r="M480" s="2">
        <f>L480</f>
        <v>30</v>
      </c>
      <c r="N480" s="8">
        <f t="shared" si="97"/>
        <v>30</v>
      </c>
      <c r="O480">
        <v>0</v>
      </c>
      <c r="P480" t="s">
        <v>60</v>
      </c>
      <c r="Q480" t="s">
        <v>2073</v>
      </c>
      <c r="R480" s="1">
        <v>0.84</v>
      </c>
      <c r="S480" s="3">
        <f>R480</f>
        <v>0.84</v>
      </c>
    </row>
    <row r="481" spans="1:19" x14ac:dyDescent="0.3">
      <c r="A481" t="s">
        <v>1033</v>
      </c>
      <c r="B481" t="s">
        <v>1034</v>
      </c>
      <c r="C481" t="str">
        <f t="shared" si="100"/>
        <v>Patrick Welch</v>
      </c>
      <c r="D481" t="s">
        <v>19</v>
      </c>
      <c r="E481" t="str">
        <f t="shared" si="96"/>
        <v>Male</v>
      </c>
      <c r="F481">
        <v>48</v>
      </c>
      <c r="G481" t="s">
        <v>120</v>
      </c>
      <c r="H481" t="s">
        <v>14</v>
      </c>
      <c r="I481" t="s">
        <v>81</v>
      </c>
      <c r="J481">
        <v>21</v>
      </c>
      <c r="K481" s="4" t="str" cm="1">
        <f t="array" ref="K481">_xlfn.IFS(J481&lt;=5,"0-5",J481&lt;=10,"6-10",J481&lt;=15,"11-15",J481&lt;=20,"16-20",J481&gt;20,"21+")</f>
        <v>21+</v>
      </c>
      <c r="L481">
        <v>75</v>
      </c>
      <c r="M481" s="2">
        <f>L481</f>
        <v>75</v>
      </c>
      <c r="N481" s="8">
        <f t="shared" si="97"/>
        <v>75</v>
      </c>
      <c r="O481">
        <v>2.7</v>
      </c>
      <c r="P481">
        <v>1</v>
      </c>
      <c r="Q481" t="s">
        <v>2073</v>
      </c>
    </row>
    <row r="482" spans="1:19" x14ac:dyDescent="0.3">
      <c r="A482" t="s">
        <v>1035</v>
      </c>
      <c r="B482" t="s">
        <v>1036</v>
      </c>
      <c r="C482" t="str">
        <f t="shared" si="100"/>
        <v>Craig Levine</v>
      </c>
      <c r="D482" t="s">
        <v>89</v>
      </c>
      <c r="E482" t="str">
        <f t="shared" si="96"/>
        <v>Male</v>
      </c>
      <c r="F482">
        <v>59</v>
      </c>
      <c r="G482" t="s">
        <v>127</v>
      </c>
      <c r="H482" t="s">
        <v>128</v>
      </c>
      <c r="I482" t="s">
        <v>70</v>
      </c>
      <c r="J482">
        <v>13</v>
      </c>
      <c r="K482" s="4" t="str" cm="1">
        <f t="array" ref="K482">_xlfn.IFS(J482&lt;=5,"0-5",J482&lt;=10,"6-10",J482&lt;=15,"11-15",J482&lt;=20,"16-20",J482&gt;20,"21+")</f>
        <v>11-15</v>
      </c>
      <c r="L482">
        <v>40</v>
      </c>
      <c r="M482" s="2">
        <f>L482</f>
        <v>40</v>
      </c>
      <c r="N482" s="8">
        <f t="shared" si="97"/>
        <v>40</v>
      </c>
      <c r="O482">
        <v>2.4</v>
      </c>
      <c r="P482" t="s">
        <v>151</v>
      </c>
      <c r="Q482" t="s">
        <v>2072</v>
      </c>
      <c r="R482">
        <v>65</v>
      </c>
      <c r="S482" s="3">
        <f>R482/100</f>
        <v>0.65</v>
      </c>
    </row>
    <row r="483" spans="1:19" x14ac:dyDescent="0.3">
      <c r="A483" t="s">
        <v>1037</v>
      </c>
      <c r="B483" t="s">
        <v>1038</v>
      </c>
      <c r="C483" t="str">
        <f t="shared" si="100"/>
        <v>Richard Harvey</v>
      </c>
      <c r="D483" t="s">
        <v>53</v>
      </c>
      <c r="E483" t="str">
        <f t="shared" si="96"/>
        <v>Male</v>
      </c>
      <c r="G483" t="s">
        <v>59</v>
      </c>
      <c r="H483" t="s">
        <v>14</v>
      </c>
      <c r="I483" t="s">
        <v>27</v>
      </c>
      <c r="K483" s="4" t="str" cm="1">
        <f t="array" ref="K483">_xlfn.IFS(J483&lt;=5,"0-5",J483&lt;=10,"6-10",J483&lt;=15,"11-15",J483&lt;=20,"16-20",J483&gt;20,"21+")</f>
        <v>0-5</v>
      </c>
      <c r="L483">
        <v>40</v>
      </c>
      <c r="M483" s="2">
        <f>L483</f>
        <v>40</v>
      </c>
      <c r="N483" s="8">
        <f t="shared" si="97"/>
        <v>40</v>
      </c>
      <c r="O483">
        <v>1.9</v>
      </c>
      <c r="P483">
        <v>1</v>
      </c>
      <c r="Q483" t="s">
        <v>2073</v>
      </c>
      <c r="R483" s="1">
        <v>0.94</v>
      </c>
      <c r="S483" s="3">
        <f t="shared" ref="S483:S486" si="104">R483</f>
        <v>0.94</v>
      </c>
    </row>
    <row r="484" spans="1:19" x14ac:dyDescent="0.3">
      <c r="A484" t="s">
        <v>1039</v>
      </c>
      <c r="B484" t="s">
        <v>1040</v>
      </c>
      <c r="C484" t="str">
        <f t="shared" si="100"/>
        <v>Bonnie Sherman</v>
      </c>
      <c r="D484" t="s">
        <v>31</v>
      </c>
      <c r="E484" t="str">
        <f t="shared" si="96"/>
        <v>Female</v>
      </c>
      <c r="G484" t="s">
        <v>34</v>
      </c>
      <c r="H484" t="s">
        <v>35</v>
      </c>
      <c r="I484" t="s">
        <v>15</v>
      </c>
      <c r="J484">
        <v>11</v>
      </c>
      <c r="K484" s="4" t="str" cm="1">
        <f t="array" ref="K484">_xlfn.IFS(J484&lt;=5,"0-5",J484&lt;=10,"6-10",J484&lt;=15,"11-15",J484&lt;=20,"16-20",J484&gt;20,"21+")</f>
        <v>11-15</v>
      </c>
      <c r="L484" t="s">
        <v>113</v>
      </c>
      <c r="M484" s="2" t="str">
        <f>SUBSTITUTE(L484,"$","")</f>
        <v>20</v>
      </c>
      <c r="N484" s="8">
        <f t="shared" si="97"/>
        <v>20</v>
      </c>
      <c r="O484">
        <v>3.6</v>
      </c>
      <c r="P484" t="s">
        <v>151</v>
      </c>
      <c r="Q484" t="s">
        <v>2072</v>
      </c>
      <c r="R484" s="1">
        <v>0.69</v>
      </c>
      <c r="S484" s="3">
        <f t="shared" si="104"/>
        <v>0.69</v>
      </c>
    </row>
    <row r="485" spans="1:19" x14ac:dyDescent="0.3">
      <c r="A485" t="s">
        <v>1041</v>
      </c>
      <c r="B485" t="s">
        <v>1042</v>
      </c>
      <c r="C485" t="str">
        <f t="shared" si="100"/>
        <v>Keith Trujillo</v>
      </c>
      <c r="D485" t="s">
        <v>40</v>
      </c>
      <c r="E485" t="str">
        <f t="shared" si="96"/>
        <v>Male</v>
      </c>
      <c r="F485">
        <v>25</v>
      </c>
      <c r="G485" t="s">
        <v>34</v>
      </c>
      <c r="H485" t="s">
        <v>35</v>
      </c>
      <c r="I485" t="s">
        <v>15</v>
      </c>
      <c r="J485">
        <v>0</v>
      </c>
      <c r="K485" s="4" t="str" cm="1">
        <f t="array" ref="K485">_xlfn.IFS(J485&lt;=5,"0-5",J485&lt;=10,"6-10",J485&lt;=15,"11-15",J485&lt;=20,"16-20",J485&gt;20,"21+")</f>
        <v>0-5</v>
      </c>
      <c r="L485">
        <v>50</v>
      </c>
      <c r="M485" s="2">
        <f>L485</f>
        <v>50</v>
      </c>
      <c r="N485" s="8">
        <f t="shared" si="97"/>
        <v>50</v>
      </c>
      <c r="O485">
        <v>2.9</v>
      </c>
      <c r="P485" t="s">
        <v>60</v>
      </c>
      <c r="Q485" t="s">
        <v>2073</v>
      </c>
      <c r="R485" s="1">
        <v>0.65</v>
      </c>
      <c r="S485" s="3">
        <f t="shared" si="104"/>
        <v>0.65</v>
      </c>
    </row>
    <row r="486" spans="1:19" x14ac:dyDescent="0.3">
      <c r="A486" t="s">
        <v>1043</v>
      </c>
      <c r="B486" t="s">
        <v>1044</v>
      </c>
      <c r="C486" t="str">
        <f t="shared" si="100"/>
        <v>Corey Combs</v>
      </c>
      <c r="D486" t="s">
        <v>19</v>
      </c>
      <c r="E486" t="str">
        <f t="shared" si="96"/>
        <v>Male</v>
      </c>
      <c r="F486">
        <v>31</v>
      </c>
      <c r="G486" t="s">
        <v>131</v>
      </c>
      <c r="H486" t="s">
        <v>132</v>
      </c>
      <c r="I486" t="s">
        <v>15</v>
      </c>
      <c r="J486">
        <v>2</v>
      </c>
      <c r="K486" s="4" t="str" cm="1">
        <f t="array" ref="K486">_xlfn.IFS(J486&lt;=5,"0-5",J486&lt;=10,"6-10",J486&lt;=15,"11-15",J486&lt;=20,"16-20",J486&gt;20,"21+")</f>
        <v>0-5</v>
      </c>
      <c r="L486" t="s">
        <v>162</v>
      </c>
      <c r="M486" s="2" t="str">
        <f>SUBSTITUTE(L486,"$","")</f>
        <v>75</v>
      </c>
      <c r="N486" s="8">
        <f t="shared" si="97"/>
        <v>75</v>
      </c>
      <c r="O486">
        <v>2.8</v>
      </c>
      <c r="P486" t="b">
        <v>0</v>
      </c>
      <c r="Q486" t="s">
        <v>2072</v>
      </c>
      <c r="R486" s="1">
        <v>0.6</v>
      </c>
      <c r="S486" s="3">
        <f t="shared" si="104"/>
        <v>0.6</v>
      </c>
    </row>
    <row r="487" spans="1:19" x14ac:dyDescent="0.3">
      <c r="A487" t="s">
        <v>1045</v>
      </c>
      <c r="B487" t="s">
        <v>1046</v>
      </c>
      <c r="C487" t="str">
        <f t="shared" si="100"/>
        <v>Antonio King</v>
      </c>
      <c r="D487" t="s">
        <v>53</v>
      </c>
      <c r="E487" t="str">
        <f t="shared" si="96"/>
        <v>Male</v>
      </c>
      <c r="F487">
        <v>40</v>
      </c>
      <c r="G487" t="s">
        <v>54</v>
      </c>
      <c r="H487" t="s">
        <v>55</v>
      </c>
      <c r="I487" t="s">
        <v>81</v>
      </c>
      <c r="J487">
        <v>12</v>
      </c>
      <c r="K487" s="4" t="str" cm="1">
        <f t="array" ref="K487">_xlfn.IFS(J487&lt;=5,"0-5",J487&lt;=10,"6-10",J487&lt;=15,"11-15",J487&lt;=20,"16-20",J487&gt;20,"21+")</f>
        <v>11-15</v>
      </c>
      <c r="L487">
        <v>75</v>
      </c>
      <c r="M487" s="2">
        <f>L487</f>
        <v>75</v>
      </c>
      <c r="N487" s="8">
        <f t="shared" si="97"/>
        <v>75</v>
      </c>
      <c r="O487">
        <v>2.6</v>
      </c>
      <c r="P487" t="b">
        <v>0</v>
      </c>
      <c r="Q487" t="s">
        <v>2072</v>
      </c>
    </row>
    <row r="488" spans="1:19" x14ac:dyDescent="0.3">
      <c r="A488" t="s">
        <v>1047</v>
      </c>
      <c r="B488" t="s">
        <v>667</v>
      </c>
      <c r="C488" t="str">
        <f t="shared" si="100"/>
        <v>Amy Lee</v>
      </c>
      <c r="D488" t="s">
        <v>6</v>
      </c>
      <c r="E488" t="str">
        <f t="shared" si="96"/>
        <v>Female</v>
      </c>
      <c r="F488">
        <v>48</v>
      </c>
      <c r="G488" t="s">
        <v>116</v>
      </c>
      <c r="H488" t="s">
        <v>117</v>
      </c>
      <c r="I488" t="s">
        <v>9</v>
      </c>
      <c r="J488">
        <v>13</v>
      </c>
      <c r="K488" s="4" t="str" cm="1">
        <f t="array" ref="K488">_xlfn.IFS(J488&lt;=5,"0-5",J488&lt;=10,"6-10",J488&lt;=15,"11-15",J488&lt;=20,"16-20",J488&gt;20,"21+")</f>
        <v>11-15</v>
      </c>
      <c r="L488" t="s">
        <v>221</v>
      </c>
      <c r="M488" s="2" t="str">
        <f>SUBSTITUTE(L488,"$","")</f>
        <v>100</v>
      </c>
      <c r="N488" s="8">
        <f t="shared" si="97"/>
        <v>100</v>
      </c>
      <c r="O488">
        <v>2.7</v>
      </c>
      <c r="R488" s="1">
        <v>0.62</v>
      </c>
      <c r="S488" s="3">
        <f>R488</f>
        <v>0.62</v>
      </c>
    </row>
    <row r="489" spans="1:19" x14ac:dyDescent="0.3">
      <c r="A489" t="s">
        <v>1048</v>
      </c>
      <c r="B489" t="s">
        <v>1049</v>
      </c>
      <c r="C489" t="str">
        <f t="shared" si="100"/>
        <v>Jennifer Rogers</v>
      </c>
      <c r="D489" t="s">
        <v>6</v>
      </c>
      <c r="E489" t="str">
        <f t="shared" si="96"/>
        <v>Female</v>
      </c>
      <c r="F489">
        <v>24</v>
      </c>
      <c r="G489" t="s">
        <v>145</v>
      </c>
      <c r="H489" t="s">
        <v>146</v>
      </c>
      <c r="I489" t="s">
        <v>15</v>
      </c>
      <c r="J489">
        <v>6</v>
      </c>
      <c r="K489" s="4" t="str" cm="1">
        <f t="array" ref="K489">_xlfn.IFS(J489&lt;=5,"0-5",J489&lt;=10,"6-10",J489&lt;=15,"11-15",J489&lt;=20,"16-20",J489&gt;20,"21+")</f>
        <v>6-10</v>
      </c>
      <c r="L489">
        <v>30</v>
      </c>
      <c r="M489" s="2">
        <f>L489</f>
        <v>30</v>
      </c>
      <c r="N489" s="8">
        <f t="shared" si="97"/>
        <v>30</v>
      </c>
      <c r="O489">
        <v>1.1000000000000001</v>
      </c>
      <c r="P489" t="s">
        <v>60</v>
      </c>
      <c r="Q489" t="s">
        <v>2073</v>
      </c>
    </row>
    <row r="490" spans="1:19" x14ac:dyDescent="0.3">
      <c r="A490" t="s">
        <v>1050</v>
      </c>
      <c r="B490" t="s">
        <v>1051</v>
      </c>
      <c r="C490" t="str">
        <f t="shared" si="100"/>
        <v>Jeffrey Cooper</v>
      </c>
      <c r="D490" t="s">
        <v>53</v>
      </c>
      <c r="E490" t="str">
        <f t="shared" si="96"/>
        <v>Male</v>
      </c>
      <c r="F490">
        <v>33</v>
      </c>
      <c r="G490" t="s">
        <v>41</v>
      </c>
      <c r="H490" t="s">
        <v>42</v>
      </c>
      <c r="I490" t="s">
        <v>27</v>
      </c>
      <c r="J490">
        <v>10</v>
      </c>
      <c r="K490" s="4" t="str" cm="1">
        <f t="array" ref="K490">_xlfn.IFS(J490&lt;=5,"0-5",J490&lt;=10,"6-10",J490&lt;=15,"11-15",J490&lt;=20,"16-20",J490&gt;20,"21+")</f>
        <v>6-10</v>
      </c>
      <c r="L490" t="s">
        <v>101</v>
      </c>
      <c r="M490" s="2" t="str">
        <f>TRIM(MID(L490,FIND(" ",L490)+1,LEN(L490)))</f>
        <v>30</v>
      </c>
      <c r="N490" s="8">
        <f t="shared" si="97"/>
        <v>30</v>
      </c>
      <c r="O490">
        <v>0</v>
      </c>
      <c r="P490" t="s">
        <v>60</v>
      </c>
      <c r="Q490" t="s">
        <v>2073</v>
      </c>
      <c r="R490" s="1">
        <v>0.89</v>
      </c>
      <c r="S490" s="3">
        <f t="shared" ref="S490:S492" si="105">R490</f>
        <v>0.89</v>
      </c>
    </row>
    <row r="491" spans="1:19" x14ac:dyDescent="0.3">
      <c r="A491" t="s">
        <v>1052</v>
      </c>
      <c r="B491" t="s">
        <v>1053</v>
      </c>
      <c r="C491" t="str">
        <f t="shared" si="100"/>
        <v>Allison Williams</v>
      </c>
      <c r="D491" t="s">
        <v>69</v>
      </c>
      <c r="E491" t="str">
        <f t="shared" si="96"/>
        <v>Female</v>
      </c>
      <c r="F491">
        <v>43</v>
      </c>
      <c r="G491" t="s">
        <v>99</v>
      </c>
      <c r="H491" t="s">
        <v>100</v>
      </c>
      <c r="I491" t="s">
        <v>65</v>
      </c>
      <c r="J491">
        <v>2</v>
      </c>
      <c r="K491" s="4" t="str" cm="1">
        <f t="array" ref="K491">_xlfn.IFS(J491&lt;=5,"0-5",J491&lt;=10,"6-10",J491&lt;=15,"11-15",J491&lt;=20,"16-20",J491&gt;20,"21+")</f>
        <v>0-5</v>
      </c>
      <c r="L491" t="s">
        <v>28</v>
      </c>
      <c r="M491" s="2" t="str">
        <f>SUBSTITUTE(L491,"$","")</f>
        <v>40</v>
      </c>
      <c r="N491" s="8">
        <f t="shared" si="97"/>
        <v>40</v>
      </c>
      <c r="O491">
        <v>0</v>
      </c>
      <c r="P491" t="s">
        <v>60</v>
      </c>
      <c r="Q491" t="s">
        <v>2073</v>
      </c>
      <c r="R491" s="1">
        <v>0.89</v>
      </c>
      <c r="S491" s="3">
        <f t="shared" si="105"/>
        <v>0.89</v>
      </c>
    </row>
    <row r="492" spans="1:19" x14ac:dyDescent="0.3">
      <c r="A492" t="s">
        <v>1054</v>
      </c>
      <c r="B492" t="s">
        <v>1055</v>
      </c>
      <c r="C492" t="str">
        <f t="shared" si="100"/>
        <v>Raymond Sherman</v>
      </c>
      <c r="D492" t="s">
        <v>84</v>
      </c>
      <c r="E492" t="str">
        <f t="shared" si="96"/>
        <v>Male</v>
      </c>
      <c r="F492">
        <v>43</v>
      </c>
      <c r="G492" t="s">
        <v>182</v>
      </c>
      <c r="H492" t="s">
        <v>64</v>
      </c>
      <c r="I492" t="s">
        <v>9</v>
      </c>
      <c r="J492">
        <v>4</v>
      </c>
      <c r="K492" s="4" t="str" cm="1">
        <f t="array" ref="K492">_xlfn.IFS(J492&lt;=5,"0-5",J492&lt;=10,"6-10",J492&lt;=15,"11-15",J492&lt;=20,"16-20",J492&gt;20,"21+")</f>
        <v>0-5</v>
      </c>
      <c r="L492">
        <v>50</v>
      </c>
      <c r="M492" s="2">
        <f>L492</f>
        <v>50</v>
      </c>
      <c r="N492" s="8">
        <f t="shared" si="97"/>
        <v>50</v>
      </c>
      <c r="O492">
        <v>0</v>
      </c>
      <c r="P492" t="b">
        <v>1</v>
      </c>
      <c r="Q492" t="s">
        <v>2073</v>
      </c>
      <c r="R492" s="1">
        <v>1</v>
      </c>
      <c r="S492" s="3">
        <f t="shared" si="105"/>
        <v>1</v>
      </c>
    </row>
    <row r="493" spans="1:19" x14ac:dyDescent="0.3">
      <c r="A493" t="s">
        <v>1056</v>
      </c>
      <c r="B493" t="s">
        <v>1057</v>
      </c>
      <c r="C493" t="str">
        <f t="shared" si="100"/>
        <v>Jennifer Nelson</v>
      </c>
      <c r="D493" t="s">
        <v>12</v>
      </c>
      <c r="E493" t="str">
        <f t="shared" si="96"/>
        <v>Female</v>
      </c>
      <c r="F493">
        <v>33</v>
      </c>
      <c r="G493" t="s">
        <v>13</v>
      </c>
      <c r="H493" t="s">
        <v>14</v>
      </c>
      <c r="I493" t="s">
        <v>27</v>
      </c>
      <c r="J493">
        <v>11</v>
      </c>
      <c r="K493" s="4" t="str" cm="1">
        <f t="array" ref="K493">_xlfn.IFS(J493&lt;=5,"0-5",J493&lt;=10,"6-10",J493&lt;=15,"11-15",J493&lt;=20,"16-20",J493&gt;20,"21+")</f>
        <v>11-15</v>
      </c>
      <c r="N493" s="8" t="str">
        <f t="shared" si="97"/>
        <v/>
      </c>
      <c r="O493">
        <v>4.5999999999999996</v>
      </c>
      <c r="P493" t="s">
        <v>60</v>
      </c>
      <c r="Q493" t="s">
        <v>2073</v>
      </c>
    </row>
    <row r="494" spans="1:19" x14ac:dyDescent="0.3">
      <c r="A494" t="s">
        <v>1058</v>
      </c>
      <c r="B494" t="s">
        <v>1059</v>
      </c>
      <c r="C494" t="str">
        <f t="shared" si="100"/>
        <v>Jennifer Carter</v>
      </c>
      <c r="D494" t="s">
        <v>12</v>
      </c>
      <c r="E494" t="str">
        <f t="shared" si="96"/>
        <v>Female</v>
      </c>
      <c r="F494">
        <v>49</v>
      </c>
      <c r="G494" t="s">
        <v>116</v>
      </c>
      <c r="H494" t="s">
        <v>117</v>
      </c>
      <c r="I494" t="s">
        <v>65</v>
      </c>
      <c r="J494">
        <v>14</v>
      </c>
      <c r="K494" s="4" t="str" cm="1">
        <f t="array" ref="K494">_xlfn.IFS(J494&lt;=5,"0-5",J494&lt;=10,"6-10",J494&lt;=15,"11-15",J494&lt;=20,"16-20",J494&gt;20,"21+")</f>
        <v>11-15</v>
      </c>
      <c r="L494">
        <v>40</v>
      </c>
      <c r="M494" s="2">
        <f>L494</f>
        <v>40</v>
      </c>
      <c r="N494" s="8">
        <f t="shared" si="97"/>
        <v>40</v>
      </c>
      <c r="O494">
        <v>1.5</v>
      </c>
      <c r="R494" s="1">
        <v>0.6</v>
      </c>
      <c r="S494" s="3">
        <f t="shared" ref="S494:S508" si="106">R494</f>
        <v>0.6</v>
      </c>
    </row>
    <row r="495" spans="1:19" x14ac:dyDescent="0.3">
      <c r="A495" t="s">
        <v>1060</v>
      </c>
      <c r="B495" t="s">
        <v>1061</v>
      </c>
      <c r="C495" t="str">
        <f t="shared" si="100"/>
        <v>Todd Williams</v>
      </c>
      <c r="D495" t="s">
        <v>40</v>
      </c>
      <c r="E495" t="str">
        <f t="shared" si="96"/>
        <v>Male</v>
      </c>
      <c r="F495">
        <v>55</v>
      </c>
      <c r="G495" t="s">
        <v>120</v>
      </c>
      <c r="H495" t="s">
        <v>14</v>
      </c>
      <c r="I495" t="s">
        <v>65</v>
      </c>
      <c r="J495">
        <v>10</v>
      </c>
      <c r="K495" s="4" t="str" cm="1">
        <f t="array" ref="K495">_xlfn.IFS(J495&lt;=5,"0-5",J495&lt;=10,"6-10",J495&lt;=15,"11-15",J495&lt;=20,"16-20",J495&gt;20,"21+")</f>
        <v>6-10</v>
      </c>
      <c r="L495">
        <v>40</v>
      </c>
      <c r="M495" s="2">
        <f>L495</f>
        <v>40</v>
      </c>
      <c r="N495" s="8">
        <f t="shared" si="97"/>
        <v>40</v>
      </c>
      <c r="O495">
        <v>2</v>
      </c>
      <c r="P495" t="s">
        <v>151</v>
      </c>
      <c r="Q495" t="s">
        <v>2072</v>
      </c>
      <c r="R495" s="1">
        <v>0.85</v>
      </c>
      <c r="S495" s="3">
        <f t="shared" si="106"/>
        <v>0.85</v>
      </c>
    </row>
    <row r="496" spans="1:19" x14ac:dyDescent="0.3">
      <c r="A496" t="s">
        <v>1062</v>
      </c>
      <c r="B496" t="s">
        <v>1063</v>
      </c>
      <c r="C496" t="str">
        <f t="shared" si="100"/>
        <v>Emily Horton</v>
      </c>
      <c r="D496" t="s">
        <v>26</v>
      </c>
      <c r="E496" t="str">
        <f t="shared" si="96"/>
        <v>Female</v>
      </c>
      <c r="F496">
        <v>33</v>
      </c>
      <c r="G496" t="s">
        <v>104</v>
      </c>
      <c r="H496" t="s">
        <v>105</v>
      </c>
      <c r="I496" t="s">
        <v>22</v>
      </c>
      <c r="J496">
        <v>3</v>
      </c>
      <c r="K496" s="4" t="str" cm="1">
        <f t="array" ref="K496">_xlfn.IFS(J496&lt;=5,"0-5",J496&lt;=10,"6-10",J496&lt;=15,"11-15",J496&lt;=20,"16-20",J496&gt;20,"21+")</f>
        <v>0-5</v>
      </c>
      <c r="L496" t="s">
        <v>28</v>
      </c>
      <c r="M496" s="2" t="str">
        <f>SUBSTITUTE(L496,"$","")</f>
        <v>40</v>
      </c>
      <c r="N496" s="8">
        <f t="shared" si="97"/>
        <v>40</v>
      </c>
      <c r="O496">
        <v>1.6</v>
      </c>
      <c r="R496" s="1">
        <v>0.83</v>
      </c>
      <c r="S496" s="3">
        <f t="shared" si="106"/>
        <v>0.83</v>
      </c>
    </row>
    <row r="497" spans="1:19" x14ac:dyDescent="0.3">
      <c r="A497" t="s">
        <v>1064</v>
      </c>
      <c r="B497" t="s">
        <v>1065</v>
      </c>
      <c r="C497" t="str">
        <f t="shared" si="100"/>
        <v>Lance Lester</v>
      </c>
      <c r="D497" t="s">
        <v>89</v>
      </c>
      <c r="E497" t="str">
        <f t="shared" si="96"/>
        <v>Male</v>
      </c>
      <c r="F497">
        <v>32</v>
      </c>
      <c r="G497" t="s">
        <v>63</v>
      </c>
      <c r="H497" t="s">
        <v>64</v>
      </c>
      <c r="I497" t="s">
        <v>36</v>
      </c>
      <c r="J497">
        <v>3</v>
      </c>
      <c r="K497" s="4" t="str" cm="1">
        <f t="array" ref="K497">_xlfn.IFS(J497&lt;=5,"0-5",J497&lt;=10,"6-10",J497&lt;=15,"11-15",J497&lt;=20,"16-20",J497&gt;20,"21+")</f>
        <v>0-5</v>
      </c>
      <c r="L497" t="s">
        <v>37</v>
      </c>
      <c r="M497" s="2" t="str">
        <f>SUBSTITUTE(L497,"$","")</f>
        <v>30</v>
      </c>
      <c r="N497" s="8">
        <f t="shared" si="97"/>
        <v>30</v>
      </c>
      <c r="O497">
        <v>1.5</v>
      </c>
      <c r="P497" t="s">
        <v>23</v>
      </c>
      <c r="Q497" t="s">
        <v>2072</v>
      </c>
      <c r="R497" s="1">
        <v>0.96</v>
      </c>
      <c r="S497" s="3">
        <f t="shared" si="106"/>
        <v>0.96</v>
      </c>
    </row>
    <row r="498" spans="1:19" x14ac:dyDescent="0.3">
      <c r="A498" t="s">
        <v>1066</v>
      </c>
      <c r="B498" t="s">
        <v>1067</v>
      </c>
      <c r="C498" t="str">
        <f t="shared" si="100"/>
        <v>Kevin Flores</v>
      </c>
      <c r="D498" t="s">
        <v>40</v>
      </c>
      <c r="E498" t="str">
        <f t="shared" si="96"/>
        <v>Male</v>
      </c>
      <c r="F498">
        <v>58</v>
      </c>
      <c r="G498" t="s">
        <v>34</v>
      </c>
      <c r="H498" t="s">
        <v>35</v>
      </c>
      <c r="I498" t="s">
        <v>9</v>
      </c>
      <c r="J498">
        <v>33</v>
      </c>
      <c r="K498" s="4" t="str" cm="1">
        <f t="array" ref="K498">_xlfn.IFS(J498&lt;=5,"0-5",J498&lt;=10,"6-10",J498&lt;=15,"11-15",J498&lt;=20,"16-20",J498&gt;20,"21+")</f>
        <v>21+</v>
      </c>
      <c r="N498" s="8" t="str">
        <f t="shared" si="97"/>
        <v/>
      </c>
      <c r="O498">
        <v>4.0999999999999996</v>
      </c>
      <c r="P498" t="s">
        <v>66</v>
      </c>
      <c r="Q498" t="s">
        <v>2073</v>
      </c>
      <c r="R498" s="1">
        <v>0.83</v>
      </c>
      <c r="S498" s="3">
        <f t="shared" si="106"/>
        <v>0.83</v>
      </c>
    </row>
    <row r="499" spans="1:19" x14ac:dyDescent="0.3">
      <c r="A499" t="s">
        <v>1068</v>
      </c>
      <c r="B499" t="s">
        <v>1069</v>
      </c>
      <c r="C499" t="str">
        <f t="shared" si="100"/>
        <v>Aaron Stewart PhD</v>
      </c>
      <c r="D499" t="s">
        <v>19</v>
      </c>
      <c r="E499" t="str">
        <f t="shared" si="96"/>
        <v>Male</v>
      </c>
      <c r="F499">
        <v>49</v>
      </c>
      <c r="G499" t="s">
        <v>41</v>
      </c>
      <c r="H499" t="s">
        <v>42</v>
      </c>
      <c r="I499" t="s">
        <v>43</v>
      </c>
      <c r="J499">
        <v>24</v>
      </c>
      <c r="K499" s="4" t="str" cm="1">
        <f t="array" ref="K499">_xlfn.IFS(J499&lt;=5,"0-5",J499&lt;=10,"6-10",J499&lt;=15,"11-15",J499&lt;=20,"16-20",J499&gt;20,"21+")</f>
        <v>21+</v>
      </c>
      <c r="L499">
        <v>100</v>
      </c>
      <c r="M499" s="2">
        <f>L499</f>
        <v>100</v>
      </c>
      <c r="N499" s="8">
        <f t="shared" si="97"/>
        <v>100</v>
      </c>
      <c r="O499">
        <v>4.7</v>
      </c>
      <c r="P499">
        <v>0</v>
      </c>
      <c r="Q499" t="s">
        <v>2072</v>
      </c>
      <c r="R499" s="1">
        <v>0.6</v>
      </c>
      <c r="S499" s="3">
        <f t="shared" si="106"/>
        <v>0.6</v>
      </c>
    </row>
    <row r="500" spans="1:19" x14ac:dyDescent="0.3">
      <c r="A500" t="s">
        <v>1070</v>
      </c>
      <c r="B500" t="s">
        <v>1071</v>
      </c>
      <c r="C500" t="str">
        <f t="shared" si="100"/>
        <v>Robin Moore</v>
      </c>
      <c r="D500" t="s">
        <v>69</v>
      </c>
      <c r="E500" t="str">
        <f t="shared" si="96"/>
        <v>Female</v>
      </c>
      <c r="F500">
        <v>22</v>
      </c>
      <c r="G500" t="s">
        <v>116</v>
      </c>
      <c r="H500" t="s">
        <v>117</v>
      </c>
      <c r="I500" t="s">
        <v>65</v>
      </c>
      <c r="J500">
        <v>3</v>
      </c>
      <c r="K500" s="4" t="str" cm="1">
        <f t="array" ref="K500">_xlfn.IFS(J500&lt;=5,"0-5",J500&lt;=10,"6-10",J500&lt;=15,"11-15",J500&lt;=20,"16-20",J500&gt;20,"21+")</f>
        <v>0-5</v>
      </c>
      <c r="L500" t="s">
        <v>16</v>
      </c>
      <c r="M500" s="2" t="str">
        <f>TRIM(MID(L500,FIND(" ",L500)+1,LEN(L500)))</f>
        <v>100</v>
      </c>
      <c r="N500" s="8">
        <f t="shared" si="97"/>
        <v>100</v>
      </c>
      <c r="O500">
        <v>3.6</v>
      </c>
      <c r="P500">
        <v>1</v>
      </c>
      <c r="Q500" t="s">
        <v>2073</v>
      </c>
      <c r="R500" s="1">
        <v>0.78</v>
      </c>
      <c r="S500" s="3">
        <f t="shared" si="106"/>
        <v>0.78</v>
      </c>
    </row>
    <row r="501" spans="1:19" x14ac:dyDescent="0.3">
      <c r="A501" t="s">
        <v>1072</v>
      </c>
      <c r="B501" t="s">
        <v>1073</v>
      </c>
      <c r="C501" t="str">
        <f t="shared" si="100"/>
        <v>Suzanne Ingram</v>
      </c>
      <c r="D501" t="s">
        <v>6</v>
      </c>
      <c r="E501" t="str">
        <f t="shared" si="96"/>
        <v>Female</v>
      </c>
      <c r="F501">
        <v>40</v>
      </c>
      <c r="G501" t="s">
        <v>131</v>
      </c>
      <c r="H501" t="s">
        <v>132</v>
      </c>
      <c r="I501" t="s">
        <v>27</v>
      </c>
      <c r="J501">
        <v>11</v>
      </c>
      <c r="K501" s="4" t="str" cm="1">
        <f t="array" ref="K501">_xlfn.IFS(J501&lt;=5,"0-5",J501&lt;=10,"6-10",J501&lt;=15,"11-15",J501&lt;=20,"16-20",J501&gt;20,"21+")</f>
        <v>11-15</v>
      </c>
      <c r="L501" t="s">
        <v>113</v>
      </c>
      <c r="M501" s="2" t="str">
        <f>SUBSTITUTE(L501,"$","")</f>
        <v>20</v>
      </c>
      <c r="N501" s="8">
        <f t="shared" si="97"/>
        <v>20</v>
      </c>
      <c r="O501">
        <v>1.8</v>
      </c>
      <c r="P501">
        <v>1</v>
      </c>
      <c r="Q501" t="s">
        <v>2073</v>
      </c>
      <c r="R501" s="1">
        <v>0.9</v>
      </c>
      <c r="S501" s="3">
        <f t="shared" si="106"/>
        <v>0.9</v>
      </c>
    </row>
    <row r="502" spans="1:19" x14ac:dyDescent="0.3">
      <c r="A502" t="s">
        <v>1074</v>
      </c>
      <c r="B502" t="s">
        <v>1075</v>
      </c>
      <c r="C502" t="str">
        <f t="shared" si="100"/>
        <v>Jacob Mclaughlin</v>
      </c>
      <c r="D502" t="s">
        <v>40</v>
      </c>
      <c r="E502" t="str">
        <f t="shared" si="96"/>
        <v>Male</v>
      </c>
      <c r="F502">
        <v>55</v>
      </c>
      <c r="G502" t="s">
        <v>13</v>
      </c>
      <c r="H502" t="s">
        <v>14</v>
      </c>
      <c r="I502" t="s">
        <v>43</v>
      </c>
      <c r="J502">
        <v>7</v>
      </c>
      <c r="K502" s="4" t="str" cm="1">
        <f t="array" ref="K502">_xlfn.IFS(J502&lt;=5,"0-5",J502&lt;=10,"6-10",J502&lt;=15,"11-15",J502&lt;=20,"16-20",J502&gt;20,"21+")</f>
        <v>6-10</v>
      </c>
      <c r="L502" t="s">
        <v>16</v>
      </c>
      <c r="M502" s="2" t="str">
        <f>TRIM(MID(L502,FIND(" ",L502)+1,LEN(L502)))</f>
        <v>100</v>
      </c>
      <c r="N502" s="8">
        <f t="shared" si="97"/>
        <v>100</v>
      </c>
      <c r="O502">
        <v>2.1</v>
      </c>
      <c r="P502">
        <v>0</v>
      </c>
      <c r="Q502" t="s">
        <v>2072</v>
      </c>
      <c r="R502" s="1">
        <v>0.66</v>
      </c>
      <c r="S502" s="3">
        <f t="shared" si="106"/>
        <v>0.66</v>
      </c>
    </row>
    <row r="503" spans="1:19" x14ac:dyDescent="0.3">
      <c r="A503" t="s">
        <v>1076</v>
      </c>
      <c r="B503" t="s">
        <v>1077</v>
      </c>
      <c r="C503" t="str">
        <f t="shared" si="100"/>
        <v>Michael Nunez</v>
      </c>
      <c r="D503" t="s">
        <v>84</v>
      </c>
      <c r="E503" t="str">
        <f t="shared" si="96"/>
        <v>Male</v>
      </c>
      <c r="F503">
        <v>32</v>
      </c>
      <c r="G503" t="s">
        <v>171</v>
      </c>
      <c r="H503" t="s">
        <v>64</v>
      </c>
      <c r="I503" t="s">
        <v>81</v>
      </c>
      <c r="J503">
        <v>1</v>
      </c>
      <c r="K503" s="4" t="str" cm="1">
        <f t="array" ref="K503">_xlfn.IFS(J503&lt;=5,"0-5",J503&lt;=10,"6-10",J503&lt;=15,"11-15",J503&lt;=20,"16-20",J503&gt;20,"21+")</f>
        <v>0-5</v>
      </c>
      <c r="L503" t="s">
        <v>56</v>
      </c>
      <c r="M503" s="2" t="str">
        <f>SUBSTITUTE(L503,"$","")</f>
        <v>50</v>
      </c>
      <c r="N503" s="8">
        <f t="shared" si="97"/>
        <v>50</v>
      </c>
      <c r="P503" t="s">
        <v>60</v>
      </c>
      <c r="Q503" t="s">
        <v>2073</v>
      </c>
      <c r="R503" s="1">
        <v>0.7</v>
      </c>
      <c r="S503" s="3">
        <f t="shared" si="106"/>
        <v>0.7</v>
      </c>
    </row>
    <row r="504" spans="1:19" x14ac:dyDescent="0.3">
      <c r="A504" t="s">
        <v>1078</v>
      </c>
      <c r="B504" t="s">
        <v>1079</v>
      </c>
      <c r="C504" t="str">
        <f t="shared" si="100"/>
        <v>Isabel Brown</v>
      </c>
      <c r="D504" t="s">
        <v>12</v>
      </c>
      <c r="E504" t="str">
        <f t="shared" si="96"/>
        <v>Female</v>
      </c>
      <c r="F504">
        <v>21</v>
      </c>
      <c r="G504" t="s">
        <v>77</v>
      </c>
      <c r="H504" t="s">
        <v>78</v>
      </c>
      <c r="I504" t="s">
        <v>65</v>
      </c>
      <c r="J504">
        <v>0</v>
      </c>
      <c r="K504" s="4" t="str" cm="1">
        <f t="array" ref="K504">_xlfn.IFS(J504&lt;=5,"0-5",J504&lt;=10,"6-10",J504&lt;=15,"11-15",J504&lt;=20,"16-20",J504&gt;20,"21+")</f>
        <v>0-5</v>
      </c>
      <c r="L504" t="s">
        <v>101</v>
      </c>
      <c r="M504" s="2" t="str">
        <f>TRIM(MID(L504,FIND(" ",L504)+1,LEN(L504)))</f>
        <v>30</v>
      </c>
      <c r="N504" s="8">
        <f t="shared" si="97"/>
        <v>30</v>
      </c>
      <c r="O504">
        <v>4.2</v>
      </c>
      <c r="P504" t="s">
        <v>60</v>
      </c>
      <c r="Q504" t="s">
        <v>2073</v>
      </c>
      <c r="R504" s="1">
        <v>0.79</v>
      </c>
      <c r="S504" s="3">
        <f t="shared" si="106"/>
        <v>0.79</v>
      </c>
    </row>
    <row r="505" spans="1:19" x14ac:dyDescent="0.3">
      <c r="A505" t="s">
        <v>1080</v>
      </c>
      <c r="B505" t="s">
        <v>1081</v>
      </c>
      <c r="C505" t="str">
        <f t="shared" si="100"/>
        <v>Michael Stein</v>
      </c>
      <c r="D505" t="s">
        <v>84</v>
      </c>
      <c r="E505" t="str">
        <f t="shared" si="96"/>
        <v>Male</v>
      </c>
      <c r="F505">
        <v>23</v>
      </c>
      <c r="G505" t="s">
        <v>104</v>
      </c>
      <c r="H505" t="s">
        <v>105</v>
      </c>
      <c r="I505" t="s">
        <v>9</v>
      </c>
      <c r="J505">
        <v>1</v>
      </c>
      <c r="K505" s="4" t="str" cm="1">
        <f t="array" ref="K505">_xlfn.IFS(J505&lt;=5,"0-5",J505&lt;=10,"6-10",J505&lt;=15,"11-15",J505&lt;=20,"16-20",J505&gt;20,"21+")</f>
        <v>0-5</v>
      </c>
      <c r="L505">
        <v>40</v>
      </c>
      <c r="M505" s="2">
        <f>L505</f>
        <v>40</v>
      </c>
      <c r="N505" s="8">
        <f t="shared" si="97"/>
        <v>40</v>
      </c>
      <c r="O505">
        <v>0</v>
      </c>
      <c r="P505">
        <v>0</v>
      </c>
      <c r="Q505" t="s">
        <v>2072</v>
      </c>
      <c r="R505" s="1">
        <v>0.64</v>
      </c>
      <c r="S505" s="3">
        <f t="shared" si="106"/>
        <v>0.64</v>
      </c>
    </row>
    <row r="506" spans="1:19" x14ac:dyDescent="0.3">
      <c r="A506" t="s">
        <v>1082</v>
      </c>
      <c r="B506" t="s">
        <v>1083</v>
      </c>
      <c r="C506" t="str">
        <f t="shared" si="100"/>
        <v>Robert Stone</v>
      </c>
      <c r="D506" t="s">
        <v>89</v>
      </c>
      <c r="E506" t="str">
        <f t="shared" si="96"/>
        <v>Male</v>
      </c>
      <c r="F506">
        <v>21</v>
      </c>
      <c r="G506" t="s">
        <v>59</v>
      </c>
      <c r="H506" t="s">
        <v>14</v>
      </c>
      <c r="I506" t="s">
        <v>15</v>
      </c>
      <c r="J506">
        <v>1</v>
      </c>
      <c r="K506" s="4" t="str" cm="1">
        <f t="array" ref="K506">_xlfn.IFS(J506&lt;=5,"0-5",J506&lt;=10,"6-10",J506&lt;=15,"11-15",J506&lt;=20,"16-20",J506&gt;20,"21+")</f>
        <v>0-5</v>
      </c>
      <c r="L506" t="s">
        <v>101</v>
      </c>
      <c r="M506" s="2" t="str">
        <f>TRIM(MID(L506,FIND(" ",L506)+1,LEN(L506)))</f>
        <v>30</v>
      </c>
      <c r="N506" s="8">
        <f t="shared" si="97"/>
        <v>30</v>
      </c>
      <c r="O506">
        <v>1</v>
      </c>
      <c r="P506" t="s">
        <v>23</v>
      </c>
      <c r="Q506" t="s">
        <v>2072</v>
      </c>
      <c r="R506" s="1">
        <v>0.81</v>
      </c>
      <c r="S506" s="3">
        <f t="shared" si="106"/>
        <v>0.81</v>
      </c>
    </row>
    <row r="507" spans="1:19" x14ac:dyDescent="0.3">
      <c r="A507" t="s">
        <v>1084</v>
      </c>
      <c r="B507" t="s">
        <v>1085</v>
      </c>
      <c r="C507" t="str">
        <f t="shared" si="100"/>
        <v>Dillon Henry</v>
      </c>
      <c r="D507" t="s">
        <v>89</v>
      </c>
      <c r="E507" t="str">
        <f t="shared" si="96"/>
        <v>Male</v>
      </c>
      <c r="F507">
        <v>31</v>
      </c>
      <c r="G507" t="s">
        <v>63</v>
      </c>
      <c r="H507" t="s">
        <v>64</v>
      </c>
      <c r="I507" t="s">
        <v>36</v>
      </c>
      <c r="J507">
        <v>7</v>
      </c>
      <c r="K507" s="4" t="str" cm="1">
        <f t="array" ref="K507">_xlfn.IFS(J507&lt;=5,"0-5",J507&lt;=10,"6-10",J507&lt;=15,"11-15",J507&lt;=20,"16-20",J507&gt;20,"21+")</f>
        <v>6-10</v>
      </c>
      <c r="L507">
        <v>75</v>
      </c>
      <c r="M507" s="2">
        <f>L507</f>
        <v>75</v>
      </c>
      <c r="N507" s="8">
        <f t="shared" si="97"/>
        <v>75</v>
      </c>
      <c r="O507">
        <v>4.4000000000000004</v>
      </c>
      <c r="P507">
        <v>0</v>
      </c>
      <c r="Q507" t="s">
        <v>2072</v>
      </c>
      <c r="R507" s="1">
        <v>0.83</v>
      </c>
      <c r="S507" s="3">
        <f t="shared" si="106"/>
        <v>0.83</v>
      </c>
    </row>
    <row r="508" spans="1:19" x14ac:dyDescent="0.3">
      <c r="A508" t="s">
        <v>1086</v>
      </c>
      <c r="B508" t="s">
        <v>1087</v>
      </c>
      <c r="C508" t="str">
        <f t="shared" si="100"/>
        <v>James Todd</v>
      </c>
      <c r="D508" t="s">
        <v>84</v>
      </c>
      <c r="E508" t="str">
        <f t="shared" si="96"/>
        <v>Male</v>
      </c>
      <c r="F508">
        <v>21</v>
      </c>
      <c r="G508" t="s">
        <v>171</v>
      </c>
      <c r="H508" t="s">
        <v>64</v>
      </c>
      <c r="I508" t="s">
        <v>9</v>
      </c>
      <c r="K508" s="4" t="str" cm="1">
        <f t="array" ref="K508">_xlfn.IFS(J508&lt;=5,"0-5",J508&lt;=10,"6-10",J508&lt;=15,"11-15",J508&lt;=20,"16-20",J508&gt;20,"21+")</f>
        <v>0-5</v>
      </c>
      <c r="L508">
        <v>40</v>
      </c>
      <c r="M508" s="2">
        <f>L508</f>
        <v>40</v>
      </c>
      <c r="N508" s="8">
        <f t="shared" si="97"/>
        <v>40</v>
      </c>
      <c r="O508">
        <v>4</v>
      </c>
      <c r="P508">
        <v>0</v>
      </c>
      <c r="Q508" t="s">
        <v>2072</v>
      </c>
      <c r="R508" s="1">
        <v>0.91</v>
      </c>
      <c r="S508" s="3">
        <f t="shared" si="106"/>
        <v>0.91</v>
      </c>
    </row>
    <row r="509" spans="1:19" x14ac:dyDescent="0.3">
      <c r="A509" t="s">
        <v>1088</v>
      </c>
      <c r="B509" t="s">
        <v>1089</v>
      </c>
      <c r="C509" t="str">
        <f t="shared" si="100"/>
        <v>Clifford Moore MD</v>
      </c>
      <c r="D509" t="s">
        <v>19</v>
      </c>
      <c r="E509" t="str">
        <f t="shared" si="96"/>
        <v>Male</v>
      </c>
      <c r="F509">
        <v>33</v>
      </c>
      <c r="G509" t="s">
        <v>59</v>
      </c>
      <c r="H509" t="s">
        <v>14</v>
      </c>
      <c r="I509" t="s">
        <v>70</v>
      </c>
      <c r="J509">
        <v>6</v>
      </c>
      <c r="K509" s="4" t="str" cm="1">
        <f t="array" ref="K509">_xlfn.IFS(J509&lt;=5,"0-5",J509&lt;=10,"6-10",J509&lt;=15,"11-15",J509&lt;=20,"16-20",J509&gt;20,"21+")</f>
        <v>6-10</v>
      </c>
      <c r="L509" t="s">
        <v>90</v>
      </c>
      <c r="M509" s="2" t="str">
        <f>TRIM(MID(L509,FIND(" ",L509)+1,LEN(L509)))</f>
        <v>50</v>
      </c>
      <c r="N509" s="8">
        <f t="shared" si="97"/>
        <v>50</v>
      </c>
      <c r="O509">
        <v>3.1</v>
      </c>
      <c r="P509" t="s">
        <v>23</v>
      </c>
      <c r="Q509" t="s">
        <v>2072</v>
      </c>
    </row>
    <row r="510" spans="1:19" x14ac:dyDescent="0.3">
      <c r="A510" t="s">
        <v>1090</v>
      </c>
      <c r="B510" t="s">
        <v>1091</v>
      </c>
      <c r="C510" t="str">
        <f t="shared" si="100"/>
        <v>John Rios</v>
      </c>
      <c r="D510" t="s">
        <v>40</v>
      </c>
      <c r="E510" t="str">
        <f t="shared" si="96"/>
        <v>Male</v>
      </c>
      <c r="F510">
        <v>57</v>
      </c>
      <c r="G510" t="s">
        <v>99</v>
      </c>
      <c r="H510" t="s">
        <v>100</v>
      </c>
      <c r="I510" t="s">
        <v>27</v>
      </c>
      <c r="J510">
        <v>5</v>
      </c>
      <c r="K510" s="4" t="str" cm="1">
        <f t="array" ref="K510">_xlfn.IFS(J510&lt;=5,"0-5",J510&lt;=10,"6-10",J510&lt;=15,"11-15",J510&lt;=20,"16-20",J510&gt;20,"21+")</f>
        <v>0-5</v>
      </c>
      <c r="L510">
        <v>75</v>
      </c>
      <c r="M510" s="2">
        <f>L510</f>
        <v>75</v>
      </c>
      <c r="N510" s="8">
        <f t="shared" si="97"/>
        <v>75</v>
      </c>
      <c r="O510">
        <v>1.1000000000000001</v>
      </c>
      <c r="P510" t="b">
        <v>1</v>
      </c>
      <c r="Q510" t="s">
        <v>2073</v>
      </c>
      <c r="R510" s="1">
        <v>0.77</v>
      </c>
      <c r="S510" s="3">
        <f t="shared" ref="S510:S514" si="107">R510</f>
        <v>0.77</v>
      </c>
    </row>
    <row r="511" spans="1:19" x14ac:dyDescent="0.3">
      <c r="A511" t="s">
        <v>1092</v>
      </c>
      <c r="B511" t="s">
        <v>1093</v>
      </c>
      <c r="C511" t="str">
        <f t="shared" si="100"/>
        <v>Anthony Gaines</v>
      </c>
      <c r="D511" t="s">
        <v>40</v>
      </c>
      <c r="E511" t="str">
        <f t="shared" si="96"/>
        <v>Male</v>
      </c>
      <c r="F511">
        <v>52</v>
      </c>
      <c r="G511" t="s">
        <v>50</v>
      </c>
      <c r="H511" t="s">
        <v>14</v>
      </c>
      <c r="I511" t="s">
        <v>81</v>
      </c>
      <c r="J511">
        <v>17</v>
      </c>
      <c r="K511" s="4" t="str" cm="1">
        <f t="array" ref="K511">_xlfn.IFS(J511&lt;=5,"0-5",J511&lt;=10,"6-10",J511&lt;=15,"11-15",J511&lt;=20,"16-20",J511&gt;20,"21+")</f>
        <v>16-20</v>
      </c>
      <c r="L511" t="s">
        <v>44</v>
      </c>
      <c r="M511" s="2" t="str">
        <f>TRIM(MID(L511,FIND(" ",L511)+1,LEN(L511)))</f>
        <v>75</v>
      </c>
      <c r="N511" s="8">
        <f t="shared" si="97"/>
        <v>75</v>
      </c>
      <c r="O511">
        <v>0</v>
      </c>
      <c r="P511">
        <v>0</v>
      </c>
      <c r="Q511" t="s">
        <v>2072</v>
      </c>
      <c r="R511" s="1">
        <v>0.94</v>
      </c>
      <c r="S511" s="3">
        <f t="shared" si="107"/>
        <v>0.94</v>
      </c>
    </row>
    <row r="512" spans="1:19" x14ac:dyDescent="0.3">
      <c r="A512" t="s">
        <v>1094</v>
      </c>
      <c r="B512" t="s">
        <v>1095</v>
      </c>
      <c r="C512" t="str">
        <f t="shared" si="100"/>
        <v>Kristi Brown DVM</v>
      </c>
      <c r="D512" t="s">
        <v>69</v>
      </c>
      <c r="E512" t="str">
        <f t="shared" si="96"/>
        <v>Female</v>
      </c>
      <c r="F512">
        <v>21</v>
      </c>
      <c r="G512" t="s">
        <v>20</v>
      </c>
      <c r="H512" t="s">
        <v>21</v>
      </c>
      <c r="I512" t="s">
        <v>27</v>
      </c>
      <c r="J512">
        <v>0</v>
      </c>
      <c r="K512" s="4" t="str" cm="1">
        <f t="array" ref="K512">_xlfn.IFS(J512&lt;=5,"0-5",J512&lt;=10,"6-10",J512&lt;=15,"11-15",J512&lt;=20,"16-20",J512&gt;20,"21+")</f>
        <v>0-5</v>
      </c>
      <c r="L512" t="s">
        <v>113</v>
      </c>
      <c r="M512" s="2" t="str">
        <f>SUBSTITUTE(L512,"$","")</f>
        <v>20</v>
      </c>
      <c r="N512" s="8">
        <f t="shared" si="97"/>
        <v>20</v>
      </c>
      <c r="O512">
        <v>3.8</v>
      </c>
      <c r="P512">
        <v>1</v>
      </c>
      <c r="Q512" t="s">
        <v>2073</v>
      </c>
      <c r="R512" s="1">
        <v>0.61</v>
      </c>
      <c r="S512" s="3">
        <f t="shared" si="107"/>
        <v>0.61</v>
      </c>
    </row>
    <row r="513" spans="1:19" x14ac:dyDescent="0.3">
      <c r="A513" t="s">
        <v>1096</v>
      </c>
      <c r="B513" t="s">
        <v>1097</v>
      </c>
      <c r="C513" t="str">
        <f t="shared" si="100"/>
        <v>Ashley Odonnell</v>
      </c>
      <c r="D513" t="s">
        <v>12</v>
      </c>
      <c r="E513" t="str">
        <f t="shared" si="96"/>
        <v>Female</v>
      </c>
      <c r="F513">
        <v>36</v>
      </c>
      <c r="G513" t="s">
        <v>63</v>
      </c>
      <c r="H513" t="s">
        <v>64</v>
      </c>
      <c r="I513" t="s">
        <v>65</v>
      </c>
      <c r="J513">
        <v>8</v>
      </c>
      <c r="K513" s="4" t="str" cm="1">
        <f t="array" ref="K513">_xlfn.IFS(J513&lt;=5,"0-5",J513&lt;=10,"6-10",J513&lt;=15,"11-15",J513&lt;=20,"16-20",J513&gt;20,"21+")</f>
        <v>6-10</v>
      </c>
      <c r="L513">
        <v>100</v>
      </c>
      <c r="M513" s="2">
        <f>L513</f>
        <v>100</v>
      </c>
      <c r="N513" s="8">
        <f t="shared" si="97"/>
        <v>100</v>
      </c>
      <c r="O513">
        <v>1.7</v>
      </c>
      <c r="P513" t="s">
        <v>23</v>
      </c>
      <c r="Q513" t="s">
        <v>2072</v>
      </c>
      <c r="R513" s="1">
        <v>0.68</v>
      </c>
      <c r="S513" s="3">
        <f t="shared" si="107"/>
        <v>0.68</v>
      </c>
    </row>
    <row r="514" spans="1:19" x14ac:dyDescent="0.3">
      <c r="A514" t="s">
        <v>1098</v>
      </c>
      <c r="B514" t="s">
        <v>1099</v>
      </c>
      <c r="C514" t="str">
        <f t="shared" si="100"/>
        <v>Ronald Elliott</v>
      </c>
      <c r="D514" t="s">
        <v>19</v>
      </c>
      <c r="E514" t="str">
        <f t="shared" ref="E514:E577" si="108">IF(LOWER(LEFT(D514,1))="f","Female","Male")</f>
        <v>Male</v>
      </c>
      <c r="F514">
        <v>33</v>
      </c>
      <c r="G514" t="s">
        <v>182</v>
      </c>
      <c r="H514" t="s">
        <v>64</v>
      </c>
      <c r="I514" t="s">
        <v>106</v>
      </c>
      <c r="J514">
        <v>13</v>
      </c>
      <c r="K514" s="4" t="str" cm="1">
        <f t="array" ref="K514">_xlfn.IFS(J514&lt;=5,"0-5",J514&lt;=10,"6-10",J514&lt;=15,"11-15",J514&lt;=20,"16-20",J514&gt;20,"21+")</f>
        <v>11-15</v>
      </c>
      <c r="L514">
        <v>50</v>
      </c>
      <c r="M514" s="2">
        <f>L514</f>
        <v>50</v>
      </c>
      <c r="N514" s="8">
        <f t="shared" si="97"/>
        <v>50</v>
      </c>
      <c r="O514">
        <v>2.2000000000000002</v>
      </c>
      <c r="P514" t="s">
        <v>23</v>
      </c>
      <c r="Q514" t="s">
        <v>2072</v>
      </c>
      <c r="R514" s="1">
        <v>0.7</v>
      </c>
      <c r="S514" s="3">
        <f t="shared" si="107"/>
        <v>0.7</v>
      </c>
    </row>
    <row r="515" spans="1:19" x14ac:dyDescent="0.3">
      <c r="A515" t="s">
        <v>1100</v>
      </c>
      <c r="B515" t="s">
        <v>1101</v>
      </c>
      <c r="C515" t="str">
        <f t="shared" si="100"/>
        <v>Lorraine Lowery</v>
      </c>
      <c r="D515" t="s">
        <v>26</v>
      </c>
      <c r="E515" t="str">
        <f t="shared" si="108"/>
        <v>Female</v>
      </c>
      <c r="F515">
        <v>54</v>
      </c>
      <c r="G515" t="s">
        <v>59</v>
      </c>
      <c r="H515" t="s">
        <v>14</v>
      </c>
      <c r="I515" t="s">
        <v>43</v>
      </c>
      <c r="J515">
        <v>15</v>
      </c>
      <c r="K515" s="4" t="str" cm="1">
        <f t="array" ref="K515">_xlfn.IFS(J515&lt;=5,"0-5",J515&lt;=10,"6-10",J515&lt;=15,"11-15",J515&lt;=20,"16-20",J515&gt;20,"21+")</f>
        <v>11-15</v>
      </c>
      <c r="L515">
        <v>40</v>
      </c>
      <c r="M515" s="2">
        <f>L515</f>
        <v>40</v>
      </c>
      <c r="N515" s="8">
        <f t="shared" ref="N515:N578" si="109">IF(M515="", "", VALUE(M515))</f>
        <v>40</v>
      </c>
      <c r="O515">
        <v>4.0999999999999996</v>
      </c>
      <c r="P515" t="b">
        <v>1</v>
      </c>
      <c r="Q515" t="s">
        <v>2073</v>
      </c>
      <c r="R515">
        <v>71</v>
      </c>
      <c r="S515" s="3">
        <f>R515/100</f>
        <v>0.71</v>
      </c>
    </row>
    <row r="516" spans="1:19" x14ac:dyDescent="0.3">
      <c r="A516" t="s">
        <v>1102</v>
      </c>
      <c r="B516" t="s">
        <v>1103</v>
      </c>
      <c r="C516" t="str">
        <f t="shared" si="100"/>
        <v>Victoria Chapman</v>
      </c>
      <c r="D516" t="s">
        <v>31</v>
      </c>
      <c r="E516" t="str">
        <f t="shared" si="108"/>
        <v>Female</v>
      </c>
      <c r="F516">
        <v>33</v>
      </c>
      <c r="G516" t="s">
        <v>50</v>
      </c>
      <c r="H516" t="s">
        <v>14</v>
      </c>
      <c r="I516" t="s">
        <v>9</v>
      </c>
      <c r="J516">
        <v>2</v>
      </c>
      <c r="K516" s="4" t="str" cm="1">
        <f t="array" ref="K516">_xlfn.IFS(J516&lt;=5,"0-5",J516&lt;=10,"6-10",J516&lt;=15,"11-15",J516&lt;=20,"16-20",J516&gt;20,"21+")</f>
        <v>0-5</v>
      </c>
      <c r="L516" t="s">
        <v>16</v>
      </c>
      <c r="M516" s="2" t="str">
        <f>TRIM(MID(L516,FIND(" ",L516)+1,LEN(L516)))</f>
        <v>100</v>
      </c>
      <c r="N516" s="8">
        <f t="shared" si="109"/>
        <v>100</v>
      </c>
      <c r="O516">
        <v>3.8</v>
      </c>
      <c r="P516" t="b">
        <v>0</v>
      </c>
      <c r="Q516" t="s">
        <v>2072</v>
      </c>
    </row>
    <row r="517" spans="1:19" x14ac:dyDescent="0.3">
      <c r="A517" t="s">
        <v>1104</v>
      </c>
      <c r="B517" t="s">
        <v>1105</v>
      </c>
      <c r="C517" t="str">
        <f t="shared" si="100"/>
        <v>Heather Davis</v>
      </c>
      <c r="D517" t="s">
        <v>31</v>
      </c>
      <c r="E517" t="str">
        <f t="shared" si="108"/>
        <v>Female</v>
      </c>
      <c r="F517">
        <v>36</v>
      </c>
      <c r="G517" t="s">
        <v>77</v>
      </c>
      <c r="H517" t="s">
        <v>78</v>
      </c>
      <c r="I517" t="s">
        <v>106</v>
      </c>
      <c r="J517">
        <v>9</v>
      </c>
      <c r="K517" s="4" t="str" cm="1">
        <f t="array" ref="K517">_xlfn.IFS(J517&lt;=5,"0-5",J517&lt;=10,"6-10",J517&lt;=15,"11-15",J517&lt;=20,"16-20",J517&gt;20,"21+")</f>
        <v>6-10</v>
      </c>
      <c r="L517" t="s">
        <v>37</v>
      </c>
      <c r="M517" s="2" t="str">
        <f>SUBSTITUTE(L517,"$","")</f>
        <v>30</v>
      </c>
      <c r="N517" s="8">
        <f t="shared" si="109"/>
        <v>30</v>
      </c>
      <c r="O517">
        <v>0</v>
      </c>
      <c r="P517" t="s">
        <v>60</v>
      </c>
      <c r="Q517" t="s">
        <v>2073</v>
      </c>
      <c r="R517" s="1">
        <v>0.78</v>
      </c>
      <c r="S517" s="3">
        <f>R517</f>
        <v>0.78</v>
      </c>
    </row>
    <row r="518" spans="1:19" x14ac:dyDescent="0.3">
      <c r="A518" t="s">
        <v>1106</v>
      </c>
      <c r="B518" t="s">
        <v>1107</v>
      </c>
      <c r="C518" t="str">
        <f t="shared" si="100"/>
        <v>Diana Chase</v>
      </c>
      <c r="D518" t="s">
        <v>12</v>
      </c>
      <c r="E518" t="str">
        <f t="shared" si="108"/>
        <v>Female</v>
      </c>
      <c r="F518">
        <v>36</v>
      </c>
      <c r="G518" t="s">
        <v>54</v>
      </c>
      <c r="H518" t="s">
        <v>55</v>
      </c>
      <c r="I518" t="s">
        <v>36</v>
      </c>
      <c r="J518">
        <v>3</v>
      </c>
      <c r="K518" s="4" t="str" cm="1">
        <f t="array" ref="K518">_xlfn.IFS(J518&lt;=5,"0-5",J518&lt;=10,"6-10",J518&lt;=15,"11-15",J518&lt;=20,"16-20",J518&gt;20,"21+")</f>
        <v>0-5</v>
      </c>
      <c r="L518" t="s">
        <v>90</v>
      </c>
      <c r="M518" s="2" t="str">
        <f>TRIM(MID(L518,FIND(" ",L518)+1,LEN(L518)))</f>
        <v>50</v>
      </c>
      <c r="N518" s="8">
        <f t="shared" si="109"/>
        <v>50</v>
      </c>
      <c r="O518">
        <v>0</v>
      </c>
      <c r="P518" t="s">
        <v>151</v>
      </c>
      <c r="Q518" t="s">
        <v>2072</v>
      </c>
      <c r="R518">
        <v>75</v>
      </c>
      <c r="S518" s="3">
        <f>R518/100</f>
        <v>0.75</v>
      </c>
    </row>
    <row r="519" spans="1:19" x14ac:dyDescent="0.3">
      <c r="A519" t="s">
        <v>1108</v>
      </c>
      <c r="B519" t="s">
        <v>1109</v>
      </c>
      <c r="C519" t="str">
        <f t="shared" si="100"/>
        <v>Danielle Adkins</v>
      </c>
      <c r="D519" t="s">
        <v>26</v>
      </c>
      <c r="E519" t="str">
        <f t="shared" si="108"/>
        <v>Female</v>
      </c>
      <c r="F519">
        <v>43</v>
      </c>
      <c r="G519" t="s">
        <v>167</v>
      </c>
      <c r="H519" t="s">
        <v>168</v>
      </c>
      <c r="I519" t="s">
        <v>36</v>
      </c>
      <c r="J519">
        <v>15</v>
      </c>
      <c r="K519" s="4" t="str" cm="1">
        <f t="array" ref="K519">_xlfn.IFS(J519&lt;=5,"0-5",J519&lt;=10,"6-10",J519&lt;=15,"11-15",J519&lt;=20,"16-20",J519&gt;20,"21+")</f>
        <v>11-15</v>
      </c>
      <c r="L519" t="s">
        <v>113</v>
      </c>
      <c r="M519" s="2" t="str">
        <f>SUBSTITUTE(L519,"$","")</f>
        <v>20</v>
      </c>
      <c r="N519" s="8">
        <f t="shared" si="109"/>
        <v>20</v>
      </c>
      <c r="O519">
        <v>4.2</v>
      </c>
      <c r="P519" t="b">
        <v>1</v>
      </c>
      <c r="Q519" t="s">
        <v>2073</v>
      </c>
      <c r="R519" s="1">
        <v>0.91</v>
      </c>
      <c r="S519" s="3">
        <f t="shared" ref="S519:S521" si="110">R519</f>
        <v>0.91</v>
      </c>
    </row>
    <row r="520" spans="1:19" x14ac:dyDescent="0.3">
      <c r="A520" t="s">
        <v>1110</v>
      </c>
      <c r="B520" t="s">
        <v>1111</v>
      </c>
      <c r="C520" t="str">
        <f t="shared" si="100"/>
        <v>Kenneth Arias</v>
      </c>
      <c r="D520" t="s">
        <v>89</v>
      </c>
      <c r="E520" t="str">
        <f t="shared" si="108"/>
        <v>Male</v>
      </c>
      <c r="F520">
        <v>52</v>
      </c>
      <c r="G520" t="s">
        <v>59</v>
      </c>
      <c r="H520" t="s">
        <v>14</v>
      </c>
      <c r="I520" t="s">
        <v>43</v>
      </c>
      <c r="J520">
        <v>21</v>
      </c>
      <c r="K520" s="4" t="str" cm="1">
        <f t="array" ref="K520">_xlfn.IFS(J520&lt;=5,"0-5",J520&lt;=10,"6-10",J520&lt;=15,"11-15",J520&lt;=20,"16-20",J520&gt;20,"21+")</f>
        <v>21+</v>
      </c>
      <c r="L520" t="s">
        <v>44</v>
      </c>
      <c r="M520" s="2" t="str">
        <f>TRIM(MID(L520,FIND(" ",L520)+1,LEN(L520)))</f>
        <v>75</v>
      </c>
      <c r="N520" s="8">
        <f t="shared" si="109"/>
        <v>75</v>
      </c>
      <c r="O520">
        <v>2.2000000000000002</v>
      </c>
      <c r="P520">
        <v>1</v>
      </c>
      <c r="Q520" t="s">
        <v>2073</v>
      </c>
      <c r="R520" s="1">
        <v>0.66</v>
      </c>
      <c r="S520" s="3">
        <f t="shared" si="110"/>
        <v>0.66</v>
      </c>
    </row>
    <row r="521" spans="1:19" x14ac:dyDescent="0.3">
      <c r="A521" t="s">
        <v>1112</v>
      </c>
      <c r="B521" t="s">
        <v>1113</v>
      </c>
      <c r="C521" t="str">
        <f t="shared" si="100"/>
        <v>Victoria Owen</v>
      </c>
      <c r="D521" t="s">
        <v>26</v>
      </c>
      <c r="E521" t="str">
        <f t="shared" si="108"/>
        <v>Female</v>
      </c>
      <c r="F521">
        <v>28</v>
      </c>
      <c r="G521" t="s">
        <v>41</v>
      </c>
      <c r="H521" t="s">
        <v>42</v>
      </c>
      <c r="I521" t="s">
        <v>70</v>
      </c>
      <c r="J521">
        <v>2</v>
      </c>
      <c r="K521" s="4" t="str" cm="1">
        <f t="array" ref="K521">_xlfn.IFS(J521&lt;=5,"0-5",J521&lt;=10,"6-10",J521&lt;=15,"11-15",J521&lt;=20,"16-20",J521&gt;20,"21+")</f>
        <v>0-5</v>
      </c>
      <c r="L521" t="s">
        <v>44</v>
      </c>
      <c r="M521" s="2" t="str">
        <f>TRIM(MID(L521,FIND(" ",L521)+1,LEN(L521)))</f>
        <v>75</v>
      </c>
      <c r="N521" s="8">
        <f t="shared" si="109"/>
        <v>75</v>
      </c>
      <c r="O521">
        <v>1.5</v>
      </c>
      <c r="P521">
        <v>1</v>
      </c>
      <c r="Q521" t="s">
        <v>2073</v>
      </c>
      <c r="R521" s="1">
        <v>0.68</v>
      </c>
      <c r="S521" s="3">
        <f t="shared" si="110"/>
        <v>0.68</v>
      </c>
    </row>
    <row r="522" spans="1:19" x14ac:dyDescent="0.3">
      <c r="A522" t="s">
        <v>1114</v>
      </c>
      <c r="B522" t="s">
        <v>1115</v>
      </c>
      <c r="C522" t="str">
        <f t="shared" si="100"/>
        <v>Christina King</v>
      </c>
      <c r="D522" t="s">
        <v>69</v>
      </c>
      <c r="E522" t="str">
        <f t="shared" si="108"/>
        <v>Female</v>
      </c>
      <c r="F522">
        <v>47</v>
      </c>
      <c r="G522" t="s">
        <v>167</v>
      </c>
      <c r="H522" t="s">
        <v>168</v>
      </c>
      <c r="I522" t="s">
        <v>70</v>
      </c>
      <c r="J522">
        <v>21</v>
      </c>
      <c r="K522" s="4" t="str" cm="1">
        <f t="array" ref="K522">_xlfn.IFS(J522&lt;=5,"0-5",J522&lt;=10,"6-10",J522&lt;=15,"11-15",J522&lt;=20,"16-20",J522&gt;20,"21+")</f>
        <v>21+</v>
      </c>
      <c r="L522" t="s">
        <v>221</v>
      </c>
      <c r="M522" s="2" t="str">
        <f>SUBSTITUTE(L522,"$","")</f>
        <v>100</v>
      </c>
      <c r="N522" s="8">
        <f t="shared" si="109"/>
        <v>100</v>
      </c>
      <c r="O522">
        <v>0</v>
      </c>
      <c r="P522" t="s">
        <v>23</v>
      </c>
      <c r="Q522" t="s">
        <v>2072</v>
      </c>
    </row>
    <row r="523" spans="1:19" x14ac:dyDescent="0.3">
      <c r="A523" t="s">
        <v>1116</v>
      </c>
      <c r="B523" t="s">
        <v>1117</v>
      </c>
      <c r="C523" t="str">
        <f t="shared" si="100"/>
        <v>Samantha King</v>
      </c>
      <c r="D523" t="s">
        <v>31</v>
      </c>
      <c r="E523" t="str">
        <f t="shared" si="108"/>
        <v>Female</v>
      </c>
      <c r="F523">
        <v>30</v>
      </c>
      <c r="G523" t="s">
        <v>127</v>
      </c>
      <c r="H523" t="s">
        <v>128</v>
      </c>
      <c r="I523" t="s">
        <v>81</v>
      </c>
      <c r="J523">
        <v>0</v>
      </c>
      <c r="K523" s="4" t="str" cm="1">
        <f t="array" ref="K523">_xlfn.IFS(J523&lt;=5,"0-5",J523&lt;=10,"6-10",J523&lt;=15,"11-15",J523&lt;=20,"16-20",J523&gt;20,"21+")</f>
        <v>0-5</v>
      </c>
      <c r="L523" t="s">
        <v>16</v>
      </c>
      <c r="M523" s="2" t="str">
        <f>TRIM(MID(L523,FIND(" ",L523)+1,LEN(L523)))</f>
        <v>100</v>
      </c>
      <c r="N523" s="8">
        <f t="shared" si="109"/>
        <v>100</v>
      </c>
      <c r="O523">
        <v>4.0999999999999996</v>
      </c>
      <c r="P523">
        <v>0</v>
      </c>
      <c r="Q523" t="s">
        <v>2072</v>
      </c>
      <c r="R523" s="1">
        <v>0.62</v>
      </c>
      <c r="S523" s="3">
        <f t="shared" ref="S523:S528" si="111">R523</f>
        <v>0.62</v>
      </c>
    </row>
    <row r="524" spans="1:19" x14ac:dyDescent="0.3">
      <c r="A524" t="s">
        <v>1118</v>
      </c>
      <c r="B524" t="s">
        <v>1119</v>
      </c>
      <c r="C524" t="str">
        <f t="shared" si="100"/>
        <v>Scott Compton</v>
      </c>
      <c r="D524" t="s">
        <v>40</v>
      </c>
      <c r="E524" t="str">
        <f t="shared" si="108"/>
        <v>Male</v>
      </c>
      <c r="F524">
        <v>36</v>
      </c>
      <c r="G524" t="s">
        <v>131</v>
      </c>
      <c r="H524" t="s">
        <v>132</v>
      </c>
      <c r="I524" t="s">
        <v>9</v>
      </c>
      <c r="J524">
        <v>4</v>
      </c>
      <c r="K524" s="4" t="str" cm="1">
        <f t="array" ref="K524">_xlfn.IFS(J524&lt;=5,"0-5",J524&lt;=10,"6-10",J524&lt;=15,"11-15",J524&lt;=20,"16-20",J524&gt;20,"21+")</f>
        <v>0-5</v>
      </c>
      <c r="L524">
        <v>40</v>
      </c>
      <c r="M524" s="2">
        <f>L524</f>
        <v>40</v>
      </c>
      <c r="N524" s="8">
        <f t="shared" si="109"/>
        <v>40</v>
      </c>
      <c r="O524">
        <v>2.6</v>
      </c>
      <c r="P524" t="s">
        <v>151</v>
      </c>
      <c r="Q524" t="s">
        <v>2072</v>
      </c>
      <c r="R524" s="1">
        <v>0.9</v>
      </c>
      <c r="S524" s="3">
        <f t="shared" si="111"/>
        <v>0.9</v>
      </c>
    </row>
    <row r="525" spans="1:19" x14ac:dyDescent="0.3">
      <c r="A525" t="s">
        <v>1120</v>
      </c>
      <c r="B525" t="s">
        <v>1121</v>
      </c>
      <c r="C525" t="str">
        <f t="shared" si="100"/>
        <v>Monica West</v>
      </c>
      <c r="D525" t="s">
        <v>12</v>
      </c>
      <c r="E525" t="str">
        <f t="shared" si="108"/>
        <v>Female</v>
      </c>
      <c r="F525">
        <v>45</v>
      </c>
      <c r="G525" t="s">
        <v>50</v>
      </c>
      <c r="H525" t="s">
        <v>14</v>
      </c>
      <c r="I525" t="s">
        <v>65</v>
      </c>
      <c r="J525">
        <v>23</v>
      </c>
      <c r="K525" s="4" t="str" cm="1">
        <f t="array" ref="K525">_xlfn.IFS(J525&lt;=5,"0-5",J525&lt;=10,"6-10",J525&lt;=15,"11-15",J525&lt;=20,"16-20",J525&gt;20,"21+")</f>
        <v>21+</v>
      </c>
      <c r="L525">
        <v>100</v>
      </c>
      <c r="M525" s="2">
        <f>L525</f>
        <v>100</v>
      </c>
      <c r="N525" s="8">
        <f t="shared" si="109"/>
        <v>100</v>
      </c>
      <c r="O525">
        <v>2.4</v>
      </c>
      <c r="P525" t="b">
        <v>0</v>
      </c>
      <c r="Q525" t="s">
        <v>2072</v>
      </c>
      <c r="R525" s="1">
        <v>0.96</v>
      </c>
      <c r="S525" s="3">
        <f t="shared" si="111"/>
        <v>0.96</v>
      </c>
    </row>
    <row r="526" spans="1:19" x14ac:dyDescent="0.3">
      <c r="A526" t="s">
        <v>1122</v>
      </c>
      <c r="B526" t="s">
        <v>1123</v>
      </c>
      <c r="C526" t="str">
        <f t="shared" si="100"/>
        <v>Theresa Stewart</v>
      </c>
      <c r="D526" t="s">
        <v>26</v>
      </c>
      <c r="E526" t="str">
        <f t="shared" si="108"/>
        <v>Female</v>
      </c>
      <c r="F526">
        <v>51</v>
      </c>
      <c r="G526" t="s">
        <v>50</v>
      </c>
      <c r="H526" t="s">
        <v>14</v>
      </c>
      <c r="I526" t="s">
        <v>9</v>
      </c>
      <c r="J526">
        <v>25</v>
      </c>
      <c r="K526" s="4" t="str" cm="1">
        <f t="array" ref="K526">_xlfn.IFS(J526&lt;=5,"0-5",J526&lt;=10,"6-10",J526&lt;=15,"11-15",J526&lt;=20,"16-20",J526&gt;20,"21+")</f>
        <v>21+</v>
      </c>
      <c r="L526">
        <v>50</v>
      </c>
      <c r="M526" s="2">
        <f>L526</f>
        <v>50</v>
      </c>
      <c r="N526" s="8">
        <f t="shared" si="109"/>
        <v>50</v>
      </c>
      <c r="O526">
        <v>1.4</v>
      </c>
      <c r="P526" t="s">
        <v>66</v>
      </c>
      <c r="Q526" t="s">
        <v>2073</v>
      </c>
      <c r="R526" s="1">
        <v>0.6</v>
      </c>
      <c r="S526" s="3">
        <f t="shared" si="111"/>
        <v>0.6</v>
      </c>
    </row>
    <row r="527" spans="1:19" x14ac:dyDescent="0.3">
      <c r="A527" t="s">
        <v>1124</v>
      </c>
      <c r="B527" t="s">
        <v>1125</v>
      </c>
      <c r="C527" t="str">
        <f t="shared" si="100"/>
        <v>Steven Kim</v>
      </c>
      <c r="D527" t="s">
        <v>40</v>
      </c>
      <c r="E527" t="str">
        <f t="shared" si="108"/>
        <v>Male</v>
      </c>
      <c r="F527">
        <v>46</v>
      </c>
      <c r="G527" t="s">
        <v>54</v>
      </c>
      <c r="H527" t="s">
        <v>55</v>
      </c>
      <c r="I527" t="s">
        <v>15</v>
      </c>
      <c r="J527">
        <v>10</v>
      </c>
      <c r="K527" s="4" t="str" cm="1">
        <f t="array" ref="K527">_xlfn.IFS(J527&lt;=5,"0-5",J527&lt;=10,"6-10",J527&lt;=15,"11-15",J527&lt;=20,"16-20",J527&gt;20,"21+")</f>
        <v>6-10</v>
      </c>
      <c r="N527" s="8" t="str">
        <f t="shared" si="109"/>
        <v/>
      </c>
      <c r="O527">
        <v>4.5999999999999996</v>
      </c>
      <c r="P527" t="s">
        <v>66</v>
      </c>
      <c r="Q527" t="s">
        <v>2073</v>
      </c>
      <c r="R527" s="1">
        <v>0.62</v>
      </c>
      <c r="S527" s="3">
        <f t="shared" si="111"/>
        <v>0.62</v>
      </c>
    </row>
    <row r="528" spans="1:19" x14ac:dyDescent="0.3">
      <c r="A528" t="s">
        <v>1126</v>
      </c>
      <c r="B528" t="s">
        <v>1127</v>
      </c>
      <c r="C528" t="str">
        <f t="shared" ref="C528:C591" si="112">B528</f>
        <v>Kristi Knight</v>
      </c>
      <c r="D528" t="s">
        <v>12</v>
      </c>
      <c r="E528" t="str">
        <f t="shared" si="108"/>
        <v>Female</v>
      </c>
      <c r="F528">
        <v>38</v>
      </c>
      <c r="G528" t="s">
        <v>7</v>
      </c>
      <c r="H528" t="s">
        <v>8</v>
      </c>
      <c r="I528" t="s">
        <v>43</v>
      </c>
      <c r="J528">
        <v>18</v>
      </c>
      <c r="K528" s="4" t="str" cm="1">
        <f t="array" ref="K528">_xlfn.IFS(J528&lt;=5,"0-5",J528&lt;=10,"6-10",J528&lt;=15,"11-15",J528&lt;=20,"16-20",J528&gt;20,"21+")</f>
        <v>16-20</v>
      </c>
      <c r="L528" t="s">
        <v>47</v>
      </c>
      <c r="M528" s="2" t="str">
        <f>TRIM(MID(L528,FIND(" ",L528)+1,LEN(L528)))</f>
        <v>40</v>
      </c>
      <c r="N528" s="8">
        <f t="shared" si="109"/>
        <v>40</v>
      </c>
      <c r="O528">
        <v>4.9000000000000004</v>
      </c>
      <c r="P528" t="b">
        <v>0</v>
      </c>
      <c r="Q528" t="s">
        <v>2072</v>
      </c>
      <c r="R528" s="1">
        <v>0.74</v>
      </c>
      <c r="S528" s="3">
        <f t="shared" si="111"/>
        <v>0.74</v>
      </c>
    </row>
    <row r="529" spans="1:19" x14ac:dyDescent="0.3">
      <c r="A529" t="s">
        <v>1128</v>
      </c>
      <c r="B529" t="s">
        <v>1129</v>
      </c>
      <c r="C529" t="str">
        <f t="shared" si="112"/>
        <v>Jason Bryant</v>
      </c>
      <c r="D529" t="s">
        <v>89</v>
      </c>
      <c r="E529" t="str">
        <f t="shared" si="108"/>
        <v>Male</v>
      </c>
      <c r="F529">
        <v>26</v>
      </c>
      <c r="G529" t="s">
        <v>182</v>
      </c>
      <c r="H529" t="s">
        <v>64</v>
      </c>
      <c r="I529" t="s">
        <v>9</v>
      </c>
      <c r="J529">
        <v>1</v>
      </c>
      <c r="K529" s="4" t="str" cm="1">
        <f t="array" ref="K529">_xlfn.IFS(J529&lt;=5,"0-5",J529&lt;=10,"6-10",J529&lt;=15,"11-15",J529&lt;=20,"16-20",J529&gt;20,"21+")</f>
        <v>0-5</v>
      </c>
      <c r="L529" t="s">
        <v>113</v>
      </c>
      <c r="M529" s="2" t="str">
        <f>SUBSTITUTE(L529,"$","")</f>
        <v>20</v>
      </c>
      <c r="N529" s="8">
        <f t="shared" si="109"/>
        <v>20</v>
      </c>
      <c r="O529">
        <v>0</v>
      </c>
      <c r="P529">
        <v>1</v>
      </c>
      <c r="Q529" t="s">
        <v>2073</v>
      </c>
    </row>
    <row r="530" spans="1:19" x14ac:dyDescent="0.3">
      <c r="A530" t="s">
        <v>1130</v>
      </c>
      <c r="B530" t="s">
        <v>1131</v>
      </c>
      <c r="C530" t="str">
        <f t="shared" si="112"/>
        <v>Maureen Keith</v>
      </c>
      <c r="D530" t="s">
        <v>69</v>
      </c>
      <c r="E530" t="str">
        <f t="shared" si="108"/>
        <v>Female</v>
      </c>
      <c r="F530">
        <v>40</v>
      </c>
      <c r="G530" t="s">
        <v>59</v>
      </c>
      <c r="H530" t="s">
        <v>14</v>
      </c>
      <c r="I530" t="s">
        <v>81</v>
      </c>
      <c r="J530">
        <v>12</v>
      </c>
      <c r="K530" s="4" t="str" cm="1">
        <f t="array" ref="K530">_xlfn.IFS(J530&lt;=5,"0-5",J530&lt;=10,"6-10",J530&lt;=15,"11-15",J530&lt;=20,"16-20",J530&gt;20,"21+")</f>
        <v>11-15</v>
      </c>
      <c r="L530">
        <v>30</v>
      </c>
      <c r="M530" s="2">
        <f>L530</f>
        <v>30</v>
      </c>
      <c r="N530" s="8">
        <f t="shared" si="109"/>
        <v>30</v>
      </c>
      <c r="O530">
        <v>3.5</v>
      </c>
      <c r="R530" s="1">
        <v>0.98</v>
      </c>
      <c r="S530" s="3">
        <f t="shared" ref="S530:S531" si="113">R530</f>
        <v>0.98</v>
      </c>
    </row>
    <row r="531" spans="1:19" x14ac:dyDescent="0.3">
      <c r="A531" t="s">
        <v>1132</v>
      </c>
      <c r="B531" t="s">
        <v>1133</v>
      </c>
      <c r="C531" t="str">
        <f t="shared" si="112"/>
        <v>Shawn Hogan</v>
      </c>
      <c r="D531" t="s">
        <v>89</v>
      </c>
      <c r="E531" t="str">
        <f t="shared" si="108"/>
        <v>Male</v>
      </c>
      <c r="F531">
        <v>37</v>
      </c>
      <c r="G531" t="s">
        <v>20</v>
      </c>
      <c r="H531" t="s">
        <v>21</v>
      </c>
      <c r="I531" t="s">
        <v>106</v>
      </c>
      <c r="K531" s="4" t="str" cm="1">
        <f t="array" ref="K531">_xlfn.IFS(J531&lt;=5,"0-5",J531&lt;=10,"6-10",J531&lt;=15,"11-15",J531&lt;=20,"16-20",J531&gt;20,"21+")</f>
        <v>0-5</v>
      </c>
      <c r="N531" s="8" t="str">
        <f t="shared" si="109"/>
        <v/>
      </c>
      <c r="O531">
        <v>1.7</v>
      </c>
      <c r="P531" t="s">
        <v>60</v>
      </c>
      <c r="Q531" t="s">
        <v>2073</v>
      </c>
      <c r="R531" s="1">
        <v>0.63</v>
      </c>
      <c r="S531" s="3">
        <f t="shared" si="113"/>
        <v>0.63</v>
      </c>
    </row>
    <row r="532" spans="1:19" x14ac:dyDescent="0.3">
      <c r="A532" t="s">
        <v>1134</v>
      </c>
      <c r="B532" t="s">
        <v>1135</v>
      </c>
      <c r="C532" t="str">
        <f t="shared" si="112"/>
        <v>William Davis</v>
      </c>
      <c r="D532" t="s">
        <v>84</v>
      </c>
      <c r="E532" t="str">
        <f t="shared" si="108"/>
        <v>Male</v>
      </c>
      <c r="F532">
        <v>28</v>
      </c>
      <c r="G532" t="s">
        <v>120</v>
      </c>
      <c r="H532" t="s">
        <v>14</v>
      </c>
      <c r="I532" t="s">
        <v>9</v>
      </c>
      <c r="J532">
        <v>5</v>
      </c>
      <c r="K532" s="4" t="str" cm="1">
        <f t="array" ref="K532">_xlfn.IFS(J532&lt;=5,"0-5",J532&lt;=10,"6-10",J532&lt;=15,"11-15",J532&lt;=20,"16-20",J532&gt;20,"21+")</f>
        <v>0-5</v>
      </c>
      <c r="L532" t="s">
        <v>56</v>
      </c>
      <c r="M532" s="2" t="str">
        <f>SUBSTITUTE(L532,"$","")</f>
        <v>50</v>
      </c>
      <c r="N532" s="8">
        <f t="shared" si="109"/>
        <v>50</v>
      </c>
      <c r="O532">
        <v>0</v>
      </c>
      <c r="P532" t="s">
        <v>60</v>
      </c>
      <c r="Q532" t="s">
        <v>2073</v>
      </c>
      <c r="R532">
        <v>96</v>
      </c>
      <c r="S532" s="3">
        <f>R532/100</f>
        <v>0.96</v>
      </c>
    </row>
    <row r="533" spans="1:19" x14ac:dyDescent="0.3">
      <c r="A533" t="s">
        <v>1136</v>
      </c>
      <c r="B533" t="s">
        <v>1137</v>
      </c>
      <c r="C533" t="str">
        <f t="shared" si="112"/>
        <v>Stacy Bailey</v>
      </c>
      <c r="D533" t="s">
        <v>31</v>
      </c>
      <c r="E533" t="str">
        <f t="shared" si="108"/>
        <v>Female</v>
      </c>
      <c r="F533">
        <v>48</v>
      </c>
      <c r="G533" t="s">
        <v>85</v>
      </c>
      <c r="H533" t="s">
        <v>86</v>
      </c>
      <c r="I533" t="s">
        <v>15</v>
      </c>
      <c r="J533">
        <v>28</v>
      </c>
      <c r="K533" s="4" t="str" cm="1">
        <f t="array" ref="K533">_xlfn.IFS(J533&lt;=5,"0-5",J533&lt;=10,"6-10",J533&lt;=15,"11-15",J533&lt;=20,"16-20",J533&gt;20,"21+")</f>
        <v>21+</v>
      </c>
      <c r="L533" t="s">
        <v>306</v>
      </c>
      <c r="M533" s="2" t="str">
        <f>TRIM(MID(L533,FIND(" ",L533)+1,LEN(L533)))</f>
        <v>20</v>
      </c>
      <c r="N533" s="8">
        <f t="shared" si="109"/>
        <v>20</v>
      </c>
      <c r="O533">
        <v>0</v>
      </c>
      <c r="P533">
        <v>0</v>
      </c>
      <c r="Q533" t="s">
        <v>2072</v>
      </c>
      <c r="R533" s="1">
        <v>0.88</v>
      </c>
      <c r="S533" s="3">
        <f>R533</f>
        <v>0.88</v>
      </c>
    </row>
    <row r="534" spans="1:19" x14ac:dyDescent="0.3">
      <c r="A534" t="s">
        <v>1138</v>
      </c>
      <c r="B534" t="s">
        <v>1139</v>
      </c>
      <c r="C534" t="str">
        <f t="shared" si="112"/>
        <v>Thomas Dixon</v>
      </c>
      <c r="D534" t="s">
        <v>53</v>
      </c>
      <c r="E534" t="str">
        <f t="shared" si="108"/>
        <v>Male</v>
      </c>
      <c r="F534">
        <v>22</v>
      </c>
      <c r="G534" t="s">
        <v>85</v>
      </c>
      <c r="H534" t="s">
        <v>86</v>
      </c>
      <c r="I534" t="s">
        <v>36</v>
      </c>
      <c r="J534">
        <v>0</v>
      </c>
      <c r="K534" s="4" t="str" cm="1">
        <f t="array" ref="K534">_xlfn.IFS(J534&lt;=5,"0-5",J534&lt;=10,"6-10",J534&lt;=15,"11-15",J534&lt;=20,"16-20",J534&gt;20,"21+")</f>
        <v>0-5</v>
      </c>
      <c r="N534" s="8" t="str">
        <f t="shared" si="109"/>
        <v/>
      </c>
      <c r="O534">
        <v>4.5999999999999996</v>
      </c>
      <c r="P534" t="b">
        <v>0</v>
      </c>
      <c r="Q534" t="s">
        <v>2072</v>
      </c>
    </row>
    <row r="535" spans="1:19" x14ac:dyDescent="0.3">
      <c r="A535" t="s">
        <v>1140</v>
      </c>
      <c r="B535" t="s">
        <v>1141</v>
      </c>
      <c r="C535" t="str">
        <f t="shared" si="112"/>
        <v>Maria Hall</v>
      </c>
      <c r="D535" t="s">
        <v>31</v>
      </c>
      <c r="E535" t="str">
        <f t="shared" si="108"/>
        <v>Female</v>
      </c>
      <c r="F535">
        <v>41</v>
      </c>
      <c r="G535" t="s">
        <v>20</v>
      </c>
      <c r="H535" t="s">
        <v>21</v>
      </c>
      <c r="I535" t="s">
        <v>27</v>
      </c>
      <c r="J535">
        <v>14</v>
      </c>
      <c r="K535" s="4" t="str" cm="1">
        <f t="array" ref="K535">_xlfn.IFS(J535&lt;=5,"0-5",J535&lt;=10,"6-10",J535&lt;=15,"11-15",J535&lt;=20,"16-20",J535&gt;20,"21+")</f>
        <v>11-15</v>
      </c>
      <c r="L535">
        <v>40</v>
      </c>
      <c r="M535" s="2">
        <f>L535</f>
        <v>40</v>
      </c>
      <c r="N535" s="8">
        <f t="shared" si="109"/>
        <v>40</v>
      </c>
      <c r="O535">
        <v>1.1000000000000001</v>
      </c>
      <c r="P535" t="b">
        <v>1</v>
      </c>
      <c r="Q535" t="s">
        <v>2073</v>
      </c>
      <c r="R535" s="1">
        <v>0.73</v>
      </c>
      <c r="S535" s="3">
        <f t="shared" ref="S535:S538" si="114">R535</f>
        <v>0.73</v>
      </c>
    </row>
    <row r="536" spans="1:19" x14ac:dyDescent="0.3">
      <c r="A536" t="s">
        <v>1142</v>
      </c>
      <c r="B536" t="s">
        <v>1143</v>
      </c>
      <c r="C536" t="str">
        <f t="shared" si="112"/>
        <v>Tony Lee</v>
      </c>
      <c r="D536" t="s">
        <v>53</v>
      </c>
      <c r="E536" t="str">
        <f t="shared" si="108"/>
        <v>Male</v>
      </c>
      <c r="F536">
        <v>38</v>
      </c>
      <c r="G536" t="s">
        <v>50</v>
      </c>
      <c r="H536" t="s">
        <v>14</v>
      </c>
      <c r="I536" t="s">
        <v>22</v>
      </c>
      <c r="J536">
        <v>15</v>
      </c>
      <c r="K536" s="4" t="str" cm="1">
        <f t="array" ref="K536">_xlfn.IFS(J536&lt;=5,"0-5",J536&lt;=10,"6-10",J536&lt;=15,"11-15",J536&lt;=20,"16-20",J536&gt;20,"21+")</f>
        <v>11-15</v>
      </c>
      <c r="N536" s="8" t="str">
        <f t="shared" si="109"/>
        <v/>
      </c>
      <c r="O536">
        <v>4.2</v>
      </c>
      <c r="P536">
        <v>0</v>
      </c>
      <c r="Q536" t="s">
        <v>2072</v>
      </c>
      <c r="R536" s="1">
        <v>0.88</v>
      </c>
      <c r="S536" s="3">
        <f t="shared" si="114"/>
        <v>0.88</v>
      </c>
    </row>
    <row r="537" spans="1:19" x14ac:dyDescent="0.3">
      <c r="A537" t="s">
        <v>1144</v>
      </c>
      <c r="B537" t="s">
        <v>1145</v>
      </c>
      <c r="C537" t="str">
        <f t="shared" si="112"/>
        <v>Catherine Mccoy MD</v>
      </c>
      <c r="D537" t="s">
        <v>12</v>
      </c>
      <c r="E537" t="str">
        <f t="shared" si="108"/>
        <v>Female</v>
      </c>
      <c r="F537">
        <v>31</v>
      </c>
      <c r="G537" t="s">
        <v>145</v>
      </c>
      <c r="H537" t="s">
        <v>146</v>
      </c>
      <c r="I537" t="s">
        <v>65</v>
      </c>
      <c r="J537">
        <v>9</v>
      </c>
      <c r="K537" s="4" t="str" cm="1">
        <f t="array" ref="K537">_xlfn.IFS(J537&lt;=5,"0-5",J537&lt;=10,"6-10",J537&lt;=15,"11-15",J537&lt;=20,"16-20",J537&gt;20,"21+")</f>
        <v>6-10</v>
      </c>
      <c r="N537" s="8" t="str">
        <f t="shared" si="109"/>
        <v/>
      </c>
      <c r="O537">
        <v>0</v>
      </c>
      <c r="P537" t="b">
        <v>0</v>
      </c>
      <c r="Q537" t="s">
        <v>2072</v>
      </c>
      <c r="R537" s="1">
        <v>0.91</v>
      </c>
      <c r="S537" s="3">
        <f t="shared" si="114"/>
        <v>0.91</v>
      </c>
    </row>
    <row r="538" spans="1:19" x14ac:dyDescent="0.3">
      <c r="A538" t="s">
        <v>1146</v>
      </c>
      <c r="B538" t="s">
        <v>1147</v>
      </c>
      <c r="C538" t="str">
        <f t="shared" si="112"/>
        <v>Maria Benitez</v>
      </c>
      <c r="D538" t="s">
        <v>26</v>
      </c>
      <c r="E538" t="str">
        <f t="shared" si="108"/>
        <v>Female</v>
      </c>
      <c r="F538">
        <v>30</v>
      </c>
      <c r="G538" t="s">
        <v>167</v>
      </c>
      <c r="H538" t="s">
        <v>168</v>
      </c>
      <c r="I538" t="s">
        <v>15</v>
      </c>
      <c r="J538">
        <v>9</v>
      </c>
      <c r="K538" s="4" t="str" cm="1">
        <f t="array" ref="K538">_xlfn.IFS(J538&lt;=5,"0-5",J538&lt;=10,"6-10",J538&lt;=15,"11-15",J538&lt;=20,"16-20",J538&gt;20,"21+")</f>
        <v>6-10</v>
      </c>
      <c r="L538" t="s">
        <v>37</v>
      </c>
      <c r="M538" s="2" t="str">
        <f>SUBSTITUTE(L538,"$","")</f>
        <v>30</v>
      </c>
      <c r="N538" s="8">
        <f t="shared" si="109"/>
        <v>30</v>
      </c>
      <c r="O538">
        <v>3.9</v>
      </c>
      <c r="P538" t="s">
        <v>151</v>
      </c>
      <c r="Q538" t="s">
        <v>2072</v>
      </c>
      <c r="R538" s="1">
        <v>0.65</v>
      </c>
      <c r="S538" s="3">
        <f t="shared" si="114"/>
        <v>0.65</v>
      </c>
    </row>
    <row r="539" spans="1:19" x14ac:dyDescent="0.3">
      <c r="A539" t="s">
        <v>1148</v>
      </c>
      <c r="B539" t="s">
        <v>1149</v>
      </c>
      <c r="C539" t="str">
        <f t="shared" si="112"/>
        <v>Joshua Chambers</v>
      </c>
      <c r="D539" t="s">
        <v>53</v>
      </c>
      <c r="E539" t="str">
        <f t="shared" si="108"/>
        <v>Male</v>
      </c>
      <c r="F539">
        <v>51</v>
      </c>
      <c r="G539" t="s">
        <v>171</v>
      </c>
      <c r="H539" t="s">
        <v>64</v>
      </c>
      <c r="I539" t="s">
        <v>65</v>
      </c>
      <c r="J539">
        <v>22</v>
      </c>
      <c r="K539" s="4" t="str" cm="1">
        <f t="array" ref="K539">_xlfn.IFS(J539&lt;=5,"0-5",J539&lt;=10,"6-10",J539&lt;=15,"11-15",J539&lt;=20,"16-20",J539&gt;20,"21+")</f>
        <v>21+</v>
      </c>
      <c r="L539">
        <v>20</v>
      </c>
      <c r="M539" s="2">
        <f>L539</f>
        <v>20</v>
      </c>
      <c r="N539" s="8">
        <f t="shared" si="109"/>
        <v>20</v>
      </c>
      <c r="O539">
        <v>3.4</v>
      </c>
      <c r="P539" t="b">
        <v>1</v>
      </c>
      <c r="Q539" t="s">
        <v>2073</v>
      </c>
      <c r="R539">
        <v>90</v>
      </c>
      <c r="S539" s="3">
        <f>R539/100</f>
        <v>0.9</v>
      </c>
    </row>
    <row r="540" spans="1:19" x14ac:dyDescent="0.3">
      <c r="A540" t="s">
        <v>1150</v>
      </c>
      <c r="B540" t="s">
        <v>1151</v>
      </c>
      <c r="C540" t="str">
        <f t="shared" si="112"/>
        <v>Janice Daniels</v>
      </c>
      <c r="D540" t="s">
        <v>6</v>
      </c>
      <c r="E540" t="str">
        <f t="shared" si="108"/>
        <v>Female</v>
      </c>
      <c r="F540">
        <v>21</v>
      </c>
      <c r="G540" t="s">
        <v>20</v>
      </c>
      <c r="H540" t="s">
        <v>21</v>
      </c>
      <c r="I540" t="s">
        <v>81</v>
      </c>
      <c r="J540">
        <v>0</v>
      </c>
      <c r="K540" s="4" t="str" cm="1">
        <f t="array" ref="K540">_xlfn.IFS(J540&lt;=5,"0-5",J540&lt;=10,"6-10",J540&lt;=15,"11-15",J540&lt;=20,"16-20",J540&gt;20,"21+")</f>
        <v>0-5</v>
      </c>
      <c r="L540" t="s">
        <v>113</v>
      </c>
      <c r="M540" s="2" t="str">
        <f>SUBSTITUTE(L540,"$","")</f>
        <v>20</v>
      </c>
      <c r="N540" s="8">
        <f t="shared" si="109"/>
        <v>20</v>
      </c>
      <c r="O540">
        <v>2.6</v>
      </c>
      <c r="P540" t="s">
        <v>23</v>
      </c>
      <c r="Q540" t="s">
        <v>2072</v>
      </c>
      <c r="R540" s="1">
        <v>0.72</v>
      </c>
      <c r="S540" s="3">
        <f t="shared" ref="S540:S541" si="115">R540</f>
        <v>0.72</v>
      </c>
    </row>
    <row r="541" spans="1:19" x14ac:dyDescent="0.3">
      <c r="A541" t="s">
        <v>1152</v>
      </c>
      <c r="B541" t="s">
        <v>1153</v>
      </c>
      <c r="C541" t="str">
        <f t="shared" si="112"/>
        <v>Carla Wood</v>
      </c>
      <c r="D541" t="s">
        <v>12</v>
      </c>
      <c r="E541" t="str">
        <f t="shared" si="108"/>
        <v>Female</v>
      </c>
      <c r="F541">
        <v>20</v>
      </c>
      <c r="G541" t="s">
        <v>7</v>
      </c>
      <c r="H541" t="s">
        <v>8</v>
      </c>
      <c r="I541" t="s">
        <v>81</v>
      </c>
      <c r="J541">
        <v>1</v>
      </c>
      <c r="K541" s="4" t="str" cm="1">
        <f t="array" ref="K541">_xlfn.IFS(J541&lt;=5,"0-5",J541&lt;=10,"6-10",J541&lt;=15,"11-15",J541&lt;=20,"16-20",J541&gt;20,"21+")</f>
        <v>0-5</v>
      </c>
      <c r="L541" t="s">
        <v>47</v>
      </c>
      <c r="M541" s="2" t="str">
        <f>TRIM(MID(L541,FIND(" ",L541)+1,LEN(L541)))</f>
        <v>40</v>
      </c>
      <c r="N541" s="8">
        <f t="shared" si="109"/>
        <v>40</v>
      </c>
      <c r="O541">
        <v>2.2999999999999998</v>
      </c>
      <c r="P541">
        <v>1</v>
      </c>
      <c r="Q541" t="s">
        <v>2073</v>
      </c>
      <c r="R541" s="1">
        <v>0.72</v>
      </c>
      <c r="S541" s="3">
        <f t="shared" si="115"/>
        <v>0.72</v>
      </c>
    </row>
    <row r="542" spans="1:19" x14ac:dyDescent="0.3">
      <c r="A542" t="s">
        <v>1154</v>
      </c>
      <c r="B542" t="s">
        <v>1155</v>
      </c>
      <c r="C542" t="str">
        <f t="shared" si="112"/>
        <v>Kenneth Vasquez</v>
      </c>
      <c r="D542" t="s">
        <v>89</v>
      </c>
      <c r="E542" t="str">
        <f t="shared" si="108"/>
        <v>Male</v>
      </c>
      <c r="F542">
        <v>30</v>
      </c>
      <c r="G542" t="s">
        <v>77</v>
      </c>
      <c r="H542" t="s">
        <v>78</v>
      </c>
      <c r="I542" t="s">
        <v>9</v>
      </c>
      <c r="J542">
        <v>5</v>
      </c>
      <c r="K542" s="4" t="str" cm="1">
        <f t="array" ref="K542">_xlfn.IFS(J542&lt;=5,"0-5",J542&lt;=10,"6-10",J542&lt;=15,"11-15",J542&lt;=20,"16-20",J542&gt;20,"21+")</f>
        <v>0-5</v>
      </c>
      <c r="L542" t="s">
        <v>37</v>
      </c>
      <c r="M542" s="2" t="str">
        <f>SUBSTITUTE(L542,"$","")</f>
        <v>30</v>
      </c>
      <c r="N542" s="8">
        <f t="shared" si="109"/>
        <v>30</v>
      </c>
      <c r="O542">
        <v>4.8</v>
      </c>
      <c r="P542" t="s">
        <v>23</v>
      </c>
      <c r="Q542" t="s">
        <v>2072</v>
      </c>
    </row>
    <row r="543" spans="1:19" x14ac:dyDescent="0.3">
      <c r="A543" t="s">
        <v>1156</v>
      </c>
      <c r="B543" t="s">
        <v>1157</v>
      </c>
      <c r="C543" t="str">
        <f t="shared" si="112"/>
        <v>Kevin Smith</v>
      </c>
      <c r="D543" t="s">
        <v>53</v>
      </c>
      <c r="E543" t="str">
        <f t="shared" si="108"/>
        <v>Male</v>
      </c>
      <c r="F543">
        <v>41</v>
      </c>
      <c r="G543" t="s">
        <v>167</v>
      </c>
      <c r="H543" t="s">
        <v>168</v>
      </c>
      <c r="I543" t="s">
        <v>43</v>
      </c>
      <c r="J543">
        <v>0</v>
      </c>
      <c r="K543" s="4" t="str" cm="1">
        <f t="array" ref="K543">_xlfn.IFS(J543&lt;=5,"0-5",J543&lt;=10,"6-10",J543&lt;=15,"11-15",J543&lt;=20,"16-20",J543&gt;20,"21+")</f>
        <v>0-5</v>
      </c>
      <c r="L543" t="s">
        <v>47</v>
      </c>
      <c r="M543" s="2" t="str">
        <f>TRIM(MID(L543,FIND(" ",L543)+1,LEN(L543)))</f>
        <v>40</v>
      </c>
      <c r="N543" s="8">
        <f t="shared" si="109"/>
        <v>40</v>
      </c>
      <c r="O543">
        <v>4.5</v>
      </c>
      <c r="P543" t="s">
        <v>23</v>
      </c>
      <c r="Q543" t="s">
        <v>2072</v>
      </c>
      <c r="R543" s="1">
        <v>0.68</v>
      </c>
      <c r="S543" s="3">
        <f t="shared" ref="S543:S546" si="116">R543</f>
        <v>0.68</v>
      </c>
    </row>
    <row r="544" spans="1:19" x14ac:dyDescent="0.3">
      <c r="A544" t="s">
        <v>1158</v>
      </c>
      <c r="B544" t="s">
        <v>1159</v>
      </c>
      <c r="C544" t="str">
        <f t="shared" si="112"/>
        <v>Thomas Kim</v>
      </c>
      <c r="D544" t="s">
        <v>89</v>
      </c>
      <c r="E544" t="str">
        <f t="shared" si="108"/>
        <v>Male</v>
      </c>
      <c r="F544">
        <v>22</v>
      </c>
      <c r="G544" t="s">
        <v>182</v>
      </c>
      <c r="H544" t="s">
        <v>64</v>
      </c>
      <c r="I544" t="s">
        <v>9</v>
      </c>
      <c r="J544">
        <v>0</v>
      </c>
      <c r="K544" s="4" t="str" cm="1">
        <f t="array" ref="K544">_xlfn.IFS(J544&lt;=5,"0-5",J544&lt;=10,"6-10",J544&lt;=15,"11-15",J544&lt;=20,"16-20",J544&gt;20,"21+")</f>
        <v>0-5</v>
      </c>
      <c r="L544" t="s">
        <v>37</v>
      </c>
      <c r="M544" s="2" t="str">
        <f>SUBSTITUTE(L544,"$","")</f>
        <v>30</v>
      </c>
      <c r="N544" s="8">
        <f t="shared" si="109"/>
        <v>30</v>
      </c>
      <c r="O544">
        <v>0</v>
      </c>
      <c r="P544">
        <v>0</v>
      </c>
      <c r="Q544" t="s">
        <v>2072</v>
      </c>
      <c r="R544" s="1">
        <v>0.87</v>
      </c>
      <c r="S544" s="3">
        <f t="shared" si="116"/>
        <v>0.87</v>
      </c>
    </row>
    <row r="545" spans="1:19" x14ac:dyDescent="0.3">
      <c r="A545" t="s">
        <v>1160</v>
      </c>
      <c r="B545" t="s">
        <v>1161</v>
      </c>
      <c r="C545" t="str">
        <f t="shared" si="112"/>
        <v>Sean Park</v>
      </c>
      <c r="D545" t="s">
        <v>53</v>
      </c>
      <c r="E545" t="str">
        <f t="shared" si="108"/>
        <v>Male</v>
      </c>
      <c r="F545">
        <v>45</v>
      </c>
      <c r="G545" t="s">
        <v>171</v>
      </c>
      <c r="H545" t="s">
        <v>64</v>
      </c>
      <c r="I545" t="s">
        <v>70</v>
      </c>
      <c r="J545">
        <v>19</v>
      </c>
      <c r="K545" s="4" t="str" cm="1">
        <f t="array" ref="K545">_xlfn.IFS(J545&lt;=5,"0-5",J545&lt;=10,"6-10",J545&lt;=15,"11-15",J545&lt;=20,"16-20",J545&gt;20,"21+")</f>
        <v>16-20</v>
      </c>
      <c r="L545">
        <v>75</v>
      </c>
      <c r="M545" s="2">
        <f t="shared" ref="M545:M550" si="117">L545</f>
        <v>75</v>
      </c>
      <c r="N545" s="8">
        <f t="shared" si="109"/>
        <v>75</v>
      </c>
      <c r="O545">
        <v>0</v>
      </c>
      <c r="P545" t="s">
        <v>151</v>
      </c>
      <c r="Q545" t="s">
        <v>2072</v>
      </c>
      <c r="R545" s="1">
        <v>0.72</v>
      </c>
      <c r="S545" s="3">
        <f t="shared" si="116"/>
        <v>0.72</v>
      </c>
    </row>
    <row r="546" spans="1:19" x14ac:dyDescent="0.3">
      <c r="A546" t="s">
        <v>1162</v>
      </c>
      <c r="B546" t="s">
        <v>1163</v>
      </c>
      <c r="C546" t="str">
        <f t="shared" si="112"/>
        <v>Judith Poole</v>
      </c>
      <c r="D546" t="s">
        <v>69</v>
      </c>
      <c r="E546" t="str">
        <f t="shared" si="108"/>
        <v>Female</v>
      </c>
      <c r="F546">
        <v>22</v>
      </c>
      <c r="G546" t="s">
        <v>13</v>
      </c>
      <c r="H546" t="s">
        <v>14</v>
      </c>
      <c r="I546" t="s">
        <v>43</v>
      </c>
      <c r="J546">
        <v>2</v>
      </c>
      <c r="K546" s="4" t="str" cm="1">
        <f t="array" ref="K546">_xlfn.IFS(J546&lt;=5,"0-5",J546&lt;=10,"6-10",J546&lt;=15,"11-15",J546&lt;=20,"16-20",J546&gt;20,"21+")</f>
        <v>0-5</v>
      </c>
      <c r="L546">
        <v>40</v>
      </c>
      <c r="M546" s="2">
        <f t="shared" si="117"/>
        <v>40</v>
      </c>
      <c r="N546" s="8">
        <f t="shared" si="109"/>
        <v>40</v>
      </c>
      <c r="O546">
        <v>1.1000000000000001</v>
      </c>
      <c r="P546" t="s">
        <v>151</v>
      </c>
      <c r="Q546" t="s">
        <v>2072</v>
      </c>
      <c r="R546" s="1">
        <v>0.76</v>
      </c>
      <c r="S546" s="3">
        <f t="shared" si="116"/>
        <v>0.76</v>
      </c>
    </row>
    <row r="547" spans="1:19" x14ac:dyDescent="0.3">
      <c r="A547" t="s">
        <v>1164</v>
      </c>
      <c r="B547" t="s">
        <v>1165</v>
      </c>
      <c r="C547" t="str">
        <f t="shared" si="112"/>
        <v>Melanie Baird</v>
      </c>
      <c r="D547" t="s">
        <v>6</v>
      </c>
      <c r="E547" t="str">
        <f t="shared" si="108"/>
        <v>Female</v>
      </c>
      <c r="F547">
        <v>20</v>
      </c>
      <c r="G547" t="s">
        <v>54</v>
      </c>
      <c r="H547" t="s">
        <v>55</v>
      </c>
      <c r="I547" t="s">
        <v>15</v>
      </c>
      <c r="J547">
        <v>0</v>
      </c>
      <c r="K547" s="4" t="str" cm="1">
        <f t="array" ref="K547">_xlfn.IFS(J547&lt;=5,"0-5",J547&lt;=10,"6-10",J547&lt;=15,"11-15",J547&lt;=20,"16-20",J547&gt;20,"21+")</f>
        <v>0-5</v>
      </c>
      <c r="L547">
        <v>100</v>
      </c>
      <c r="M547" s="2">
        <f t="shared" si="117"/>
        <v>100</v>
      </c>
      <c r="N547" s="8">
        <f t="shared" si="109"/>
        <v>100</v>
      </c>
      <c r="O547">
        <v>0</v>
      </c>
      <c r="P547">
        <v>0</v>
      </c>
      <c r="Q547" t="s">
        <v>2072</v>
      </c>
      <c r="R547">
        <v>63</v>
      </c>
      <c r="S547" s="3">
        <f>R547/100</f>
        <v>0.63</v>
      </c>
    </row>
    <row r="548" spans="1:19" x14ac:dyDescent="0.3">
      <c r="A548" t="s">
        <v>1166</v>
      </c>
      <c r="B548" t="s">
        <v>1167</v>
      </c>
      <c r="C548" t="str">
        <f t="shared" si="112"/>
        <v>Erika Mitchell</v>
      </c>
      <c r="D548" t="s">
        <v>12</v>
      </c>
      <c r="E548" t="str">
        <f t="shared" si="108"/>
        <v>Female</v>
      </c>
      <c r="F548">
        <v>20</v>
      </c>
      <c r="G548" t="s">
        <v>120</v>
      </c>
      <c r="H548" t="s">
        <v>14</v>
      </c>
      <c r="I548" t="s">
        <v>43</v>
      </c>
      <c r="J548">
        <v>2</v>
      </c>
      <c r="K548" s="4" t="str" cm="1">
        <f t="array" ref="K548">_xlfn.IFS(J548&lt;=5,"0-5",J548&lt;=10,"6-10",J548&lt;=15,"11-15",J548&lt;=20,"16-20",J548&gt;20,"21+")</f>
        <v>0-5</v>
      </c>
      <c r="L548">
        <v>40</v>
      </c>
      <c r="M548" s="2">
        <f t="shared" si="117"/>
        <v>40</v>
      </c>
      <c r="N548" s="8">
        <f t="shared" si="109"/>
        <v>40</v>
      </c>
      <c r="P548">
        <v>1</v>
      </c>
      <c r="Q548" t="s">
        <v>2073</v>
      </c>
      <c r="R548" s="1">
        <v>0.91</v>
      </c>
      <c r="S548" s="3">
        <f t="shared" ref="S548:S551" si="118">R548</f>
        <v>0.91</v>
      </c>
    </row>
    <row r="549" spans="1:19" x14ac:dyDescent="0.3">
      <c r="A549" t="s">
        <v>1168</v>
      </c>
      <c r="B549" t="s">
        <v>1169</v>
      </c>
      <c r="C549" t="str">
        <f t="shared" si="112"/>
        <v>Ricky Martinez</v>
      </c>
      <c r="D549" t="s">
        <v>84</v>
      </c>
      <c r="E549" t="str">
        <f t="shared" si="108"/>
        <v>Male</v>
      </c>
      <c r="F549">
        <v>21</v>
      </c>
      <c r="G549" t="s">
        <v>59</v>
      </c>
      <c r="H549" t="s">
        <v>14</v>
      </c>
      <c r="I549" t="s">
        <v>36</v>
      </c>
      <c r="J549">
        <v>0</v>
      </c>
      <c r="K549" s="4" t="str" cm="1">
        <f t="array" ref="K549">_xlfn.IFS(J549&lt;=5,"0-5",J549&lt;=10,"6-10",J549&lt;=15,"11-15",J549&lt;=20,"16-20",J549&gt;20,"21+")</f>
        <v>0-5</v>
      </c>
      <c r="L549">
        <v>100</v>
      </c>
      <c r="M549" s="2">
        <f t="shared" si="117"/>
        <v>100</v>
      </c>
      <c r="N549" s="8">
        <f t="shared" si="109"/>
        <v>100</v>
      </c>
      <c r="P549">
        <v>0</v>
      </c>
      <c r="Q549" t="s">
        <v>2072</v>
      </c>
      <c r="R549" s="1">
        <v>0.73</v>
      </c>
      <c r="S549" s="3">
        <f t="shared" si="118"/>
        <v>0.73</v>
      </c>
    </row>
    <row r="550" spans="1:19" x14ac:dyDescent="0.3">
      <c r="A550" t="s">
        <v>1170</v>
      </c>
      <c r="B550" t="s">
        <v>1171</v>
      </c>
      <c r="C550" t="str">
        <f t="shared" si="112"/>
        <v>John Christian</v>
      </c>
      <c r="D550" t="s">
        <v>89</v>
      </c>
      <c r="E550" t="str">
        <f t="shared" si="108"/>
        <v>Male</v>
      </c>
      <c r="F550">
        <v>22</v>
      </c>
      <c r="G550" t="s">
        <v>34</v>
      </c>
      <c r="H550" t="s">
        <v>35</v>
      </c>
      <c r="I550" t="s">
        <v>70</v>
      </c>
      <c r="J550">
        <v>1</v>
      </c>
      <c r="K550" s="4" t="str" cm="1">
        <f t="array" ref="K550">_xlfn.IFS(J550&lt;=5,"0-5",J550&lt;=10,"6-10",J550&lt;=15,"11-15",J550&lt;=20,"16-20",J550&gt;20,"21+")</f>
        <v>0-5</v>
      </c>
      <c r="L550">
        <v>40</v>
      </c>
      <c r="M550" s="2">
        <f t="shared" si="117"/>
        <v>40</v>
      </c>
      <c r="N550" s="8">
        <f t="shared" si="109"/>
        <v>40</v>
      </c>
      <c r="O550">
        <v>0</v>
      </c>
      <c r="P550">
        <v>0</v>
      </c>
      <c r="Q550" t="s">
        <v>2072</v>
      </c>
      <c r="R550" s="1">
        <v>0.63</v>
      </c>
      <c r="S550" s="3">
        <f t="shared" si="118"/>
        <v>0.63</v>
      </c>
    </row>
    <row r="551" spans="1:19" x14ac:dyDescent="0.3">
      <c r="A551" t="s">
        <v>1172</v>
      </c>
      <c r="B551" t="s">
        <v>1173</v>
      </c>
      <c r="C551" t="str">
        <f t="shared" si="112"/>
        <v>Nancy Smith</v>
      </c>
      <c r="D551" t="s">
        <v>26</v>
      </c>
      <c r="E551" t="str">
        <f t="shared" si="108"/>
        <v>Female</v>
      </c>
      <c r="F551">
        <v>28</v>
      </c>
      <c r="G551" t="s">
        <v>59</v>
      </c>
      <c r="H551" t="s">
        <v>14</v>
      </c>
      <c r="I551" t="s">
        <v>81</v>
      </c>
      <c r="J551">
        <v>3</v>
      </c>
      <c r="K551" s="4" t="str" cm="1">
        <f t="array" ref="K551">_xlfn.IFS(J551&lt;=5,"0-5",J551&lt;=10,"6-10",J551&lt;=15,"11-15",J551&lt;=20,"16-20",J551&gt;20,"21+")</f>
        <v>0-5</v>
      </c>
      <c r="L551" t="s">
        <v>306</v>
      </c>
      <c r="M551" s="2" t="str">
        <f>TRIM(MID(L551,FIND(" ",L551)+1,LEN(L551)))</f>
        <v>20</v>
      </c>
      <c r="N551" s="8">
        <f t="shared" si="109"/>
        <v>20</v>
      </c>
      <c r="P551">
        <v>1</v>
      </c>
      <c r="Q551" t="s">
        <v>2073</v>
      </c>
      <c r="R551" s="1">
        <v>0.79</v>
      </c>
      <c r="S551" s="3">
        <f t="shared" si="118"/>
        <v>0.79</v>
      </c>
    </row>
    <row r="552" spans="1:19" x14ac:dyDescent="0.3">
      <c r="A552" t="s">
        <v>1174</v>
      </c>
      <c r="B552" t="s">
        <v>1175</v>
      </c>
      <c r="C552" t="str">
        <f t="shared" si="112"/>
        <v>Cassandra Stephens</v>
      </c>
      <c r="D552" t="s">
        <v>26</v>
      </c>
      <c r="E552" t="str">
        <f t="shared" si="108"/>
        <v>Female</v>
      </c>
      <c r="F552">
        <v>59</v>
      </c>
      <c r="G552" t="s">
        <v>63</v>
      </c>
      <c r="H552" t="s">
        <v>64</v>
      </c>
      <c r="I552" t="s">
        <v>36</v>
      </c>
      <c r="K552" s="4" t="str" cm="1">
        <f t="array" ref="K552">_xlfn.IFS(J552&lt;=5,"0-5",J552&lt;=10,"6-10",J552&lt;=15,"11-15",J552&lt;=20,"16-20",J552&gt;20,"21+")</f>
        <v>0-5</v>
      </c>
      <c r="L552">
        <v>20</v>
      </c>
      <c r="M552" s="2">
        <f>L552</f>
        <v>20</v>
      </c>
      <c r="N552" s="8">
        <f t="shared" si="109"/>
        <v>20</v>
      </c>
      <c r="O552">
        <v>4.0999999999999996</v>
      </c>
      <c r="P552">
        <v>0</v>
      </c>
      <c r="Q552" t="s">
        <v>2072</v>
      </c>
      <c r="R552">
        <v>75</v>
      </c>
      <c r="S552" s="3">
        <f>R552/100</f>
        <v>0.75</v>
      </c>
    </row>
    <row r="553" spans="1:19" x14ac:dyDescent="0.3">
      <c r="A553" t="s">
        <v>1176</v>
      </c>
      <c r="B553" t="s">
        <v>1177</v>
      </c>
      <c r="C553" t="str">
        <f t="shared" si="112"/>
        <v>Miss Janet Donovan MD</v>
      </c>
      <c r="D553" t="s">
        <v>31</v>
      </c>
      <c r="E553" t="str">
        <f t="shared" si="108"/>
        <v>Female</v>
      </c>
      <c r="F553">
        <v>28</v>
      </c>
      <c r="G553" t="s">
        <v>127</v>
      </c>
      <c r="H553" t="s">
        <v>128</v>
      </c>
      <c r="I553" t="s">
        <v>27</v>
      </c>
      <c r="J553">
        <v>1</v>
      </c>
      <c r="K553" s="4" t="str" cm="1">
        <f t="array" ref="K553">_xlfn.IFS(J553&lt;=5,"0-5",J553&lt;=10,"6-10",J553&lt;=15,"11-15",J553&lt;=20,"16-20",J553&gt;20,"21+")</f>
        <v>0-5</v>
      </c>
      <c r="N553" s="8" t="str">
        <f t="shared" si="109"/>
        <v/>
      </c>
      <c r="O553">
        <v>0</v>
      </c>
      <c r="P553">
        <v>0</v>
      </c>
      <c r="Q553" t="s">
        <v>2072</v>
      </c>
      <c r="R553" s="1">
        <v>0.7</v>
      </c>
      <c r="S553" s="3">
        <f t="shared" ref="S553:S554" si="119">R553</f>
        <v>0.7</v>
      </c>
    </row>
    <row r="554" spans="1:19" x14ac:dyDescent="0.3">
      <c r="A554" t="s">
        <v>1178</v>
      </c>
      <c r="B554" t="s">
        <v>1179</v>
      </c>
      <c r="C554" t="str">
        <f t="shared" si="112"/>
        <v>Kristina Williams</v>
      </c>
      <c r="D554" t="s">
        <v>26</v>
      </c>
      <c r="E554" t="str">
        <f t="shared" si="108"/>
        <v>Female</v>
      </c>
      <c r="F554">
        <v>40</v>
      </c>
      <c r="G554" t="s">
        <v>13</v>
      </c>
      <c r="H554" t="s">
        <v>14</v>
      </c>
      <c r="I554" t="s">
        <v>81</v>
      </c>
      <c r="J554">
        <v>0</v>
      </c>
      <c r="K554" s="4" t="str" cm="1">
        <f t="array" ref="K554">_xlfn.IFS(J554&lt;=5,"0-5",J554&lt;=10,"6-10",J554&lt;=15,"11-15",J554&lt;=20,"16-20",J554&gt;20,"21+")</f>
        <v>0-5</v>
      </c>
      <c r="L554" t="s">
        <v>221</v>
      </c>
      <c r="M554" s="2" t="str">
        <f>SUBSTITUTE(L554,"$","")</f>
        <v>100</v>
      </c>
      <c r="N554" s="8">
        <f t="shared" si="109"/>
        <v>100</v>
      </c>
      <c r="O554">
        <v>1.2</v>
      </c>
      <c r="R554" s="1">
        <v>0.87</v>
      </c>
      <c r="S554" s="3">
        <f t="shared" si="119"/>
        <v>0.87</v>
      </c>
    </row>
    <row r="555" spans="1:19" x14ac:dyDescent="0.3">
      <c r="A555" t="s">
        <v>1180</v>
      </c>
      <c r="B555" t="s">
        <v>1181</v>
      </c>
      <c r="C555" t="str">
        <f t="shared" si="112"/>
        <v>Wayne Barnes</v>
      </c>
      <c r="D555" t="s">
        <v>84</v>
      </c>
      <c r="E555" t="str">
        <f t="shared" si="108"/>
        <v>Male</v>
      </c>
      <c r="F555">
        <v>57</v>
      </c>
      <c r="G555" t="s">
        <v>7</v>
      </c>
      <c r="H555" t="s">
        <v>8</v>
      </c>
      <c r="I555" t="s">
        <v>9</v>
      </c>
      <c r="J555">
        <v>7</v>
      </c>
      <c r="K555" s="4" t="str" cm="1">
        <f t="array" ref="K555">_xlfn.IFS(J555&lt;=5,"0-5",J555&lt;=10,"6-10",J555&lt;=15,"11-15",J555&lt;=20,"16-20",J555&gt;20,"21+")</f>
        <v>6-10</v>
      </c>
      <c r="L555">
        <v>30</v>
      </c>
      <c r="M555" s="2">
        <f>L555</f>
        <v>30</v>
      </c>
      <c r="N555" s="8">
        <f t="shared" si="109"/>
        <v>30</v>
      </c>
      <c r="O555">
        <v>1.6</v>
      </c>
      <c r="P555" t="s">
        <v>151</v>
      </c>
      <c r="Q555" t="s">
        <v>2072</v>
      </c>
    </row>
    <row r="556" spans="1:19" x14ac:dyDescent="0.3">
      <c r="A556" t="s">
        <v>1182</v>
      </c>
      <c r="B556" t="s">
        <v>1183</v>
      </c>
      <c r="C556" t="str">
        <f t="shared" si="112"/>
        <v>James Hinton</v>
      </c>
      <c r="D556" t="s">
        <v>53</v>
      </c>
      <c r="E556" t="str">
        <f t="shared" si="108"/>
        <v>Male</v>
      </c>
      <c r="F556">
        <v>47</v>
      </c>
      <c r="G556" t="s">
        <v>54</v>
      </c>
      <c r="H556" t="s">
        <v>55</v>
      </c>
      <c r="I556" t="s">
        <v>81</v>
      </c>
      <c r="J556">
        <v>1</v>
      </c>
      <c r="K556" s="4" t="str" cm="1">
        <f t="array" ref="K556">_xlfn.IFS(J556&lt;=5,"0-5",J556&lt;=10,"6-10",J556&lt;=15,"11-15",J556&lt;=20,"16-20",J556&gt;20,"21+")</f>
        <v>0-5</v>
      </c>
      <c r="L556">
        <v>50</v>
      </c>
      <c r="M556" s="2">
        <f>L556</f>
        <v>50</v>
      </c>
      <c r="N556" s="8">
        <f t="shared" si="109"/>
        <v>50</v>
      </c>
      <c r="O556">
        <v>3.9</v>
      </c>
      <c r="P556" t="s">
        <v>66</v>
      </c>
      <c r="Q556" t="s">
        <v>2073</v>
      </c>
      <c r="R556" s="1">
        <v>0.88</v>
      </c>
      <c r="S556" s="3">
        <f>R556</f>
        <v>0.88</v>
      </c>
    </row>
    <row r="557" spans="1:19" x14ac:dyDescent="0.3">
      <c r="A557" t="s">
        <v>1184</v>
      </c>
      <c r="B557" t="s">
        <v>1185</v>
      </c>
      <c r="C557" t="str">
        <f t="shared" si="112"/>
        <v>David Spence</v>
      </c>
      <c r="D557" t="s">
        <v>19</v>
      </c>
      <c r="E557" t="str">
        <f t="shared" si="108"/>
        <v>Male</v>
      </c>
      <c r="F557">
        <v>48</v>
      </c>
      <c r="G557" t="s">
        <v>104</v>
      </c>
      <c r="H557" t="s">
        <v>105</v>
      </c>
      <c r="I557" t="s">
        <v>70</v>
      </c>
      <c r="J557">
        <v>21</v>
      </c>
      <c r="K557" s="4" t="str" cm="1">
        <f t="array" ref="K557">_xlfn.IFS(J557&lt;=5,"0-5",J557&lt;=10,"6-10",J557&lt;=15,"11-15",J557&lt;=20,"16-20",J557&gt;20,"21+")</f>
        <v>21+</v>
      </c>
      <c r="L557">
        <v>40</v>
      </c>
      <c r="M557" s="2">
        <f>L557</f>
        <v>40</v>
      </c>
      <c r="N557" s="8">
        <f t="shared" si="109"/>
        <v>40</v>
      </c>
      <c r="O557">
        <v>0</v>
      </c>
      <c r="P557">
        <v>1</v>
      </c>
      <c r="Q557" t="s">
        <v>2073</v>
      </c>
    </row>
    <row r="558" spans="1:19" x14ac:dyDescent="0.3">
      <c r="A558" t="s">
        <v>1186</v>
      </c>
      <c r="B558" t="s">
        <v>1187</v>
      </c>
      <c r="C558" t="str">
        <f t="shared" si="112"/>
        <v>Tyler Cooper</v>
      </c>
      <c r="D558" t="s">
        <v>89</v>
      </c>
      <c r="E558" t="str">
        <f t="shared" si="108"/>
        <v>Male</v>
      </c>
      <c r="F558">
        <v>28</v>
      </c>
      <c r="G558" t="s">
        <v>50</v>
      </c>
      <c r="H558" t="s">
        <v>14</v>
      </c>
      <c r="I558" t="s">
        <v>65</v>
      </c>
      <c r="J558">
        <v>1</v>
      </c>
      <c r="K558" s="4" t="str" cm="1">
        <f t="array" ref="K558">_xlfn.IFS(J558&lt;=5,"0-5",J558&lt;=10,"6-10",J558&lt;=15,"11-15",J558&lt;=20,"16-20",J558&gt;20,"21+")</f>
        <v>0-5</v>
      </c>
      <c r="L558" t="s">
        <v>306</v>
      </c>
      <c r="M558" s="2" t="str">
        <f>TRIM(MID(L558,FIND(" ",L558)+1,LEN(L558)))</f>
        <v>20</v>
      </c>
      <c r="N558" s="8">
        <f t="shared" si="109"/>
        <v>20</v>
      </c>
      <c r="O558">
        <v>4.7</v>
      </c>
      <c r="P558" t="b">
        <v>0</v>
      </c>
      <c r="Q558" t="s">
        <v>2072</v>
      </c>
      <c r="R558" s="1">
        <v>0.93</v>
      </c>
      <c r="S558" s="3">
        <f>R558</f>
        <v>0.93</v>
      </c>
    </row>
    <row r="559" spans="1:19" x14ac:dyDescent="0.3">
      <c r="A559" t="s">
        <v>1188</v>
      </c>
      <c r="B559" t="s">
        <v>1189</v>
      </c>
      <c r="C559" t="str">
        <f t="shared" si="112"/>
        <v>Sean Martinez</v>
      </c>
      <c r="D559" t="s">
        <v>84</v>
      </c>
      <c r="E559" t="str">
        <f t="shared" si="108"/>
        <v>Male</v>
      </c>
      <c r="F559">
        <v>41</v>
      </c>
      <c r="G559" t="s">
        <v>54</v>
      </c>
      <c r="H559" t="s">
        <v>55</v>
      </c>
      <c r="I559" t="s">
        <v>22</v>
      </c>
      <c r="J559">
        <v>15</v>
      </c>
      <c r="K559" s="4" t="str" cm="1">
        <f t="array" ref="K559">_xlfn.IFS(J559&lt;=5,"0-5",J559&lt;=10,"6-10",J559&lt;=15,"11-15",J559&lt;=20,"16-20",J559&gt;20,"21+")</f>
        <v>11-15</v>
      </c>
      <c r="N559" s="8" t="str">
        <f t="shared" si="109"/>
        <v/>
      </c>
      <c r="O559">
        <v>3.8</v>
      </c>
      <c r="P559">
        <v>1</v>
      </c>
      <c r="Q559" t="s">
        <v>2073</v>
      </c>
    </row>
    <row r="560" spans="1:19" x14ac:dyDescent="0.3">
      <c r="A560" t="s">
        <v>1190</v>
      </c>
      <c r="B560" t="s">
        <v>1191</v>
      </c>
      <c r="C560" t="str">
        <f t="shared" si="112"/>
        <v>Janet Barron</v>
      </c>
      <c r="D560" t="s">
        <v>6</v>
      </c>
      <c r="E560" t="str">
        <f t="shared" si="108"/>
        <v>Female</v>
      </c>
      <c r="F560">
        <v>57</v>
      </c>
      <c r="G560" t="s">
        <v>145</v>
      </c>
      <c r="H560" t="s">
        <v>146</v>
      </c>
      <c r="I560" t="s">
        <v>70</v>
      </c>
      <c r="J560">
        <v>33</v>
      </c>
      <c r="K560" s="4" t="str" cm="1">
        <f t="array" ref="K560">_xlfn.IFS(J560&lt;=5,"0-5",J560&lt;=10,"6-10",J560&lt;=15,"11-15",J560&lt;=20,"16-20",J560&gt;20,"21+")</f>
        <v>21+</v>
      </c>
      <c r="L560">
        <v>100</v>
      </c>
      <c r="M560" s="2">
        <f>L560</f>
        <v>100</v>
      </c>
      <c r="N560" s="8">
        <f t="shared" si="109"/>
        <v>100</v>
      </c>
      <c r="O560">
        <v>3.5</v>
      </c>
      <c r="P560" t="s">
        <v>151</v>
      </c>
      <c r="Q560" t="s">
        <v>2072</v>
      </c>
      <c r="R560" s="1">
        <v>0.74</v>
      </c>
      <c r="S560" s="3">
        <f t="shared" ref="S560:S565" si="120">R560</f>
        <v>0.74</v>
      </c>
    </row>
    <row r="561" spans="1:19" x14ac:dyDescent="0.3">
      <c r="A561" t="s">
        <v>1192</v>
      </c>
      <c r="B561" t="s">
        <v>1193</v>
      </c>
      <c r="C561" t="str">
        <f t="shared" si="112"/>
        <v>Rodney Wilson</v>
      </c>
      <c r="D561" t="s">
        <v>19</v>
      </c>
      <c r="E561" t="str">
        <f t="shared" si="108"/>
        <v>Male</v>
      </c>
      <c r="F561">
        <v>60</v>
      </c>
      <c r="G561" t="s">
        <v>63</v>
      </c>
      <c r="H561" t="s">
        <v>64</v>
      </c>
      <c r="I561" t="s">
        <v>22</v>
      </c>
      <c r="J561">
        <v>39</v>
      </c>
      <c r="K561" s="4" t="str" cm="1">
        <f t="array" ref="K561">_xlfn.IFS(J561&lt;=5,"0-5",J561&lt;=10,"6-10",J561&lt;=15,"11-15",J561&lt;=20,"16-20",J561&gt;20,"21+")</f>
        <v>21+</v>
      </c>
      <c r="L561" t="s">
        <v>44</v>
      </c>
      <c r="M561" s="2" t="str">
        <f>TRIM(MID(L561,FIND(" ",L561)+1,LEN(L561)))</f>
        <v>75</v>
      </c>
      <c r="N561" s="8">
        <f t="shared" si="109"/>
        <v>75</v>
      </c>
      <c r="O561">
        <v>4</v>
      </c>
      <c r="R561" s="1">
        <v>0.7</v>
      </c>
      <c r="S561" s="3">
        <f t="shared" si="120"/>
        <v>0.7</v>
      </c>
    </row>
    <row r="562" spans="1:19" x14ac:dyDescent="0.3">
      <c r="A562" t="s">
        <v>1194</v>
      </c>
      <c r="B562" t="s">
        <v>1195</v>
      </c>
      <c r="C562" t="str">
        <f t="shared" si="112"/>
        <v>Kimberly Fitzgerald</v>
      </c>
      <c r="D562" t="s">
        <v>31</v>
      </c>
      <c r="E562" t="str">
        <f t="shared" si="108"/>
        <v>Female</v>
      </c>
      <c r="F562">
        <v>48</v>
      </c>
      <c r="G562" t="s">
        <v>131</v>
      </c>
      <c r="H562" t="s">
        <v>132</v>
      </c>
      <c r="I562" t="s">
        <v>22</v>
      </c>
      <c r="J562">
        <v>21</v>
      </c>
      <c r="K562" s="4" t="str" cm="1">
        <f t="array" ref="K562">_xlfn.IFS(J562&lt;=5,"0-5",J562&lt;=10,"6-10",J562&lt;=15,"11-15",J562&lt;=20,"16-20",J562&gt;20,"21+")</f>
        <v>21+</v>
      </c>
      <c r="L562">
        <v>30</v>
      </c>
      <c r="M562" s="2">
        <f>L562</f>
        <v>30</v>
      </c>
      <c r="N562" s="8">
        <f t="shared" si="109"/>
        <v>30</v>
      </c>
      <c r="O562">
        <v>1.6</v>
      </c>
      <c r="P562" t="s">
        <v>66</v>
      </c>
      <c r="Q562" t="s">
        <v>2073</v>
      </c>
      <c r="R562" s="1">
        <v>0.67</v>
      </c>
      <c r="S562" s="3">
        <f t="shared" si="120"/>
        <v>0.67</v>
      </c>
    </row>
    <row r="563" spans="1:19" x14ac:dyDescent="0.3">
      <c r="A563" t="s">
        <v>1196</v>
      </c>
      <c r="B563" t="s">
        <v>1197</v>
      </c>
      <c r="C563" t="str">
        <f t="shared" si="112"/>
        <v>Nicole Davis</v>
      </c>
      <c r="D563" t="s">
        <v>69</v>
      </c>
      <c r="E563" t="str">
        <f t="shared" si="108"/>
        <v>Female</v>
      </c>
      <c r="F563">
        <v>24</v>
      </c>
      <c r="G563" t="s">
        <v>127</v>
      </c>
      <c r="H563" t="s">
        <v>128</v>
      </c>
      <c r="I563" t="s">
        <v>70</v>
      </c>
      <c r="J563">
        <v>5</v>
      </c>
      <c r="K563" s="4" t="str" cm="1">
        <f t="array" ref="K563">_xlfn.IFS(J563&lt;=5,"0-5",J563&lt;=10,"6-10",J563&lt;=15,"11-15",J563&lt;=20,"16-20",J563&gt;20,"21+")</f>
        <v>0-5</v>
      </c>
      <c r="L563">
        <v>40</v>
      </c>
      <c r="M563" s="2">
        <f>L563</f>
        <v>40</v>
      </c>
      <c r="N563" s="8">
        <f t="shared" si="109"/>
        <v>40</v>
      </c>
      <c r="O563">
        <v>3</v>
      </c>
      <c r="P563" t="s">
        <v>151</v>
      </c>
      <c r="Q563" t="s">
        <v>2072</v>
      </c>
      <c r="R563" s="1">
        <v>0.86</v>
      </c>
      <c r="S563" s="3">
        <f t="shared" si="120"/>
        <v>0.86</v>
      </c>
    </row>
    <row r="564" spans="1:19" x14ac:dyDescent="0.3">
      <c r="A564" t="s">
        <v>1198</v>
      </c>
      <c r="B564" t="s">
        <v>1199</v>
      </c>
      <c r="C564" t="str">
        <f t="shared" si="112"/>
        <v>Elizabeth Hayes</v>
      </c>
      <c r="D564" t="s">
        <v>12</v>
      </c>
      <c r="E564" t="str">
        <f t="shared" si="108"/>
        <v>Female</v>
      </c>
      <c r="F564">
        <v>33</v>
      </c>
      <c r="G564" t="s">
        <v>171</v>
      </c>
      <c r="H564" t="s">
        <v>64</v>
      </c>
      <c r="I564" t="s">
        <v>81</v>
      </c>
      <c r="J564">
        <v>11</v>
      </c>
      <c r="K564" s="4" t="str" cm="1">
        <f t="array" ref="K564">_xlfn.IFS(J564&lt;=5,"0-5",J564&lt;=10,"6-10",J564&lt;=15,"11-15",J564&lt;=20,"16-20",J564&gt;20,"21+")</f>
        <v>11-15</v>
      </c>
      <c r="L564">
        <v>50</v>
      </c>
      <c r="M564" s="2">
        <f>L564</f>
        <v>50</v>
      </c>
      <c r="N564" s="8">
        <f t="shared" si="109"/>
        <v>50</v>
      </c>
      <c r="O564">
        <v>5</v>
      </c>
      <c r="P564" t="s">
        <v>60</v>
      </c>
      <c r="Q564" t="s">
        <v>2073</v>
      </c>
      <c r="R564" s="1">
        <v>0.69</v>
      </c>
      <c r="S564" s="3">
        <f t="shared" si="120"/>
        <v>0.69</v>
      </c>
    </row>
    <row r="565" spans="1:19" x14ac:dyDescent="0.3">
      <c r="A565" t="s">
        <v>1200</v>
      </c>
      <c r="B565" t="s">
        <v>1201</v>
      </c>
      <c r="C565" t="str">
        <f t="shared" si="112"/>
        <v>Kathy Faulkner</v>
      </c>
      <c r="D565" t="s">
        <v>12</v>
      </c>
      <c r="E565" t="str">
        <f t="shared" si="108"/>
        <v>Female</v>
      </c>
      <c r="F565">
        <v>20</v>
      </c>
      <c r="G565" t="s">
        <v>54</v>
      </c>
      <c r="H565" t="s">
        <v>55</v>
      </c>
      <c r="I565" t="s">
        <v>22</v>
      </c>
      <c r="J565">
        <v>0</v>
      </c>
      <c r="K565" s="4" t="str" cm="1">
        <f t="array" ref="K565">_xlfn.IFS(J565&lt;=5,"0-5",J565&lt;=10,"6-10",J565&lt;=15,"11-15",J565&lt;=20,"16-20",J565&gt;20,"21+")</f>
        <v>0-5</v>
      </c>
      <c r="L565">
        <v>30</v>
      </c>
      <c r="M565" s="2">
        <f>L565</f>
        <v>30</v>
      </c>
      <c r="N565" s="8">
        <f t="shared" si="109"/>
        <v>30</v>
      </c>
      <c r="O565">
        <v>4.8</v>
      </c>
      <c r="P565" t="s">
        <v>60</v>
      </c>
      <c r="Q565" t="s">
        <v>2073</v>
      </c>
      <c r="R565" s="1">
        <v>0.68</v>
      </c>
      <c r="S565" s="3">
        <f t="shared" si="120"/>
        <v>0.68</v>
      </c>
    </row>
    <row r="566" spans="1:19" x14ac:dyDescent="0.3">
      <c r="A566" t="s">
        <v>1202</v>
      </c>
      <c r="B566" t="s">
        <v>1203</v>
      </c>
      <c r="C566" t="str">
        <f t="shared" si="112"/>
        <v>John Gonzales</v>
      </c>
      <c r="D566" t="s">
        <v>53</v>
      </c>
      <c r="E566" t="str">
        <f t="shared" si="108"/>
        <v>Male</v>
      </c>
      <c r="F566">
        <v>59</v>
      </c>
      <c r="G566" t="s">
        <v>59</v>
      </c>
      <c r="H566" t="s">
        <v>14</v>
      </c>
      <c r="I566" t="s">
        <v>81</v>
      </c>
      <c r="J566">
        <v>15</v>
      </c>
      <c r="K566" s="4" t="str" cm="1">
        <f t="array" ref="K566">_xlfn.IFS(J566&lt;=5,"0-5",J566&lt;=10,"6-10",J566&lt;=15,"11-15",J566&lt;=20,"16-20",J566&gt;20,"21+")</f>
        <v>11-15</v>
      </c>
      <c r="L566" t="s">
        <v>56</v>
      </c>
      <c r="M566" s="2" t="str">
        <f>SUBSTITUTE(L566,"$","")</f>
        <v>50</v>
      </c>
      <c r="N566" s="8">
        <f t="shared" si="109"/>
        <v>50</v>
      </c>
      <c r="P566" t="s">
        <v>151</v>
      </c>
      <c r="Q566" t="s">
        <v>2072</v>
      </c>
    </row>
    <row r="567" spans="1:19" x14ac:dyDescent="0.3">
      <c r="A567" t="s">
        <v>1204</v>
      </c>
      <c r="B567" t="s">
        <v>1205</v>
      </c>
      <c r="C567" t="str">
        <f t="shared" si="112"/>
        <v>Shannon Luna</v>
      </c>
      <c r="D567" t="s">
        <v>31</v>
      </c>
      <c r="E567" t="str">
        <f t="shared" si="108"/>
        <v>Female</v>
      </c>
      <c r="F567">
        <v>42</v>
      </c>
      <c r="G567" t="s">
        <v>167</v>
      </c>
      <c r="H567" t="s">
        <v>168</v>
      </c>
      <c r="I567" t="s">
        <v>81</v>
      </c>
      <c r="J567">
        <v>22</v>
      </c>
      <c r="K567" s="4" t="str" cm="1">
        <f t="array" ref="K567">_xlfn.IFS(J567&lt;=5,"0-5",J567&lt;=10,"6-10",J567&lt;=15,"11-15",J567&lt;=20,"16-20",J567&gt;20,"21+")</f>
        <v>21+</v>
      </c>
      <c r="N567" s="8" t="str">
        <f t="shared" si="109"/>
        <v/>
      </c>
      <c r="O567">
        <v>2.9</v>
      </c>
      <c r="P567">
        <v>0</v>
      </c>
      <c r="Q567" t="s">
        <v>2072</v>
      </c>
      <c r="R567" s="1">
        <v>0.61</v>
      </c>
      <c r="S567" s="3">
        <f t="shared" ref="S567:S572" si="121">R567</f>
        <v>0.61</v>
      </c>
    </row>
    <row r="568" spans="1:19" x14ac:dyDescent="0.3">
      <c r="A568" t="s">
        <v>1206</v>
      </c>
      <c r="B568" t="s">
        <v>1207</v>
      </c>
      <c r="C568" t="str">
        <f t="shared" si="112"/>
        <v>Stephanie Burton</v>
      </c>
      <c r="D568" t="s">
        <v>12</v>
      </c>
      <c r="E568" t="str">
        <f t="shared" si="108"/>
        <v>Female</v>
      </c>
      <c r="F568">
        <v>22</v>
      </c>
      <c r="G568" t="s">
        <v>54</v>
      </c>
      <c r="H568" t="s">
        <v>55</v>
      </c>
      <c r="I568" t="s">
        <v>65</v>
      </c>
      <c r="J568">
        <v>3</v>
      </c>
      <c r="K568" s="4" t="str" cm="1">
        <f t="array" ref="K568">_xlfn.IFS(J568&lt;=5,"0-5",J568&lt;=10,"6-10",J568&lt;=15,"11-15",J568&lt;=20,"16-20",J568&gt;20,"21+")</f>
        <v>0-5</v>
      </c>
      <c r="N568" s="8" t="str">
        <f t="shared" si="109"/>
        <v/>
      </c>
      <c r="O568">
        <v>3</v>
      </c>
      <c r="P568" t="b">
        <v>1</v>
      </c>
      <c r="Q568" t="s">
        <v>2073</v>
      </c>
      <c r="R568" s="1">
        <v>0.96</v>
      </c>
      <c r="S568" s="3">
        <f t="shared" si="121"/>
        <v>0.96</v>
      </c>
    </row>
    <row r="569" spans="1:19" x14ac:dyDescent="0.3">
      <c r="A569" t="s">
        <v>1208</v>
      </c>
      <c r="B569" t="s">
        <v>1209</v>
      </c>
      <c r="C569" t="str">
        <f t="shared" si="112"/>
        <v>Kevin Gonzales</v>
      </c>
      <c r="D569" t="s">
        <v>84</v>
      </c>
      <c r="E569" t="str">
        <f t="shared" si="108"/>
        <v>Male</v>
      </c>
      <c r="F569">
        <v>41</v>
      </c>
      <c r="G569" t="s">
        <v>120</v>
      </c>
      <c r="H569" t="s">
        <v>14</v>
      </c>
      <c r="I569" t="s">
        <v>70</v>
      </c>
      <c r="J569">
        <v>11</v>
      </c>
      <c r="K569" s="4" t="str" cm="1">
        <f t="array" ref="K569">_xlfn.IFS(J569&lt;=5,"0-5",J569&lt;=10,"6-10",J569&lt;=15,"11-15",J569&lt;=20,"16-20",J569&gt;20,"21+")</f>
        <v>11-15</v>
      </c>
      <c r="L569">
        <v>50</v>
      </c>
      <c r="M569" s="2">
        <f>L569</f>
        <v>50</v>
      </c>
      <c r="N569" s="8">
        <f t="shared" si="109"/>
        <v>50</v>
      </c>
      <c r="O569">
        <v>3.5</v>
      </c>
      <c r="P569">
        <v>1</v>
      </c>
      <c r="Q569" t="s">
        <v>2073</v>
      </c>
      <c r="R569" s="1">
        <v>0.68</v>
      </c>
      <c r="S569" s="3">
        <f t="shared" si="121"/>
        <v>0.68</v>
      </c>
    </row>
    <row r="570" spans="1:19" x14ac:dyDescent="0.3">
      <c r="A570" t="s">
        <v>1210</v>
      </c>
      <c r="B570" t="s">
        <v>1211</v>
      </c>
      <c r="C570" t="str">
        <f t="shared" si="112"/>
        <v>Dawn Hardy</v>
      </c>
      <c r="D570" t="s">
        <v>69</v>
      </c>
      <c r="E570" t="str">
        <f t="shared" si="108"/>
        <v>Female</v>
      </c>
      <c r="F570">
        <v>25</v>
      </c>
      <c r="G570" t="s">
        <v>63</v>
      </c>
      <c r="H570" t="s">
        <v>64</v>
      </c>
      <c r="I570" t="s">
        <v>27</v>
      </c>
      <c r="J570">
        <v>5</v>
      </c>
      <c r="K570" s="4" t="str" cm="1">
        <f t="array" ref="K570">_xlfn.IFS(J570&lt;=5,"0-5",J570&lt;=10,"6-10",J570&lt;=15,"11-15",J570&lt;=20,"16-20",J570&gt;20,"21+")</f>
        <v>0-5</v>
      </c>
      <c r="L570">
        <v>40</v>
      </c>
      <c r="M570" s="2">
        <f>L570</f>
        <v>40</v>
      </c>
      <c r="N570" s="8">
        <f t="shared" si="109"/>
        <v>40</v>
      </c>
      <c r="P570" t="b">
        <v>1</v>
      </c>
      <c r="Q570" t="s">
        <v>2073</v>
      </c>
      <c r="R570" s="1">
        <v>0.75</v>
      </c>
      <c r="S570" s="3">
        <f t="shared" si="121"/>
        <v>0.75</v>
      </c>
    </row>
    <row r="571" spans="1:19" x14ac:dyDescent="0.3">
      <c r="A571" t="s">
        <v>1212</v>
      </c>
      <c r="B571" t="s">
        <v>1213</v>
      </c>
      <c r="C571" t="str">
        <f t="shared" si="112"/>
        <v>Margaret Perkins</v>
      </c>
      <c r="D571" t="s">
        <v>6</v>
      </c>
      <c r="E571" t="str">
        <f t="shared" si="108"/>
        <v>Female</v>
      </c>
      <c r="F571">
        <v>38</v>
      </c>
      <c r="G571" t="s">
        <v>120</v>
      </c>
      <c r="H571" t="s">
        <v>14</v>
      </c>
      <c r="I571" t="s">
        <v>65</v>
      </c>
      <c r="J571">
        <v>3</v>
      </c>
      <c r="K571" s="4" t="str" cm="1">
        <f t="array" ref="K571">_xlfn.IFS(J571&lt;=5,"0-5",J571&lt;=10,"6-10",J571&lt;=15,"11-15",J571&lt;=20,"16-20",J571&gt;20,"21+")</f>
        <v>0-5</v>
      </c>
      <c r="L571">
        <v>40</v>
      </c>
      <c r="M571" s="2">
        <f>L571</f>
        <v>40</v>
      </c>
      <c r="N571" s="8">
        <f t="shared" si="109"/>
        <v>40</v>
      </c>
      <c r="O571">
        <v>4.7</v>
      </c>
      <c r="P571">
        <v>0</v>
      </c>
      <c r="Q571" t="s">
        <v>2072</v>
      </c>
      <c r="R571" s="1">
        <v>0.69</v>
      </c>
      <c r="S571" s="3">
        <f t="shared" si="121"/>
        <v>0.69</v>
      </c>
    </row>
    <row r="572" spans="1:19" x14ac:dyDescent="0.3">
      <c r="A572" t="s">
        <v>1214</v>
      </c>
      <c r="B572" t="s">
        <v>1215</v>
      </c>
      <c r="C572" t="str">
        <f t="shared" si="112"/>
        <v>Amanda Vargas</v>
      </c>
      <c r="D572" t="s">
        <v>31</v>
      </c>
      <c r="E572" t="str">
        <f t="shared" si="108"/>
        <v>Female</v>
      </c>
      <c r="F572">
        <v>43</v>
      </c>
      <c r="G572" t="s">
        <v>50</v>
      </c>
      <c r="H572" t="s">
        <v>14</v>
      </c>
      <c r="I572" t="s">
        <v>81</v>
      </c>
      <c r="J572">
        <v>1</v>
      </c>
      <c r="K572" s="4" t="str" cm="1">
        <f t="array" ref="K572">_xlfn.IFS(J572&lt;=5,"0-5",J572&lt;=10,"6-10",J572&lt;=15,"11-15",J572&lt;=20,"16-20",J572&gt;20,"21+")</f>
        <v>0-5</v>
      </c>
      <c r="N572" s="8" t="str">
        <f t="shared" si="109"/>
        <v/>
      </c>
      <c r="O572">
        <v>2.9</v>
      </c>
      <c r="P572" t="s">
        <v>151</v>
      </c>
      <c r="Q572" t="s">
        <v>2072</v>
      </c>
      <c r="R572" s="1">
        <v>0.78</v>
      </c>
      <c r="S572" s="3">
        <f t="shared" si="121"/>
        <v>0.78</v>
      </c>
    </row>
    <row r="573" spans="1:19" x14ac:dyDescent="0.3">
      <c r="A573" t="s">
        <v>1216</v>
      </c>
      <c r="B573" t="s">
        <v>1217</v>
      </c>
      <c r="C573" t="str">
        <f t="shared" si="112"/>
        <v>Tonya Gonzalez</v>
      </c>
      <c r="D573" t="s">
        <v>26</v>
      </c>
      <c r="E573" t="str">
        <f t="shared" si="108"/>
        <v>Female</v>
      </c>
      <c r="F573">
        <v>54</v>
      </c>
      <c r="G573" t="s">
        <v>171</v>
      </c>
      <c r="H573" t="s">
        <v>64</v>
      </c>
      <c r="I573" t="s">
        <v>36</v>
      </c>
      <c r="J573">
        <v>1</v>
      </c>
      <c r="K573" s="4" t="str" cm="1">
        <f t="array" ref="K573">_xlfn.IFS(J573&lt;=5,"0-5",J573&lt;=10,"6-10",J573&lt;=15,"11-15",J573&lt;=20,"16-20",J573&gt;20,"21+")</f>
        <v>0-5</v>
      </c>
      <c r="L573">
        <v>75</v>
      </c>
      <c r="M573" s="2">
        <f>L573</f>
        <v>75</v>
      </c>
      <c r="N573" s="8">
        <f t="shared" si="109"/>
        <v>75</v>
      </c>
      <c r="O573">
        <v>4.4000000000000004</v>
      </c>
      <c r="P573" t="s">
        <v>66</v>
      </c>
      <c r="Q573" t="s">
        <v>2073</v>
      </c>
    </row>
    <row r="574" spans="1:19" x14ac:dyDescent="0.3">
      <c r="A574" t="s">
        <v>1218</v>
      </c>
      <c r="B574" t="s">
        <v>1219</v>
      </c>
      <c r="C574" t="str">
        <f t="shared" si="112"/>
        <v>Elizabeth Bowman</v>
      </c>
      <c r="D574" t="s">
        <v>26</v>
      </c>
      <c r="E574" t="str">
        <f t="shared" si="108"/>
        <v>Female</v>
      </c>
      <c r="F574">
        <v>31</v>
      </c>
      <c r="G574" t="s">
        <v>41</v>
      </c>
      <c r="H574" t="s">
        <v>42</v>
      </c>
      <c r="I574" t="s">
        <v>15</v>
      </c>
      <c r="J574">
        <v>2</v>
      </c>
      <c r="K574" s="4" t="str" cm="1">
        <f t="array" ref="K574">_xlfn.IFS(J574&lt;=5,"0-5",J574&lt;=10,"6-10",J574&lt;=15,"11-15",J574&lt;=20,"16-20",J574&gt;20,"21+")</f>
        <v>0-5</v>
      </c>
      <c r="L574">
        <v>40</v>
      </c>
      <c r="M574" s="2">
        <f>L574</f>
        <v>40</v>
      </c>
      <c r="N574" s="8">
        <f t="shared" si="109"/>
        <v>40</v>
      </c>
      <c r="O574">
        <v>2.2999999999999998</v>
      </c>
      <c r="P574" t="s">
        <v>23</v>
      </c>
      <c r="Q574" t="s">
        <v>2072</v>
      </c>
      <c r="R574" s="1">
        <v>0.98</v>
      </c>
      <c r="S574" s="3">
        <f t="shared" ref="S574:S580" si="122">R574</f>
        <v>0.98</v>
      </c>
    </row>
    <row r="575" spans="1:19" x14ac:dyDescent="0.3">
      <c r="A575" t="s">
        <v>1220</v>
      </c>
      <c r="B575" t="s">
        <v>1221</v>
      </c>
      <c r="C575" t="str">
        <f t="shared" si="112"/>
        <v>Ariana Pittman</v>
      </c>
      <c r="D575" t="s">
        <v>6</v>
      </c>
      <c r="E575" t="str">
        <f t="shared" si="108"/>
        <v>Female</v>
      </c>
      <c r="F575">
        <v>56</v>
      </c>
      <c r="G575" t="s">
        <v>171</v>
      </c>
      <c r="H575" t="s">
        <v>64</v>
      </c>
      <c r="I575" t="s">
        <v>36</v>
      </c>
      <c r="J575">
        <v>3</v>
      </c>
      <c r="K575" s="4" t="str" cm="1">
        <f t="array" ref="K575">_xlfn.IFS(J575&lt;=5,"0-5",J575&lt;=10,"6-10",J575&lt;=15,"11-15",J575&lt;=20,"16-20",J575&gt;20,"21+")</f>
        <v>0-5</v>
      </c>
      <c r="L575" t="s">
        <v>37</v>
      </c>
      <c r="M575" s="2" t="str">
        <f>SUBSTITUTE(L575,"$","")</f>
        <v>30</v>
      </c>
      <c r="N575" s="8">
        <f t="shared" si="109"/>
        <v>30</v>
      </c>
      <c r="O575">
        <v>3.7</v>
      </c>
      <c r="R575" s="1">
        <v>0.83</v>
      </c>
      <c r="S575" s="3">
        <f t="shared" si="122"/>
        <v>0.83</v>
      </c>
    </row>
    <row r="576" spans="1:19" x14ac:dyDescent="0.3">
      <c r="A576" t="s">
        <v>1222</v>
      </c>
      <c r="B576" t="s">
        <v>1223</v>
      </c>
      <c r="C576" t="str">
        <f t="shared" si="112"/>
        <v>Antonio Johnson</v>
      </c>
      <c r="D576" t="s">
        <v>53</v>
      </c>
      <c r="E576" t="str">
        <f t="shared" si="108"/>
        <v>Male</v>
      </c>
      <c r="F576">
        <v>46</v>
      </c>
      <c r="G576" t="s">
        <v>171</v>
      </c>
      <c r="H576" t="s">
        <v>64</v>
      </c>
      <c r="I576" t="s">
        <v>22</v>
      </c>
      <c r="J576">
        <v>11</v>
      </c>
      <c r="K576" s="4" t="str" cm="1">
        <f t="array" ref="K576">_xlfn.IFS(J576&lt;=5,"0-5",J576&lt;=10,"6-10",J576&lt;=15,"11-15",J576&lt;=20,"16-20",J576&gt;20,"21+")</f>
        <v>11-15</v>
      </c>
      <c r="N576" s="8" t="str">
        <f t="shared" si="109"/>
        <v/>
      </c>
      <c r="O576">
        <v>1.8</v>
      </c>
      <c r="P576">
        <v>1</v>
      </c>
      <c r="Q576" t="s">
        <v>2073</v>
      </c>
      <c r="R576" s="1">
        <v>0.91</v>
      </c>
      <c r="S576" s="3">
        <f t="shared" si="122"/>
        <v>0.91</v>
      </c>
    </row>
    <row r="577" spans="1:19" x14ac:dyDescent="0.3">
      <c r="A577" t="s">
        <v>1224</v>
      </c>
      <c r="B577" t="s">
        <v>1225</v>
      </c>
      <c r="C577" t="str">
        <f t="shared" si="112"/>
        <v>Justin Lang</v>
      </c>
      <c r="D577" t="s">
        <v>89</v>
      </c>
      <c r="E577" t="str">
        <f t="shared" si="108"/>
        <v>Male</v>
      </c>
      <c r="F577">
        <v>60</v>
      </c>
      <c r="G577" t="s">
        <v>131</v>
      </c>
      <c r="H577" t="s">
        <v>132</v>
      </c>
      <c r="I577" t="s">
        <v>36</v>
      </c>
      <c r="K577" s="4" t="str" cm="1">
        <f t="array" ref="K577">_xlfn.IFS(J577&lt;=5,"0-5",J577&lt;=10,"6-10",J577&lt;=15,"11-15",J577&lt;=20,"16-20",J577&gt;20,"21+")</f>
        <v>0-5</v>
      </c>
      <c r="L577">
        <v>100</v>
      </c>
      <c r="M577" s="2">
        <f>L577</f>
        <v>100</v>
      </c>
      <c r="N577" s="8">
        <f t="shared" si="109"/>
        <v>100</v>
      </c>
      <c r="O577">
        <v>0</v>
      </c>
      <c r="P577">
        <v>1</v>
      </c>
      <c r="Q577" t="s">
        <v>2073</v>
      </c>
      <c r="R577" s="1">
        <v>0.96</v>
      </c>
      <c r="S577" s="3">
        <f t="shared" si="122"/>
        <v>0.96</v>
      </c>
    </row>
    <row r="578" spans="1:19" x14ac:dyDescent="0.3">
      <c r="A578" t="s">
        <v>1226</v>
      </c>
      <c r="B578" t="s">
        <v>1227</v>
      </c>
      <c r="C578" t="str">
        <f t="shared" si="112"/>
        <v>Kelli Ramirez</v>
      </c>
      <c r="D578" t="s">
        <v>26</v>
      </c>
      <c r="E578" t="str">
        <f t="shared" ref="E578:E641" si="123">IF(LOWER(LEFT(D578,1))="f","Female","Male")</f>
        <v>Female</v>
      </c>
      <c r="F578">
        <v>28</v>
      </c>
      <c r="G578" t="s">
        <v>104</v>
      </c>
      <c r="H578" t="s">
        <v>105</v>
      </c>
      <c r="I578" t="s">
        <v>22</v>
      </c>
      <c r="J578">
        <v>2</v>
      </c>
      <c r="K578" s="4" t="str" cm="1">
        <f t="array" ref="K578">_xlfn.IFS(J578&lt;=5,"0-5",J578&lt;=10,"6-10",J578&lt;=15,"11-15",J578&lt;=20,"16-20",J578&gt;20,"21+")</f>
        <v>0-5</v>
      </c>
      <c r="L578" t="s">
        <v>90</v>
      </c>
      <c r="M578" s="2" t="str">
        <f>TRIM(MID(L578,FIND(" ",L578)+1,LEN(L578)))</f>
        <v>50</v>
      </c>
      <c r="N578" s="8">
        <f t="shared" si="109"/>
        <v>50</v>
      </c>
      <c r="P578">
        <v>1</v>
      </c>
      <c r="Q578" t="s">
        <v>2073</v>
      </c>
      <c r="R578" s="1">
        <v>0.85</v>
      </c>
      <c r="S578" s="3">
        <f t="shared" si="122"/>
        <v>0.85</v>
      </c>
    </row>
    <row r="579" spans="1:19" x14ac:dyDescent="0.3">
      <c r="A579" t="s">
        <v>1228</v>
      </c>
      <c r="B579" t="s">
        <v>1229</v>
      </c>
      <c r="C579" t="str">
        <f t="shared" si="112"/>
        <v>Deborah Torres</v>
      </c>
      <c r="D579" t="s">
        <v>26</v>
      </c>
      <c r="E579" t="str">
        <f t="shared" si="123"/>
        <v>Female</v>
      </c>
      <c r="F579">
        <v>43</v>
      </c>
      <c r="G579" t="s">
        <v>41</v>
      </c>
      <c r="H579" t="s">
        <v>42</v>
      </c>
      <c r="I579" t="s">
        <v>27</v>
      </c>
      <c r="J579">
        <v>20</v>
      </c>
      <c r="K579" s="4" t="str" cm="1">
        <f t="array" ref="K579">_xlfn.IFS(J579&lt;=5,"0-5",J579&lt;=10,"6-10",J579&lt;=15,"11-15",J579&lt;=20,"16-20",J579&gt;20,"21+")</f>
        <v>16-20</v>
      </c>
      <c r="L579" t="s">
        <v>101</v>
      </c>
      <c r="M579" s="2" t="str">
        <f>TRIM(MID(L579,FIND(" ",L579)+1,LEN(L579)))</f>
        <v>30</v>
      </c>
      <c r="N579" s="8">
        <f t="shared" ref="N579:N642" si="124">IF(M579="", "", VALUE(M579))</f>
        <v>30</v>
      </c>
      <c r="O579">
        <v>2.7</v>
      </c>
      <c r="P579" t="b">
        <v>0</v>
      </c>
      <c r="Q579" t="s">
        <v>2072</v>
      </c>
      <c r="R579" s="1">
        <v>0.72</v>
      </c>
      <c r="S579" s="3">
        <f t="shared" si="122"/>
        <v>0.72</v>
      </c>
    </row>
    <row r="580" spans="1:19" x14ac:dyDescent="0.3">
      <c r="A580" t="s">
        <v>1230</v>
      </c>
      <c r="B580" t="s">
        <v>1231</v>
      </c>
      <c r="C580" t="str">
        <f t="shared" si="112"/>
        <v>Joseph Horn</v>
      </c>
      <c r="D580" t="s">
        <v>53</v>
      </c>
      <c r="E580" t="str">
        <f t="shared" si="123"/>
        <v>Male</v>
      </c>
      <c r="F580">
        <v>41</v>
      </c>
      <c r="G580" t="s">
        <v>127</v>
      </c>
      <c r="H580" t="s">
        <v>128</v>
      </c>
      <c r="I580" t="s">
        <v>27</v>
      </c>
      <c r="J580">
        <v>11</v>
      </c>
      <c r="K580" s="4" t="str" cm="1">
        <f t="array" ref="K580">_xlfn.IFS(J580&lt;=5,"0-5",J580&lt;=10,"6-10",J580&lt;=15,"11-15",J580&lt;=20,"16-20",J580&gt;20,"21+")</f>
        <v>11-15</v>
      </c>
      <c r="L580" t="s">
        <v>113</v>
      </c>
      <c r="M580" s="2" t="str">
        <f>SUBSTITUTE(L580,"$","")</f>
        <v>20</v>
      </c>
      <c r="N580" s="8">
        <f t="shared" si="124"/>
        <v>20</v>
      </c>
      <c r="O580">
        <v>4.7</v>
      </c>
      <c r="R580" s="1">
        <v>0.69</v>
      </c>
      <c r="S580" s="3">
        <f t="shared" si="122"/>
        <v>0.69</v>
      </c>
    </row>
    <row r="581" spans="1:19" x14ac:dyDescent="0.3">
      <c r="A581" t="s">
        <v>1232</v>
      </c>
      <c r="B581" t="s">
        <v>1233</v>
      </c>
      <c r="C581" t="str">
        <f t="shared" si="112"/>
        <v>Christopher Robinson</v>
      </c>
      <c r="D581" t="s">
        <v>19</v>
      </c>
      <c r="E581" t="str">
        <f t="shared" si="123"/>
        <v>Male</v>
      </c>
      <c r="F581">
        <v>41</v>
      </c>
      <c r="G581" t="s">
        <v>59</v>
      </c>
      <c r="H581" t="s">
        <v>14</v>
      </c>
      <c r="I581" t="s">
        <v>81</v>
      </c>
      <c r="J581">
        <v>0</v>
      </c>
      <c r="K581" s="4" t="str" cm="1">
        <f t="array" ref="K581">_xlfn.IFS(J581&lt;=5,"0-5",J581&lt;=10,"6-10",J581&lt;=15,"11-15",J581&lt;=20,"16-20",J581&gt;20,"21+")</f>
        <v>0-5</v>
      </c>
      <c r="L581" t="s">
        <v>113</v>
      </c>
      <c r="M581" s="2" t="str">
        <f>SUBSTITUTE(L581,"$","")</f>
        <v>20</v>
      </c>
      <c r="N581" s="8">
        <f t="shared" si="124"/>
        <v>20</v>
      </c>
      <c r="O581">
        <v>3.1</v>
      </c>
      <c r="P581">
        <v>0</v>
      </c>
      <c r="Q581" t="s">
        <v>2072</v>
      </c>
      <c r="R581">
        <v>90</v>
      </c>
      <c r="S581" s="3">
        <f>R581/100</f>
        <v>0.9</v>
      </c>
    </row>
    <row r="582" spans="1:19" x14ac:dyDescent="0.3">
      <c r="A582" t="s">
        <v>1234</v>
      </c>
      <c r="B582" t="s">
        <v>1235</v>
      </c>
      <c r="C582" t="str">
        <f t="shared" si="112"/>
        <v>Sandra Mccormick</v>
      </c>
      <c r="D582" t="s">
        <v>26</v>
      </c>
      <c r="E582" t="str">
        <f t="shared" si="123"/>
        <v>Female</v>
      </c>
      <c r="F582">
        <v>40</v>
      </c>
      <c r="G582" t="s">
        <v>59</v>
      </c>
      <c r="H582" t="s">
        <v>14</v>
      </c>
      <c r="I582" t="s">
        <v>15</v>
      </c>
      <c r="J582">
        <v>20</v>
      </c>
      <c r="K582" s="4" t="str" cm="1">
        <f t="array" ref="K582">_xlfn.IFS(J582&lt;=5,"0-5",J582&lt;=10,"6-10",J582&lt;=15,"11-15",J582&lt;=20,"16-20",J582&gt;20,"21+")</f>
        <v>16-20</v>
      </c>
      <c r="L582">
        <v>20</v>
      </c>
      <c r="M582" s="2">
        <f>L582</f>
        <v>20</v>
      </c>
      <c r="N582" s="8">
        <f t="shared" si="124"/>
        <v>20</v>
      </c>
      <c r="O582">
        <v>2.2999999999999998</v>
      </c>
      <c r="P582">
        <v>0</v>
      </c>
      <c r="Q582" t="s">
        <v>2072</v>
      </c>
      <c r="R582" s="1">
        <v>0.92</v>
      </c>
      <c r="S582" s="3">
        <f t="shared" ref="S582:S583" si="125">R582</f>
        <v>0.92</v>
      </c>
    </row>
    <row r="583" spans="1:19" x14ac:dyDescent="0.3">
      <c r="A583" t="s">
        <v>1236</v>
      </c>
      <c r="B583" t="s">
        <v>1237</v>
      </c>
      <c r="C583" t="str">
        <f t="shared" si="112"/>
        <v>Michael Holland</v>
      </c>
      <c r="D583" t="s">
        <v>89</v>
      </c>
      <c r="E583" t="str">
        <f t="shared" si="123"/>
        <v>Male</v>
      </c>
      <c r="F583">
        <v>45</v>
      </c>
      <c r="G583" t="s">
        <v>20</v>
      </c>
      <c r="H583" t="s">
        <v>21</v>
      </c>
      <c r="I583" t="s">
        <v>81</v>
      </c>
      <c r="J583">
        <v>3</v>
      </c>
      <c r="K583" s="4" t="str" cm="1">
        <f t="array" ref="K583">_xlfn.IFS(J583&lt;=5,"0-5",J583&lt;=10,"6-10",J583&lt;=15,"11-15",J583&lt;=20,"16-20",J583&gt;20,"21+")</f>
        <v>0-5</v>
      </c>
      <c r="L583" t="s">
        <v>306</v>
      </c>
      <c r="M583" s="2" t="str">
        <f>TRIM(MID(L583,FIND(" ",L583)+1,LEN(L583)))</f>
        <v>20</v>
      </c>
      <c r="N583" s="8">
        <f t="shared" si="124"/>
        <v>20</v>
      </c>
      <c r="O583">
        <v>1.3</v>
      </c>
      <c r="P583" t="s">
        <v>66</v>
      </c>
      <c r="Q583" t="s">
        <v>2073</v>
      </c>
      <c r="R583" s="1">
        <v>0.91</v>
      </c>
      <c r="S583" s="3">
        <f t="shared" si="125"/>
        <v>0.91</v>
      </c>
    </row>
    <row r="584" spans="1:19" x14ac:dyDescent="0.3">
      <c r="A584" t="s">
        <v>1238</v>
      </c>
      <c r="B584" t="s">
        <v>1239</v>
      </c>
      <c r="C584" t="str">
        <f t="shared" si="112"/>
        <v>Kenneth Stevenson</v>
      </c>
      <c r="D584" t="s">
        <v>53</v>
      </c>
      <c r="E584" t="str">
        <f t="shared" si="123"/>
        <v>Male</v>
      </c>
      <c r="F584">
        <v>47</v>
      </c>
      <c r="G584" t="s">
        <v>131</v>
      </c>
      <c r="H584" t="s">
        <v>132</v>
      </c>
      <c r="I584" t="s">
        <v>81</v>
      </c>
      <c r="J584">
        <v>28</v>
      </c>
      <c r="K584" s="4" t="str" cm="1">
        <f t="array" ref="K584">_xlfn.IFS(J584&lt;=5,"0-5",J584&lt;=10,"6-10",J584&lt;=15,"11-15",J584&lt;=20,"16-20",J584&gt;20,"21+")</f>
        <v>21+</v>
      </c>
      <c r="L584" t="s">
        <v>90</v>
      </c>
      <c r="M584" s="2" t="str">
        <f>TRIM(MID(L584,FIND(" ",L584)+1,LEN(L584)))</f>
        <v>50</v>
      </c>
      <c r="N584" s="8">
        <f t="shared" si="124"/>
        <v>50</v>
      </c>
      <c r="O584">
        <v>2.9</v>
      </c>
      <c r="P584" t="b">
        <v>1</v>
      </c>
      <c r="Q584" t="s">
        <v>2073</v>
      </c>
    </row>
    <row r="585" spans="1:19" x14ac:dyDescent="0.3">
      <c r="A585" t="s">
        <v>1240</v>
      </c>
      <c r="B585" t="s">
        <v>1241</v>
      </c>
      <c r="C585" t="str">
        <f t="shared" si="112"/>
        <v>Timothy Bennett</v>
      </c>
      <c r="D585" t="s">
        <v>40</v>
      </c>
      <c r="E585" t="str">
        <f t="shared" si="123"/>
        <v>Male</v>
      </c>
      <c r="F585">
        <v>34</v>
      </c>
      <c r="G585" t="s">
        <v>85</v>
      </c>
      <c r="H585" t="s">
        <v>86</v>
      </c>
      <c r="I585" t="s">
        <v>43</v>
      </c>
      <c r="J585">
        <v>0</v>
      </c>
      <c r="K585" s="4" t="str" cm="1">
        <f t="array" ref="K585">_xlfn.IFS(J585&lt;=5,"0-5",J585&lt;=10,"6-10",J585&lt;=15,"11-15",J585&lt;=20,"16-20",J585&gt;20,"21+")</f>
        <v>0-5</v>
      </c>
      <c r="L585">
        <v>40</v>
      </c>
      <c r="M585" s="2">
        <f>L585</f>
        <v>40</v>
      </c>
      <c r="N585" s="8">
        <f t="shared" si="124"/>
        <v>40</v>
      </c>
      <c r="O585">
        <v>3.3</v>
      </c>
      <c r="P585">
        <v>0</v>
      </c>
      <c r="Q585" t="s">
        <v>2072</v>
      </c>
      <c r="R585" s="1">
        <v>0.98</v>
      </c>
      <c r="S585" s="3">
        <f t="shared" ref="S585:S587" si="126">R585</f>
        <v>0.98</v>
      </c>
    </row>
    <row r="586" spans="1:19" x14ac:dyDescent="0.3">
      <c r="A586" t="s">
        <v>1242</v>
      </c>
      <c r="B586" t="s">
        <v>1243</v>
      </c>
      <c r="C586" t="str">
        <f t="shared" si="112"/>
        <v>Gregory Randall</v>
      </c>
      <c r="D586" t="s">
        <v>84</v>
      </c>
      <c r="E586" t="str">
        <f t="shared" si="123"/>
        <v>Male</v>
      </c>
      <c r="F586">
        <v>47</v>
      </c>
      <c r="G586" t="s">
        <v>50</v>
      </c>
      <c r="H586" t="s">
        <v>14</v>
      </c>
      <c r="I586" t="s">
        <v>65</v>
      </c>
      <c r="J586">
        <v>4</v>
      </c>
      <c r="K586" s="4" t="str" cm="1">
        <f t="array" ref="K586">_xlfn.IFS(J586&lt;=5,"0-5",J586&lt;=10,"6-10",J586&lt;=15,"11-15",J586&lt;=20,"16-20",J586&gt;20,"21+")</f>
        <v>0-5</v>
      </c>
      <c r="L586" t="s">
        <v>306</v>
      </c>
      <c r="M586" s="2" t="str">
        <f>TRIM(MID(L586,FIND(" ",L586)+1,LEN(L586)))</f>
        <v>20</v>
      </c>
      <c r="N586" s="8">
        <f t="shared" si="124"/>
        <v>20</v>
      </c>
      <c r="O586">
        <v>4.2</v>
      </c>
      <c r="R586" s="1">
        <v>0.82</v>
      </c>
      <c r="S586" s="3">
        <f t="shared" si="126"/>
        <v>0.82</v>
      </c>
    </row>
    <row r="587" spans="1:19" x14ac:dyDescent="0.3">
      <c r="A587" t="s">
        <v>1244</v>
      </c>
      <c r="B587" t="s">
        <v>1245</v>
      </c>
      <c r="C587" t="str">
        <f t="shared" si="112"/>
        <v>Charles Martinez</v>
      </c>
      <c r="D587" t="s">
        <v>84</v>
      </c>
      <c r="E587" t="str">
        <f t="shared" si="123"/>
        <v>Male</v>
      </c>
      <c r="F587">
        <v>32</v>
      </c>
      <c r="G587" t="s">
        <v>171</v>
      </c>
      <c r="H587" t="s">
        <v>64</v>
      </c>
      <c r="I587" t="s">
        <v>65</v>
      </c>
      <c r="J587">
        <v>9</v>
      </c>
      <c r="K587" s="4" t="str" cm="1">
        <f t="array" ref="K587">_xlfn.IFS(J587&lt;=5,"0-5",J587&lt;=10,"6-10",J587&lt;=15,"11-15",J587&lt;=20,"16-20",J587&gt;20,"21+")</f>
        <v>6-10</v>
      </c>
      <c r="L587" t="s">
        <v>47</v>
      </c>
      <c r="M587" s="2" t="str">
        <f>TRIM(MID(L587,FIND(" ",L587)+1,LEN(L587)))</f>
        <v>40</v>
      </c>
      <c r="N587" s="8">
        <f t="shared" si="124"/>
        <v>40</v>
      </c>
      <c r="O587">
        <v>1.3</v>
      </c>
      <c r="P587" t="b">
        <v>1</v>
      </c>
      <c r="Q587" t="s">
        <v>2073</v>
      </c>
      <c r="R587" s="1">
        <v>0.83</v>
      </c>
      <c r="S587" s="3">
        <f t="shared" si="126"/>
        <v>0.83</v>
      </c>
    </row>
    <row r="588" spans="1:19" x14ac:dyDescent="0.3">
      <c r="A588" t="s">
        <v>1246</v>
      </c>
      <c r="B588" t="s">
        <v>1247</v>
      </c>
      <c r="C588" t="str">
        <f t="shared" si="112"/>
        <v>James Hall</v>
      </c>
      <c r="D588" t="s">
        <v>84</v>
      </c>
      <c r="E588" t="str">
        <f t="shared" si="123"/>
        <v>Male</v>
      </c>
      <c r="F588">
        <v>28</v>
      </c>
      <c r="G588" t="s">
        <v>59</v>
      </c>
      <c r="H588" t="s">
        <v>14</v>
      </c>
      <c r="I588" t="s">
        <v>15</v>
      </c>
      <c r="J588">
        <v>2</v>
      </c>
      <c r="K588" s="4" t="str" cm="1">
        <f t="array" ref="K588">_xlfn.IFS(J588&lt;=5,"0-5",J588&lt;=10,"6-10",J588&lt;=15,"11-15",J588&lt;=20,"16-20",J588&gt;20,"21+")</f>
        <v>0-5</v>
      </c>
      <c r="L588" t="s">
        <v>221</v>
      </c>
      <c r="M588" s="2" t="str">
        <f>SUBSTITUTE(L588,"$","")</f>
        <v>100</v>
      </c>
      <c r="N588" s="8">
        <f t="shared" si="124"/>
        <v>100</v>
      </c>
      <c r="O588">
        <v>4.4000000000000004</v>
      </c>
      <c r="P588" t="b">
        <v>1</v>
      </c>
      <c r="Q588" t="s">
        <v>2073</v>
      </c>
    </row>
    <row r="589" spans="1:19" x14ac:dyDescent="0.3">
      <c r="A589" t="s">
        <v>1248</v>
      </c>
      <c r="B589" t="s">
        <v>1249</v>
      </c>
      <c r="C589" t="str">
        <f t="shared" si="112"/>
        <v>Michael Garcia</v>
      </c>
      <c r="D589" t="s">
        <v>40</v>
      </c>
      <c r="E589" t="str">
        <f t="shared" si="123"/>
        <v>Male</v>
      </c>
      <c r="F589">
        <v>32</v>
      </c>
      <c r="G589" t="s">
        <v>13</v>
      </c>
      <c r="H589" t="s">
        <v>14</v>
      </c>
      <c r="I589" t="s">
        <v>81</v>
      </c>
      <c r="J589">
        <v>1</v>
      </c>
      <c r="K589" s="4" t="str" cm="1">
        <f t="array" ref="K589">_xlfn.IFS(J589&lt;=5,"0-5",J589&lt;=10,"6-10",J589&lt;=15,"11-15",J589&lt;=20,"16-20",J589&gt;20,"21+")</f>
        <v>0-5</v>
      </c>
      <c r="L589">
        <v>100</v>
      </c>
      <c r="M589" s="2">
        <f>L589</f>
        <v>100</v>
      </c>
      <c r="N589" s="8">
        <f t="shared" si="124"/>
        <v>100</v>
      </c>
      <c r="O589">
        <v>3.4</v>
      </c>
      <c r="P589" t="b">
        <v>1</v>
      </c>
      <c r="Q589" t="s">
        <v>2073</v>
      </c>
    </row>
    <row r="590" spans="1:19" x14ac:dyDescent="0.3">
      <c r="A590" t="s">
        <v>1250</v>
      </c>
      <c r="B590" t="s">
        <v>1251</v>
      </c>
      <c r="C590" t="str">
        <f t="shared" si="112"/>
        <v>Michele Duran</v>
      </c>
      <c r="D590" t="s">
        <v>26</v>
      </c>
      <c r="E590" t="str">
        <f t="shared" si="123"/>
        <v>Female</v>
      </c>
      <c r="F590">
        <v>49</v>
      </c>
      <c r="G590" t="s">
        <v>34</v>
      </c>
      <c r="H590" t="s">
        <v>35</v>
      </c>
      <c r="I590" t="s">
        <v>36</v>
      </c>
      <c r="J590">
        <v>2</v>
      </c>
      <c r="K590" s="4" t="str" cm="1">
        <f t="array" ref="K590">_xlfn.IFS(J590&lt;=5,"0-5",J590&lt;=10,"6-10",J590&lt;=15,"11-15",J590&lt;=20,"16-20",J590&gt;20,"21+")</f>
        <v>0-5</v>
      </c>
      <c r="L590" t="s">
        <v>221</v>
      </c>
      <c r="M590" s="2" t="str">
        <f>SUBSTITUTE(L590,"$","")</f>
        <v>100</v>
      </c>
      <c r="N590" s="8">
        <f t="shared" si="124"/>
        <v>100</v>
      </c>
      <c r="O590">
        <v>3.4</v>
      </c>
      <c r="P590">
        <v>1</v>
      </c>
      <c r="Q590" t="s">
        <v>2073</v>
      </c>
      <c r="R590" s="1">
        <v>0.85</v>
      </c>
      <c r="S590" s="3">
        <f>R590</f>
        <v>0.85</v>
      </c>
    </row>
    <row r="591" spans="1:19" x14ac:dyDescent="0.3">
      <c r="A591" t="s">
        <v>1252</v>
      </c>
      <c r="B591" t="s">
        <v>1253</v>
      </c>
      <c r="C591" t="str">
        <f t="shared" si="112"/>
        <v>Jessica Gray</v>
      </c>
      <c r="D591" t="s">
        <v>6</v>
      </c>
      <c r="E591" t="str">
        <f t="shared" si="123"/>
        <v>Female</v>
      </c>
      <c r="F591">
        <v>36</v>
      </c>
      <c r="G591" t="s">
        <v>63</v>
      </c>
      <c r="H591" t="s">
        <v>64</v>
      </c>
      <c r="I591" t="s">
        <v>15</v>
      </c>
      <c r="J591">
        <v>16</v>
      </c>
      <c r="K591" s="4" t="str" cm="1">
        <f t="array" ref="K591">_xlfn.IFS(J591&lt;=5,"0-5",J591&lt;=10,"6-10",J591&lt;=15,"11-15",J591&lt;=20,"16-20",J591&gt;20,"21+")</f>
        <v>16-20</v>
      </c>
      <c r="L591" t="s">
        <v>306</v>
      </c>
      <c r="M591" s="2" t="str">
        <f>TRIM(MID(L591,FIND(" ",L591)+1,LEN(L591)))</f>
        <v>20</v>
      </c>
      <c r="N591" s="8">
        <f t="shared" si="124"/>
        <v>20</v>
      </c>
      <c r="O591">
        <v>3.2</v>
      </c>
    </row>
    <row r="592" spans="1:19" x14ac:dyDescent="0.3">
      <c r="A592" t="s">
        <v>1254</v>
      </c>
      <c r="B592" t="s">
        <v>1255</v>
      </c>
      <c r="C592" t="str">
        <f t="shared" ref="C592:C601" si="127">B592</f>
        <v>Keith Shaffer</v>
      </c>
      <c r="D592" t="s">
        <v>84</v>
      </c>
      <c r="E592" t="str">
        <f t="shared" si="123"/>
        <v>Male</v>
      </c>
      <c r="F592">
        <v>59</v>
      </c>
      <c r="G592" t="s">
        <v>171</v>
      </c>
      <c r="H592" t="s">
        <v>64</v>
      </c>
      <c r="I592" t="s">
        <v>9</v>
      </c>
      <c r="J592">
        <v>22</v>
      </c>
      <c r="K592" s="4" t="str" cm="1">
        <f t="array" ref="K592">_xlfn.IFS(J592&lt;=5,"0-5",J592&lt;=10,"6-10",J592&lt;=15,"11-15",J592&lt;=20,"16-20",J592&gt;20,"21+")</f>
        <v>21+</v>
      </c>
      <c r="L592" t="s">
        <v>306</v>
      </c>
      <c r="M592" s="2" t="str">
        <f>TRIM(MID(L592,FIND(" ",L592)+1,LEN(L592)))</f>
        <v>20</v>
      </c>
      <c r="N592" s="8">
        <f t="shared" si="124"/>
        <v>20</v>
      </c>
      <c r="O592">
        <v>3.6</v>
      </c>
      <c r="P592" t="s">
        <v>23</v>
      </c>
      <c r="Q592" t="s">
        <v>2072</v>
      </c>
      <c r="R592" s="1">
        <v>0.63</v>
      </c>
      <c r="S592" s="3">
        <f>R592</f>
        <v>0.63</v>
      </c>
    </row>
    <row r="593" spans="1:19" x14ac:dyDescent="0.3">
      <c r="A593" t="s">
        <v>1256</v>
      </c>
      <c r="B593" t="s">
        <v>1257</v>
      </c>
      <c r="C593" t="str">
        <f t="shared" si="127"/>
        <v>Jessica Decker</v>
      </c>
      <c r="D593" t="s">
        <v>31</v>
      </c>
      <c r="E593" t="str">
        <f t="shared" si="123"/>
        <v>Female</v>
      </c>
      <c r="F593">
        <v>52</v>
      </c>
      <c r="G593" t="s">
        <v>120</v>
      </c>
      <c r="H593" t="s">
        <v>14</v>
      </c>
      <c r="I593" t="s">
        <v>70</v>
      </c>
      <c r="J593">
        <v>22</v>
      </c>
      <c r="K593" s="4" t="str" cm="1">
        <f t="array" ref="K593">_xlfn.IFS(J593&lt;=5,"0-5",J593&lt;=10,"6-10",J593&lt;=15,"11-15",J593&lt;=20,"16-20",J593&gt;20,"21+")</f>
        <v>21+</v>
      </c>
      <c r="L593" t="s">
        <v>113</v>
      </c>
      <c r="M593" s="2" t="str">
        <f>SUBSTITUTE(L593,"$","")</f>
        <v>20</v>
      </c>
      <c r="N593" s="8">
        <f t="shared" si="124"/>
        <v>20</v>
      </c>
      <c r="O593">
        <v>0</v>
      </c>
      <c r="P593">
        <v>0</v>
      </c>
      <c r="Q593" t="s">
        <v>2072</v>
      </c>
    </row>
    <row r="594" spans="1:19" x14ac:dyDescent="0.3">
      <c r="A594" t="s">
        <v>1258</v>
      </c>
      <c r="B594" t="s">
        <v>1259</v>
      </c>
      <c r="C594" t="str">
        <f t="shared" si="127"/>
        <v>Brianna Pittman</v>
      </c>
      <c r="D594" t="s">
        <v>31</v>
      </c>
      <c r="E594" t="str">
        <f t="shared" si="123"/>
        <v>Female</v>
      </c>
      <c r="F594">
        <v>24</v>
      </c>
      <c r="G594" t="s">
        <v>167</v>
      </c>
      <c r="H594" t="s">
        <v>168</v>
      </c>
      <c r="I594" t="s">
        <v>9</v>
      </c>
      <c r="J594">
        <v>5</v>
      </c>
      <c r="K594" s="4" t="str" cm="1">
        <f t="array" ref="K594">_xlfn.IFS(J594&lt;=5,"0-5",J594&lt;=10,"6-10",J594&lt;=15,"11-15",J594&lt;=20,"16-20",J594&gt;20,"21+")</f>
        <v>0-5</v>
      </c>
      <c r="L594">
        <v>40</v>
      </c>
      <c r="M594" s="2">
        <f>L594</f>
        <v>40</v>
      </c>
      <c r="N594" s="8">
        <f t="shared" si="124"/>
        <v>40</v>
      </c>
      <c r="O594">
        <v>1.8</v>
      </c>
      <c r="P594">
        <v>1</v>
      </c>
      <c r="Q594" t="s">
        <v>2073</v>
      </c>
      <c r="R594" s="1">
        <v>0.86</v>
      </c>
      <c r="S594" s="3">
        <f>R594</f>
        <v>0.86</v>
      </c>
    </row>
    <row r="595" spans="1:19" x14ac:dyDescent="0.3">
      <c r="A595" t="s">
        <v>1260</v>
      </c>
      <c r="B595" t="s">
        <v>1261</v>
      </c>
      <c r="C595" t="str">
        <f t="shared" si="127"/>
        <v>Kimberly Hunter</v>
      </c>
      <c r="D595" t="s">
        <v>12</v>
      </c>
      <c r="E595" t="str">
        <f t="shared" si="123"/>
        <v>Female</v>
      </c>
      <c r="F595">
        <v>26</v>
      </c>
      <c r="G595" t="s">
        <v>13</v>
      </c>
      <c r="H595" t="s">
        <v>14</v>
      </c>
      <c r="I595" t="s">
        <v>22</v>
      </c>
      <c r="J595">
        <v>2</v>
      </c>
      <c r="K595" s="4" t="str" cm="1">
        <f t="array" ref="K595">_xlfn.IFS(J595&lt;=5,"0-5",J595&lt;=10,"6-10",J595&lt;=15,"11-15",J595&lt;=20,"16-20",J595&gt;20,"21+")</f>
        <v>0-5</v>
      </c>
      <c r="L595" t="s">
        <v>44</v>
      </c>
      <c r="M595" s="2" t="str">
        <f>TRIM(MID(L595,FIND(" ",L595)+1,LEN(L595)))</f>
        <v>75</v>
      </c>
      <c r="N595" s="8">
        <f t="shared" si="124"/>
        <v>75</v>
      </c>
      <c r="O595">
        <v>2.5</v>
      </c>
      <c r="P595" t="s">
        <v>60</v>
      </c>
      <c r="Q595" t="s">
        <v>2073</v>
      </c>
      <c r="R595">
        <v>60</v>
      </c>
      <c r="S595" s="3">
        <f t="shared" ref="S595:S596" si="128">R595/100</f>
        <v>0.6</v>
      </c>
    </row>
    <row r="596" spans="1:19" x14ac:dyDescent="0.3">
      <c r="A596" t="s">
        <v>1262</v>
      </c>
      <c r="B596" t="s">
        <v>1263</v>
      </c>
      <c r="C596" t="str">
        <f t="shared" si="127"/>
        <v>Daniel Martin</v>
      </c>
      <c r="D596" t="s">
        <v>84</v>
      </c>
      <c r="E596" t="str">
        <f t="shared" si="123"/>
        <v>Male</v>
      </c>
      <c r="F596">
        <v>55</v>
      </c>
      <c r="G596" t="s">
        <v>120</v>
      </c>
      <c r="H596" t="s">
        <v>14</v>
      </c>
      <c r="I596" t="s">
        <v>70</v>
      </c>
      <c r="J596">
        <v>24</v>
      </c>
      <c r="K596" s="4" t="str" cm="1">
        <f t="array" ref="K596">_xlfn.IFS(J596&lt;=5,"0-5",J596&lt;=10,"6-10",J596&lt;=15,"11-15",J596&lt;=20,"16-20",J596&gt;20,"21+")</f>
        <v>21+</v>
      </c>
      <c r="L596">
        <v>40</v>
      </c>
      <c r="M596" s="2">
        <f>L596</f>
        <v>40</v>
      </c>
      <c r="N596" s="8">
        <f t="shared" si="124"/>
        <v>40</v>
      </c>
      <c r="O596">
        <v>2</v>
      </c>
      <c r="P596">
        <v>1</v>
      </c>
      <c r="Q596" t="s">
        <v>2073</v>
      </c>
      <c r="R596">
        <v>88</v>
      </c>
      <c r="S596" s="3">
        <f t="shared" si="128"/>
        <v>0.88</v>
      </c>
    </row>
    <row r="597" spans="1:19" x14ac:dyDescent="0.3">
      <c r="A597" t="s">
        <v>1264</v>
      </c>
      <c r="B597" t="s">
        <v>1265</v>
      </c>
      <c r="C597" t="str">
        <f t="shared" si="127"/>
        <v>Rachel Smith</v>
      </c>
      <c r="D597" t="s">
        <v>12</v>
      </c>
      <c r="E597" t="str">
        <f t="shared" si="123"/>
        <v>Female</v>
      </c>
      <c r="F597">
        <v>56</v>
      </c>
      <c r="G597" t="s">
        <v>7</v>
      </c>
      <c r="H597" t="s">
        <v>8</v>
      </c>
      <c r="I597" t="s">
        <v>15</v>
      </c>
      <c r="J597">
        <v>37</v>
      </c>
      <c r="K597" s="4" t="str" cm="1">
        <f t="array" ref="K597">_xlfn.IFS(J597&lt;=5,"0-5",J597&lt;=10,"6-10",J597&lt;=15,"11-15",J597&lt;=20,"16-20",J597&gt;20,"21+")</f>
        <v>21+</v>
      </c>
      <c r="L597">
        <v>40</v>
      </c>
      <c r="M597" s="2">
        <f>L597</f>
        <v>40</v>
      </c>
      <c r="N597" s="8">
        <f t="shared" si="124"/>
        <v>40</v>
      </c>
      <c r="O597">
        <v>0</v>
      </c>
      <c r="P597" t="s">
        <v>23</v>
      </c>
      <c r="Q597" t="s">
        <v>2072</v>
      </c>
      <c r="R597" s="1">
        <v>0.7</v>
      </c>
      <c r="S597" s="3">
        <f t="shared" ref="S597:S599" si="129">R597</f>
        <v>0.7</v>
      </c>
    </row>
    <row r="598" spans="1:19" x14ac:dyDescent="0.3">
      <c r="A598" t="s">
        <v>1266</v>
      </c>
      <c r="B598" t="s">
        <v>1267</v>
      </c>
      <c r="C598" t="str">
        <f t="shared" si="127"/>
        <v>Michael Miller</v>
      </c>
      <c r="D598" t="s">
        <v>40</v>
      </c>
      <c r="E598" t="str">
        <f t="shared" si="123"/>
        <v>Male</v>
      </c>
      <c r="F598">
        <v>36</v>
      </c>
      <c r="G598" t="s">
        <v>127</v>
      </c>
      <c r="H598" t="s">
        <v>128</v>
      </c>
      <c r="I598" t="s">
        <v>22</v>
      </c>
      <c r="J598">
        <v>3</v>
      </c>
      <c r="K598" s="4" t="str" cm="1">
        <f t="array" ref="K598">_xlfn.IFS(J598&lt;=5,"0-5",J598&lt;=10,"6-10",J598&lt;=15,"11-15",J598&lt;=20,"16-20",J598&gt;20,"21+")</f>
        <v>0-5</v>
      </c>
      <c r="L598" t="s">
        <v>90</v>
      </c>
      <c r="M598" s="2" t="str">
        <f>TRIM(MID(L598,FIND(" ",L598)+1,LEN(L598)))</f>
        <v>50</v>
      </c>
      <c r="N598" s="8">
        <f t="shared" si="124"/>
        <v>50</v>
      </c>
      <c r="O598">
        <v>1.3</v>
      </c>
      <c r="P598">
        <v>1</v>
      </c>
      <c r="Q598" t="s">
        <v>2073</v>
      </c>
      <c r="R598" s="1">
        <v>0.77</v>
      </c>
      <c r="S598" s="3">
        <f t="shared" si="129"/>
        <v>0.77</v>
      </c>
    </row>
    <row r="599" spans="1:19" x14ac:dyDescent="0.3">
      <c r="A599" t="s">
        <v>1268</v>
      </c>
      <c r="B599" t="s">
        <v>1269</v>
      </c>
      <c r="C599" t="str">
        <f t="shared" si="127"/>
        <v>Willie Clark</v>
      </c>
      <c r="D599" t="s">
        <v>84</v>
      </c>
      <c r="E599" t="str">
        <f t="shared" si="123"/>
        <v>Male</v>
      </c>
      <c r="F599">
        <v>48</v>
      </c>
      <c r="G599" t="s">
        <v>63</v>
      </c>
      <c r="H599" t="s">
        <v>64</v>
      </c>
      <c r="I599" t="s">
        <v>27</v>
      </c>
      <c r="J599">
        <v>18</v>
      </c>
      <c r="K599" s="4" t="str" cm="1">
        <f t="array" ref="K599">_xlfn.IFS(J599&lt;=5,"0-5",J599&lt;=10,"6-10",J599&lt;=15,"11-15",J599&lt;=20,"16-20",J599&gt;20,"21+")</f>
        <v>16-20</v>
      </c>
      <c r="L599">
        <v>75</v>
      </c>
      <c r="M599" s="2">
        <f>L599</f>
        <v>75</v>
      </c>
      <c r="N599" s="8">
        <f t="shared" si="124"/>
        <v>75</v>
      </c>
      <c r="O599">
        <v>0</v>
      </c>
      <c r="P599">
        <v>0</v>
      </c>
      <c r="Q599" t="s">
        <v>2072</v>
      </c>
      <c r="R599" s="1">
        <v>0.8</v>
      </c>
      <c r="S599" s="3">
        <f t="shared" si="129"/>
        <v>0.8</v>
      </c>
    </row>
    <row r="600" spans="1:19" x14ac:dyDescent="0.3">
      <c r="A600" t="s">
        <v>1270</v>
      </c>
      <c r="B600" t="s">
        <v>1271</v>
      </c>
      <c r="C600" t="str">
        <f t="shared" si="127"/>
        <v>Jeremy Hernandez</v>
      </c>
      <c r="D600" t="s">
        <v>89</v>
      </c>
      <c r="E600" t="str">
        <f t="shared" si="123"/>
        <v>Male</v>
      </c>
      <c r="F600">
        <v>55</v>
      </c>
      <c r="G600" t="s">
        <v>131</v>
      </c>
      <c r="H600" t="s">
        <v>132</v>
      </c>
      <c r="I600" t="s">
        <v>106</v>
      </c>
      <c r="J600">
        <v>6</v>
      </c>
      <c r="K600" s="4" t="str" cm="1">
        <f t="array" ref="K600">_xlfn.IFS(J600&lt;=5,"0-5",J600&lt;=10,"6-10",J600&lt;=15,"11-15",J600&lt;=20,"16-20",J600&gt;20,"21+")</f>
        <v>6-10</v>
      </c>
      <c r="L600" t="s">
        <v>28</v>
      </c>
      <c r="M600" s="2" t="str">
        <f>SUBSTITUTE(L600,"$","")</f>
        <v>40</v>
      </c>
      <c r="N600" s="8">
        <f t="shared" si="124"/>
        <v>40</v>
      </c>
      <c r="O600">
        <v>3.6</v>
      </c>
      <c r="P600" t="s">
        <v>66</v>
      </c>
      <c r="Q600" t="s">
        <v>2073</v>
      </c>
    </row>
    <row r="601" spans="1:19" x14ac:dyDescent="0.3">
      <c r="A601" t="s">
        <v>1272</v>
      </c>
      <c r="B601" t="s">
        <v>1273</v>
      </c>
      <c r="C601" t="str">
        <f t="shared" si="127"/>
        <v>Tina Shelton</v>
      </c>
      <c r="D601" t="s">
        <v>31</v>
      </c>
      <c r="E601" t="str">
        <f t="shared" si="123"/>
        <v>Female</v>
      </c>
      <c r="F601">
        <v>56</v>
      </c>
      <c r="G601" t="s">
        <v>182</v>
      </c>
      <c r="H601" t="s">
        <v>64</v>
      </c>
      <c r="I601" t="s">
        <v>81</v>
      </c>
      <c r="J601">
        <v>17</v>
      </c>
      <c r="K601" s="4" t="str" cm="1">
        <f t="array" ref="K601">_xlfn.IFS(J601&lt;=5,"0-5",J601&lt;=10,"6-10",J601&lt;=15,"11-15",J601&lt;=20,"16-20",J601&gt;20,"21+")</f>
        <v>16-20</v>
      </c>
      <c r="N601" s="8" t="str">
        <f t="shared" si="124"/>
        <v/>
      </c>
      <c r="O601">
        <v>1.3</v>
      </c>
      <c r="R601" s="1">
        <v>0.87</v>
      </c>
      <c r="S601" s="3">
        <f t="shared" ref="S601:S602" si="130">R601</f>
        <v>0.87</v>
      </c>
    </row>
    <row r="602" spans="1:19" x14ac:dyDescent="0.3">
      <c r="A602" t="s">
        <v>1274</v>
      </c>
      <c r="B602" t="s">
        <v>1275</v>
      </c>
      <c r="C602" t="str">
        <f>TRIM(MID(B602,FIND(" ",B602)+1,LEN(B602)))</f>
        <v>Pamela Larson</v>
      </c>
      <c r="D602" t="s">
        <v>69</v>
      </c>
      <c r="E602" t="str">
        <f t="shared" si="123"/>
        <v>Female</v>
      </c>
      <c r="F602">
        <v>28</v>
      </c>
      <c r="G602" t="s">
        <v>120</v>
      </c>
      <c r="H602" t="s">
        <v>14</v>
      </c>
      <c r="I602" t="s">
        <v>9</v>
      </c>
      <c r="J602">
        <v>1</v>
      </c>
      <c r="K602" s="4" t="str" cm="1">
        <f t="array" ref="K602">_xlfn.IFS(J602&lt;=5,"0-5",J602&lt;=10,"6-10",J602&lt;=15,"11-15",J602&lt;=20,"16-20",J602&gt;20,"21+")</f>
        <v>0-5</v>
      </c>
      <c r="L602">
        <v>75</v>
      </c>
      <c r="M602" s="2">
        <f>L602</f>
        <v>75</v>
      </c>
      <c r="N602" s="8">
        <f t="shared" si="124"/>
        <v>75</v>
      </c>
      <c r="O602">
        <v>2.7</v>
      </c>
      <c r="P602" t="b">
        <v>1</v>
      </c>
      <c r="Q602" t="s">
        <v>2073</v>
      </c>
      <c r="R602" s="1">
        <v>0.93</v>
      </c>
      <c r="S602" s="3">
        <f t="shared" si="130"/>
        <v>0.93</v>
      </c>
    </row>
    <row r="603" spans="1:19" x14ac:dyDescent="0.3">
      <c r="A603" t="s">
        <v>1276</v>
      </c>
      <c r="B603" t="s">
        <v>1277</v>
      </c>
      <c r="C603" t="str">
        <f t="shared" ref="C603:C666" si="131">B603</f>
        <v>Ryan Ewing</v>
      </c>
      <c r="D603" t="s">
        <v>19</v>
      </c>
      <c r="E603" t="str">
        <f t="shared" si="123"/>
        <v>Male</v>
      </c>
      <c r="F603">
        <v>60</v>
      </c>
      <c r="G603" t="s">
        <v>50</v>
      </c>
      <c r="H603" t="s">
        <v>14</v>
      </c>
      <c r="I603" t="s">
        <v>36</v>
      </c>
      <c r="J603">
        <v>39</v>
      </c>
      <c r="K603" s="4" t="str" cm="1">
        <f t="array" ref="K603">_xlfn.IFS(J603&lt;=5,"0-5",J603&lt;=10,"6-10",J603&lt;=15,"11-15",J603&lt;=20,"16-20",J603&gt;20,"21+")</f>
        <v>21+</v>
      </c>
      <c r="L603" t="s">
        <v>16</v>
      </c>
      <c r="M603" s="2" t="str">
        <f>TRIM(MID(L603,FIND(" ",L603)+1,LEN(L603)))</f>
        <v>100</v>
      </c>
      <c r="N603" s="8">
        <f t="shared" si="124"/>
        <v>100</v>
      </c>
      <c r="O603">
        <v>1.5</v>
      </c>
      <c r="R603">
        <v>88</v>
      </c>
      <c r="S603" s="3">
        <f>R603/100</f>
        <v>0.88</v>
      </c>
    </row>
    <row r="604" spans="1:19" x14ac:dyDescent="0.3">
      <c r="A604" t="s">
        <v>1278</v>
      </c>
      <c r="B604" t="s">
        <v>1279</v>
      </c>
      <c r="C604" t="str">
        <f t="shared" si="131"/>
        <v>Mark Cochran</v>
      </c>
      <c r="D604" t="s">
        <v>19</v>
      </c>
      <c r="E604" t="str">
        <f t="shared" si="123"/>
        <v>Male</v>
      </c>
      <c r="F604">
        <v>34</v>
      </c>
      <c r="G604" t="s">
        <v>104</v>
      </c>
      <c r="H604" t="s">
        <v>105</v>
      </c>
      <c r="I604" t="s">
        <v>9</v>
      </c>
      <c r="J604">
        <v>15</v>
      </c>
      <c r="K604" s="4" t="str" cm="1">
        <f t="array" ref="K604">_xlfn.IFS(J604&lt;=5,"0-5",J604&lt;=10,"6-10",J604&lt;=15,"11-15",J604&lt;=20,"16-20",J604&gt;20,"21+")</f>
        <v>11-15</v>
      </c>
      <c r="L604">
        <v>20</v>
      </c>
      <c r="M604" s="2">
        <f>L604</f>
        <v>20</v>
      </c>
      <c r="N604" s="8">
        <f t="shared" si="124"/>
        <v>20</v>
      </c>
      <c r="O604">
        <v>0</v>
      </c>
      <c r="P604">
        <v>0</v>
      </c>
      <c r="Q604" t="s">
        <v>2072</v>
      </c>
      <c r="R604" s="1">
        <v>1</v>
      </c>
      <c r="S604" s="3">
        <f>R604</f>
        <v>1</v>
      </c>
    </row>
    <row r="605" spans="1:19" x14ac:dyDescent="0.3">
      <c r="A605" t="s">
        <v>1280</v>
      </c>
      <c r="B605" t="s">
        <v>1281</v>
      </c>
      <c r="C605" t="str">
        <f t="shared" si="131"/>
        <v>Martha Carson</v>
      </c>
      <c r="D605" t="s">
        <v>31</v>
      </c>
      <c r="E605" t="str">
        <f t="shared" si="123"/>
        <v>Female</v>
      </c>
      <c r="F605">
        <v>38</v>
      </c>
      <c r="G605" t="s">
        <v>41</v>
      </c>
      <c r="H605" t="s">
        <v>42</v>
      </c>
      <c r="I605" t="s">
        <v>36</v>
      </c>
      <c r="J605">
        <v>13</v>
      </c>
      <c r="K605" s="4" t="str" cm="1">
        <f t="array" ref="K605">_xlfn.IFS(J605&lt;=5,"0-5",J605&lt;=10,"6-10",J605&lt;=15,"11-15",J605&lt;=20,"16-20",J605&gt;20,"21+")</f>
        <v>11-15</v>
      </c>
      <c r="L605" t="s">
        <v>28</v>
      </c>
      <c r="M605" s="2" t="str">
        <f>SUBSTITUTE(L605,"$","")</f>
        <v>40</v>
      </c>
      <c r="N605" s="8">
        <f t="shared" si="124"/>
        <v>40</v>
      </c>
      <c r="O605">
        <v>0</v>
      </c>
      <c r="P605">
        <v>1</v>
      </c>
      <c r="Q605" t="s">
        <v>2073</v>
      </c>
      <c r="R605">
        <v>61</v>
      </c>
      <c r="S605" s="3">
        <f>R605/100</f>
        <v>0.61</v>
      </c>
    </row>
    <row r="606" spans="1:19" x14ac:dyDescent="0.3">
      <c r="A606" t="s">
        <v>1282</v>
      </c>
      <c r="B606" t="s">
        <v>1283</v>
      </c>
      <c r="C606" t="str">
        <f t="shared" si="131"/>
        <v>Heather Jackson</v>
      </c>
      <c r="D606" t="s">
        <v>12</v>
      </c>
      <c r="E606" t="str">
        <f t="shared" si="123"/>
        <v>Female</v>
      </c>
      <c r="F606">
        <v>51</v>
      </c>
      <c r="G606" t="s">
        <v>104</v>
      </c>
      <c r="H606" t="s">
        <v>105</v>
      </c>
      <c r="I606" t="s">
        <v>27</v>
      </c>
      <c r="J606">
        <v>17</v>
      </c>
      <c r="K606" s="4" t="str" cm="1">
        <f t="array" ref="K606">_xlfn.IFS(J606&lt;=5,"0-5",J606&lt;=10,"6-10",J606&lt;=15,"11-15",J606&lt;=20,"16-20",J606&gt;20,"21+")</f>
        <v>16-20</v>
      </c>
      <c r="L606">
        <v>100</v>
      </c>
      <c r="M606" s="2">
        <f>L606</f>
        <v>100</v>
      </c>
      <c r="N606" s="8">
        <f t="shared" si="124"/>
        <v>100</v>
      </c>
      <c r="O606">
        <v>3</v>
      </c>
      <c r="P606" t="b">
        <v>0</v>
      </c>
      <c r="Q606" t="s">
        <v>2072</v>
      </c>
      <c r="R606" s="1">
        <v>0.79</v>
      </c>
      <c r="S606" s="3">
        <f t="shared" ref="S606:S608" si="132">R606</f>
        <v>0.79</v>
      </c>
    </row>
    <row r="607" spans="1:19" x14ac:dyDescent="0.3">
      <c r="A607" t="s">
        <v>1284</v>
      </c>
      <c r="B607" t="s">
        <v>1285</v>
      </c>
      <c r="C607" t="str">
        <f t="shared" si="131"/>
        <v>Megan Young</v>
      </c>
      <c r="D607" t="s">
        <v>6</v>
      </c>
      <c r="E607" t="str">
        <f t="shared" si="123"/>
        <v>Female</v>
      </c>
      <c r="F607">
        <v>21</v>
      </c>
      <c r="G607" t="s">
        <v>77</v>
      </c>
      <c r="H607" t="s">
        <v>78</v>
      </c>
      <c r="I607" t="s">
        <v>15</v>
      </c>
      <c r="J607">
        <v>1</v>
      </c>
      <c r="K607" s="4" t="str" cm="1">
        <f t="array" ref="K607">_xlfn.IFS(J607&lt;=5,"0-5",J607&lt;=10,"6-10",J607&lt;=15,"11-15",J607&lt;=20,"16-20",J607&gt;20,"21+")</f>
        <v>0-5</v>
      </c>
      <c r="L607">
        <v>30</v>
      </c>
      <c r="M607" s="2">
        <f>L607</f>
        <v>30</v>
      </c>
      <c r="N607" s="8">
        <f t="shared" si="124"/>
        <v>30</v>
      </c>
      <c r="O607">
        <v>1.2</v>
      </c>
      <c r="R607" s="1">
        <v>0.73</v>
      </c>
      <c r="S607" s="3">
        <f t="shared" si="132"/>
        <v>0.73</v>
      </c>
    </row>
    <row r="608" spans="1:19" x14ac:dyDescent="0.3">
      <c r="A608" t="s">
        <v>1286</v>
      </c>
      <c r="B608" t="s">
        <v>1287</v>
      </c>
      <c r="C608" t="str">
        <f t="shared" si="131"/>
        <v>Thomas Davis</v>
      </c>
      <c r="D608" t="s">
        <v>84</v>
      </c>
      <c r="E608" t="str">
        <f t="shared" si="123"/>
        <v>Male</v>
      </c>
      <c r="F608">
        <v>35</v>
      </c>
      <c r="G608" t="s">
        <v>7</v>
      </c>
      <c r="H608" t="s">
        <v>8</v>
      </c>
      <c r="I608" t="s">
        <v>65</v>
      </c>
      <c r="J608">
        <v>16</v>
      </c>
      <c r="K608" s="4" t="str" cm="1">
        <f t="array" ref="K608">_xlfn.IFS(J608&lt;=5,"0-5",J608&lt;=10,"6-10",J608&lt;=15,"11-15",J608&lt;=20,"16-20",J608&gt;20,"21+")</f>
        <v>16-20</v>
      </c>
      <c r="N608" s="8" t="str">
        <f t="shared" si="124"/>
        <v/>
      </c>
      <c r="O608">
        <v>1.3</v>
      </c>
      <c r="P608">
        <v>1</v>
      </c>
      <c r="Q608" t="s">
        <v>2073</v>
      </c>
      <c r="R608" s="1">
        <v>0.64</v>
      </c>
      <c r="S608" s="3">
        <f t="shared" si="132"/>
        <v>0.64</v>
      </c>
    </row>
    <row r="609" spans="1:19" x14ac:dyDescent="0.3">
      <c r="A609" t="s">
        <v>1288</v>
      </c>
      <c r="B609" t="s">
        <v>1289</v>
      </c>
      <c r="C609" t="str">
        <f t="shared" si="131"/>
        <v>Thomas Mooney</v>
      </c>
      <c r="D609" t="s">
        <v>84</v>
      </c>
      <c r="E609" t="str">
        <f t="shared" si="123"/>
        <v>Male</v>
      </c>
      <c r="F609">
        <v>27</v>
      </c>
      <c r="G609" t="s">
        <v>99</v>
      </c>
      <c r="H609" t="s">
        <v>100</v>
      </c>
      <c r="I609" t="s">
        <v>27</v>
      </c>
      <c r="J609">
        <v>9</v>
      </c>
      <c r="K609" s="4" t="str" cm="1">
        <f t="array" ref="K609">_xlfn.IFS(J609&lt;=5,"0-5",J609&lt;=10,"6-10",J609&lt;=15,"11-15",J609&lt;=20,"16-20",J609&gt;20,"21+")</f>
        <v>6-10</v>
      </c>
      <c r="L609" t="s">
        <v>221</v>
      </c>
      <c r="M609" s="2" t="str">
        <f>SUBSTITUTE(L609,"$","")</f>
        <v>100</v>
      </c>
      <c r="N609" s="8">
        <f t="shared" si="124"/>
        <v>100</v>
      </c>
      <c r="P609" t="b">
        <v>1</v>
      </c>
      <c r="Q609" t="s">
        <v>2073</v>
      </c>
    </row>
    <row r="610" spans="1:19" x14ac:dyDescent="0.3">
      <c r="A610" t="s">
        <v>1290</v>
      </c>
      <c r="B610" t="s">
        <v>1291</v>
      </c>
      <c r="C610" t="str">
        <f t="shared" si="131"/>
        <v>Susan Smith</v>
      </c>
      <c r="D610" t="s">
        <v>12</v>
      </c>
      <c r="E610" t="str">
        <f t="shared" si="123"/>
        <v>Female</v>
      </c>
      <c r="F610">
        <v>42</v>
      </c>
      <c r="G610" t="s">
        <v>54</v>
      </c>
      <c r="H610" t="s">
        <v>55</v>
      </c>
      <c r="I610" t="s">
        <v>15</v>
      </c>
      <c r="J610">
        <v>20</v>
      </c>
      <c r="K610" s="4" t="str" cm="1">
        <f t="array" ref="K610">_xlfn.IFS(J610&lt;=5,"0-5",J610&lt;=10,"6-10",J610&lt;=15,"11-15",J610&lt;=20,"16-20",J610&gt;20,"21+")</f>
        <v>16-20</v>
      </c>
      <c r="L610" t="s">
        <v>90</v>
      </c>
      <c r="M610" s="2" t="str">
        <f>TRIM(MID(L610,FIND(" ",L610)+1,LEN(L610)))</f>
        <v>50</v>
      </c>
      <c r="N610" s="8">
        <f t="shared" si="124"/>
        <v>50</v>
      </c>
      <c r="O610">
        <v>3.8</v>
      </c>
      <c r="P610" t="s">
        <v>23</v>
      </c>
      <c r="Q610" t="s">
        <v>2072</v>
      </c>
      <c r="R610" s="1">
        <v>0.93</v>
      </c>
      <c r="S610" s="3">
        <f t="shared" ref="S610:S612" si="133">R610</f>
        <v>0.93</v>
      </c>
    </row>
    <row r="611" spans="1:19" x14ac:dyDescent="0.3">
      <c r="A611" t="s">
        <v>1292</v>
      </c>
      <c r="B611" t="s">
        <v>1293</v>
      </c>
      <c r="C611" t="str">
        <f t="shared" si="131"/>
        <v>Brianna Orr</v>
      </c>
      <c r="D611" t="s">
        <v>26</v>
      </c>
      <c r="E611" t="str">
        <f t="shared" si="123"/>
        <v>Female</v>
      </c>
      <c r="F611">
        <v>52</v>
      </c>
      <c r="G611" t="s">
        <v>120</v>
      </c>
      <c r="H611" t="s">
        <v>14</v>
      </c>
      <c r="I611" t="s">
        <v>9</v>
      </c>
      <c r="J611">
        <v>29</v>
      </c>
      <c r="K611" s="4" t="str" cm="1">
        <f t="array" ref="K611">_xlfn.IFS(J611&lt;=5,"0-5",J611&lt;=10,"6-10",J611&lt;=15,"11-15",J611&lt;=20,"16-20",J611&gt;20,"21+")</f>
        <v>21+</v>
      </c>
      <c r="L611">
        <v>30</v>
      </c>
      <c r="M611" s="2">
        <f>L611</f>
        <v>30</v>
      </c>
      <c r="N611" s="8">
        <f t="shared" si="124"/>
        <v>30</v>
      </c>
      <c r="O611">
        <v>3.8</v>
      </c>
      <c r="P611">
        <v>0</v>
      </c>
      <c r="Q611" t="s">
        <v>2072</v>
      </c>
      <c r="R611" s="1">
        <v>0.68</v>
      </c>
      <c r="S611" s="3">
        <f t="shared" si="133"/>
        <v>0.68</v>
      </c>
    </row>
    <row r="612" spans="1:19" x14ac:dyDescent="0.3">
      <c r="A612" t="s">
        <v>1294</v>
      </c>
      <c r="B612" t="s">
        <v>1295</v>
      </c>
      <c r="C612" t="str">
        <f t="shared" si="131"/>
        <v>Dustin Smith</v>
      </c>
      <c r="D612" t="s">
        <v>19</v>
      </c>
      <c r="E612" t="str">
        <f t="shared" si="123"/>
        <v>Male</v>
      </c>
      <c r="F612">
        <v>53</v>
      </c>
      <c r="G612" t="s">
        <v>104</v>
      </c>
      <c r="H612" t="s">
        <v>105</v>
      </c>
      <c r="I612" t="s">
        <v>27</v>
      </c>
      <c r="J612">
        <v>21</v>
      </c>
      <c r="K612" s="4" t="str" cm="1">
        <f t="array" ref="K612">_xlfn.IFS(J612&lt;=5,"0-5",J612&lt;=10,"6-10",J612&lt;=15,"11-15",J612&lt;=20,"16-20",J612&gt;20,"21+")</f>
        <v>21+</v>
      </c>
      <c r="L612">
        <v>40</v>
      </c>
      <c r="M612" s="2">
        <f>L612</f>
        <v>40</v>
      </c>
      <c r="N612" s="8">
        <f t="shared" si="124"/>
        <v>40</v>
      </c>
      <c r="O612">
        <v>4.7</v>
      </c>
      <c r="P612">
        <v>1</v>
      </c>
      <c r="Q612" t="s">
        <v>2073</v>
      </c>
      <c r="R612" s="1">
        <v>0.62</v>
      </c>
      <c r="S612" s="3">
        <f t="shared" si="133"/>
        <v>0.62</v>
      </c>
    </row>
    <row r="613" spans="1:19" x14ac:dyDescent="0.3">
      <c r="A613" t="s">
        <v>1296</v>
      </c>
      <c r="B613" t="s">
        <v>1297</v>
      </c>
      <c r="C613" t="str">
        <f t="shared" si="131"/>
        <v>Sarah White</v>
      </c>
      <c r="D613" t="s">
        <v>12</v>
      </c>
      <c r="E613" t="str">
        <f t="shared" si="123"/>
        <v>Female</v>
      </c>
      <c r="F613">
        <v>54</v>
      </c>
      <c r="G613" t="s">
        <v>7</v>
      </c>
      <c r="H613" t="s">
        <v>8</v>
      </c>
      <c r="I613" t="s">
        <v>15</v>
      </c>
      <c r="J613">
        <v>28</v>
      </c>
      <c r="K613" s="4" t="str" cm="1">
        <f t="array" ref="K613">_xlfn.IFS(J613&lt;=5,"0-5",J613&lt;=10,"6-10",J613&lt;=15,"11-15",J613&lt;=20,"16-20",J613&gt;20,"21+")</f>
        <v>21+</v>
      </c>
      <c r="L613" t="s">
        <v>47</v>
      </c>
      <c r="M613" s="2" t="str">
        <f>TRIM(MID(L613,FIND(" ",L613)+1,LEN(L613)))</f>
        <v>40</v>
      </c>
      <c r="N613" s="8">
        <f t="shared" si="124"/>
        <v>40</v>
      </c>
      <c r="O613">
        <v>1.1000000000000001</v>
      </c>
      <c r="P613" t="s">
        <v>151</v>
      </c>
      <c r="Q613" t="s">
        <v>2072</v>
      </c>
    </row>
    <row r="614" spans="1:19" x14ac:dyDescent="0.3">
      <c r="A614" t="s">
        <v>1298</v>
      </c>
      <c r="B614" t="s">
        <v>1299</v>
      </c>
      <c r="C614" t="str">
        <f t="shared" si="131"/>
        <v>Michael Davis</v>
      </c>
      <c r="D614" t="s">
        <v>53</v>
      </c>
      <c r="E614" t="str">
        <f t="shared" si="123"/>
        <v>Male</v>
      </c>
      <c r="F614">
        <v>51</v>
      </c>
      <c r="G614" t="s">
        <v>77</v>
      </c>
      <c r="H614" t="s">
        <v>78</v>
      </c>
      <c r="I614" t="s">
        <v>22</v>
      </c>
      <c r="J614">
        <v>5</v>
      </c>
      <c r="K614" s="4" t="str" cm="1">
        <f t="array" ref="K614">_xlfn.IFS(J614&lt;=5,"0-5",J614&lt;=10,"6-10",J614&lt;=15,"11-15",J614&lt;=20,"16-20",J614&gt;20,"21+")</f>
        <v>0-5</v>
      </c>
      <c r="L614">
        <v>50</v>
      </c>
      <c r="M614" s="2">
        <f>L614</f>
        <v>50</v>
      </c>
      <c r="N614" s="8">
        <f t="shared" si="124"/>
        <v>50</v>
      </c>
      <c r="O614">
        <v>4.2</v>
      </c>
      <c r="P614">
        <v>1</v>
      </c>
      <c r="Q614" t="s">
        <v>2073</v>
      </c>
      <c r="R614" s="1">
        <v>0.82</v>
      </c>
      <c r="S614" s="3">
        <f>R614</f>
        <v>0.82</v>
      </c>
    </row>
    <row r="615" spans="1:19" x14ac:dyDescent="0.3">
      <c r="A615" t="s">
        <v>1300</v>
      </c>
      <c r="B615" t="s">
        <v>1301</v>
      </c>
      <c r="C615" t="str">
        <f t="shared" si="131"/>
        <v>Jennifer Phillips</v>
      </c>
      <c r="D615" t="s">
        <v>6</v>
      </c>
      <c r="E615" t="str">
        <f t="shared" si="123"/>
        <v>Female</v>
      </c>
      <c r="F615">
        <v>30</v>
      </c>
      <c r="G615" t="s">
        <v>104</v>
      </c>
      <c r="H615" t="s">
        <v>105</v>
      </c>
      <c r="I615" t="s">
        <v>27</v>
      </c>
      <c r="J615">
        <v>0</v>
      </c>
      <c r="K615" s="4" t="str" cm="1">
        <f t="array" ref="K615">_xlfn.IFS(J615&lt;=5,"0-5",J615&lt;=10,"6-10",J615&lt;=15,"11-15",J615&lt;=20,"16-20",J615&gt;20,"21+")</f>
        <v>0-5</v>
      </c>
      <c r="N615" s="8" t="str">
        <f t="shared" si="124"/>
        <v/>
      </c>
      <c r="O615">
        <v>0</v>
      </c>
      <c r="P615">
        <v>0</v>
      </c>
      <c r="Q615" t="s">
        <v>2072</v>
      </c>
    </row>
    <row r="616" spans="1:19" x14ac:dyDescent="0.3">
      <c r="A616" t="s">
        <v>1302</v>
      </c>
      <c r="B616" t="s">
        <v>1303</v>
      </c>
      <c r="C616" t="str">
        <f t="shared" si="131"/>
        <v>Dana Sanders</v>
      </c>
      <c r="D616" t="s">
        <v>69</v>
      </c>
      <c r="E616" t="str">
        <f t="shared" si="123"/>
        <v>Female</v>
      </c>
      <c r="F616">
        <v>45</v>
      </c>
      <c r="G616" t="s">
        <v>34</v>
      </c>
      <c r="H616" t="s">
        <v>35</v>
      </c>
      <c r="I616" t="s">
        <v>106</v>
      </c>
      <c r="J616">
        <v>27</v>
      </c>
      <c r="K616" s="4" t="str" cm="1">
        <f t="array" ref="K616">_xlfn.IFS(J616&lt;=5,"0-5",J616&lt;=10,"6-10",J616&lt;=15,"11-15",J616&lt;=20,"16-20",J616&gt;20,"21+")</f>
        <v>21+</v>
      </c>
      <c r="L616" t="s">
        <v>44</v>
      </c>
      <c r="M616" s="2" t="str">
        <f>TRIM(MID(L616,FIND(" ",L616)+1,LEN(L616)))</f>
        <v>75</v>
      </c>
      <c r="N616" s="8">
        <f t="shared" si="124"/>
        <v>75</v>
      </c>
      <c r="O616">
        <v>0</v>
      </c>
      <c r="R616" s="1">
        <v>0.85</v>
      </c>
      <c r="S616" s="3">
        <f t="shared" ref="S616:S622" si="134">R616</f>
        <v>0.85</v>
      </c>
    </row>
    <row r="617" spans="1:19" x14ac:dyDescent="0.3">
      <c r="A617" t="s">
        <v>1304</v>
      </c>
      <c r="B617" t="s">
        <v>1305</v>
      </c>
      <c r="C617" t="str">
        <f t="shared" si="131"/>
        <v>Daniel Quinn</v>
      </c>
      <c r="D617" t="s">
        <v>19</v>
      </c>
      <c r="E617" t="str">
        <f t="shared" si="123"/>
        <v>Male</v>
      </c>
      <c r="F617">
        <v>57</v>
      </c>
      <c r="G617" t="s">
        <v>41</v>
      </c>
      <c r="H617" t="s">
        <v>42</v>
      </c>
      <c r="I617" t="s">
        <v>22</v>
      </c>
      <c r="J617">
        <v>26</v>
      </c>
      <c r="K617" s="4" t="str" cm="1">
        <f t="array" ref="K617">_xlfn.IFS(J617&lt;=5,"0-5",J617&lt;=10,"6-10",J617&lt;=15,"11-15",J617&lt;=20,"16-20",J617&gt;20,"21+")</f>
        <v>21+</v>
      </c>
      <c r="L617" t="s">
        <v>16</v>
      </c>
      <c r="M617" s="2" t="str">
        <f>TRIM(MID(L617,FIND(" ",L617)+1,LEN(L617)))</f>
        <v>100</v>
      </c>
      <c r="N617" s="8">
        <f t="shared" si="124"/>
        <v>100</v>
      </c>
      <c r="O617">
        <v>2.4</v>
      </c>
      <c r="P617">
        <v>1</v>
      </c>
      <c r="Q617" t="s">
        <v>2073</v>
      </c>
      <c r="R617" s="1">
        <v>0.78</v>
      </c>
      <c r="S617" s="3">
        <f t="shared" si="134"/>
        <v>0.78</v>
      </c>
    </row>
    <row r="618" spans="1:19" x14ac:dyDescent="0.3">
      <c r="A618" t="s">
        <v>1306</v>
      </c>
      <c r="B618" t="s">
        <v>1307</v>
      </c>
      <c r="C618" t="str">
        <f t="shared" si="131"/>
        <v>Matthew Steele</v>
      </c>
      <c r="D618" t="s">
        <v>89</v>
      </c>
      <c r="E618" t="str">
        <f t="shared" si="123"/>
        <v>Male</v>
      </c>
      <c r="F618">
        <v>38</v>
      </c>
      <c r="G618" t="s">
        <v>54</v>
      </c>
      <c r="H618" t="s">
        <v>55</v>
      </c>
      <c r="I618" t="s">
        <v>9</v>
      </c>
      <c r="J618">
        <v>19</v>
      </c>
      <c r="K618" s="4" t="str" cm="1">
        <f t="array" ref="K618">_xlfn.IFS(J618&lt;=5,"0-5",J618&lt;=10,"6-10",J618&lt;=15,"11-15",J618&lt;=20,"16-20",J618&gt;20,"21+")</f>
        <v>16-20</v>
      </c>
      <c r="L618">
        <v>40</v>
      </c>
      <c r="M618" s="2">
        <f>L618</f>
        <v>40</v>
      </c>
      <c r="N618" s="8">
        <f t="shared" si="124"/>
        <v>40</v>
      </c>
      <c r="O618">
        <v>0</v>
      </c>
      <c r="P618">
        <v>1</v>
      </c>
      <c r="Q618" t="s">
        <v>2073</v>
      </c>
      <c r="R618" s="1">
        <v>0.86</v>
      </c>
      <c r="S618" s="3">
        <f t="shared" si="134"/>
        <v>0.86</v>
      </c>
    </row>
    <row r="619" spans="1:19" x14ac:dyDescent="0.3">
      <c r="A619" t="s">
        <v>1308</v>
      </c>
      <c r="B619" t="s">
        <v>1309</v>
      </c>
      <c r="C619" t="str">
        <f t="shared" si="131"/>
        <v>Michele Taylor</v>
      </c>
      <c r="D619" t="s">
        <v>12</v>
      </c>
      <c r="E619" t="str">
        <f t="shared" si="123"/>
        <v>Female</v>
      </c>
      <c r="F619">
        <v>42</v>
      </c>
      <c r="G619" t="s">
        <v>116</v>
      </c>
      <c r="H619" t="s">
        <v>117</v>
      </c>
      <c r="I619" t="s">
        <v>81</v>
      </c>
      <c r="J619">
        <v>24</v>
      </c>
      <c r="K619" s="4" t="str" cm="1">
        <f t="array" ref="K619">_xlfn.IFS(J619&lt;=5,"0-5",J619&lt;=10,"6-10",J619&lt;=15,"11-15",J619&lt;=20,"16-20",J619&gt;20,"21+")</f>
        <v>21+</v>
      </c>
      <c r="L619" t="s">
        <v>47</v>
      </c>
      <c r="M619" s="2" t="str">
        <f>TRIM(MID(L619,FIND(" ",L619)+1,LEN(L619)))</f>
        <v>40</v>
      </c>
      <c r="N619" s="8">
        <f t="shared" si="124"/>
        <v>40</v>
      </c>
      <c r="P619" t="b">
        <v>0</v>
      </c>
      <c r="Q619" t="s">
        <v>2072</v>
      </c>
      <c r="R619" s="1">
        <v>0.88</v>
      </c>
      <c r="S619" s="3">
        <f t="shared" si="134"/>
        <v>0.88</v>
      </c>
    </row>
    <row r="620" spans="1:19" x14ac:dyDescent="0.3">
      <c r="A620" t="s">
        <v>1310</v>
      </c>
      <c r="B620" t="s">
        <v>1311</v>
      </c>
      <c r="C620" t="str">
        <f t="shared" si="131"/>
        <v>Ashley Hammond</v>
      </c>
      <c r="D620" t="s">
        <v>69</v>
      </c>
      <c r="E620" t="str">
        <f t="shared" si="123"/>
        <v>Female</v>
      </c>
      <c r="F620">
        <v>30</v>
      </c>
      <c r="G620" t="s">
        <v>145</v>
      </c>
      <c r="H620" t="s">
        <v>146</v>
      </c>
      <c r="I620" t="s">
        <v>81</v>
      </c>
      <c r="J620">
        <v>7</v>
      </c>
      <c r="K620" s="4" t="str" cm="1">
        <f t="array" ref="K620">_xlfn.IFS(J620&lt;=5,"0-5",J620&lt;=10,"6-10",J620&lt;=15,"11-15",J620&lt;=20,"16-20",J620&gt;20,"21+")</f>
        <v>6-10</v>
      </c>
      <c r="L620">
        <v>30</v>
      </c>
      <c r="M620" s="2">
        <f>L620</f>
        <v>30</v>
      </c>
      <c r="N620" s="8">
        <f t="shared" si="124"/>
        <v>30</v>
      </c>
      <c r="O620">
        <v>3.3</v>
      </c>
      <c r="R620" s="1">
        <v>0.68</v>
      </c>
      <c r="S620" s="3">
        <f t="shared" si="134"/>
        <v>0.68</v>
      </c>
    </row>
    <row r="621" spans="1:19" x14ac:dyDescent="0.3">
      <c r="A621" t="s">
        <v>1312</v>
      </c>
      <c r="B621" t="s">
        <v>1313</v>
      </c>
      <c r="C621" t="str">
        <f t="shared" si="131"/>
        <v>Nicole Taylor</v>
      </c>
      <c r="D621" t="s">
        <v>31</v>
      </c>
      <c r="E621" t="str">
        <f t="shared" si="123"/>
        <v>Female</v>
      </c>
      <c r="F621">
        <v>43</v>
      </c>
      <c r="G621" t="s">
        <v>13</v>
      </c>
      <c r="H621" t="s">
        <v>14</v>
      </c>
      <c r="I621" t="s">
        <v>27</v>
      </c>
      <c r="J621">
        <v>13</v>
      </c>
      <c r="K621" s="4" t="str" cm="1">
        <f t="array" ref="K621">_xlfn.IFS(J621&lt;=5,"0-5",J621&lt;=10,"6-10",J621&lt;=15,"11-15",J621&lt;=20,"16-20",J621&gt;20,"21+")</f>
        <v>11-15</v>
      </c>
      <c r="L621" t="s">
        <v>221</v>
      </c>
      <c r="M621" s="2" t="str">
        <f>SUBSTITUTE(L621,"$","")</f>
        <v>100</v>
      </c>
      <c r="N621" s="8">
        <f t="shared" si="124"/>
        <v>100</v>
      </c>
      <c r="O621">
        <v>1.4</v>
      </c>
      <c r="P621">
        <v>1</v>
      </c>
      <c r="Q621" t="s">
        <v>2073</v>
      </c>
      <c r="R621" s="1">
        <v>0.97</v>
      </c>
      <c r="S621" s="3">
        <f t="shared" si="134"/>
        <v>0.97</v>
      </c>
    </row>
    <row r="622" spans="1:19" x14ac:dyDescent="0.3">
      <c r="A622" t="s">
        <v>1314</v>
      </c>
      <c r="B622" t="s">
        <v>1315</v>
      </c>
      <c r="C622" t="str">
        <f t="shared" si="131"/>
        <v>Casey Bush</v>
      </c>
      <c r="D622" t="s">
        <v>89</v>
      </c>
      <c r="E622" t="str">
        <f t="shared" si="123"/>
        <v>Male</v>
      </c>
      <c r="F622">
        <v>22</v>
      </c>
      <c r="G622" t="s">
        <v>131</v>
      </c>
      <c r="H622" t="s">
        <v>132</v>
      </c>
      <c r="I622" t="s">
        <v>65</v>
      </c>
      <c r="J622">
        <v>2</v>
      </c>
      <c r="K622" s="4" t="str" cm="1">
        <f t="array" ref="K622">_xlfn.IFS(J622&lt;=5,"0-5",J622&lt;=10,"6-10",J622&lt;=15,"11-15",J622&lt;=20,"16-20",J622&gt;20,"21+")</f>
        <v>0-5</v>
      </c>
      <c r="L622" t="s">
        <v>162</v>
      </c>
      <c r="M622" s="2" t="str">
        <f>SUBSTITUTE(L622,"$","")</f>
        <v>75</v>
      </c>
      <c r="N622" s="8">
        <f t="shared" si="124"/>
        <v>75</v>
      </c>
      <c r="O622">
        <v>1.7</v>
      </c>
      <c r="P622" t="s">
        <v>151</v>
      </c>
      <c r="Q622" t="s">
        <v>2072</v>
      </c>
      <c r="R622" s="1">
        <v>0.91</v>
      </c>
      <c r="S622" s="3">
        <f t="shared" si="134"/>
        <v>0.91</v>
      </c>
    </row>
    <row r="623" spans="1:19" x14ac:dyDescent="0.3">
      <c r="A623" t="s">
        <v>1316</v>
      </c>
      <c r="B623" t="s">
        <v>1317</v>
      </c>
      <c r="C623" t="str">
        <f t="shared" si="131"/>
        <v>Samuel Patterson</v>
      </c>
      <c r="D623" t="s">
        <v>84</v>
      </c>
      <c r="E623" t="str">
        <f t="shared" si="123"/>
        <v>Male</v>
      </c>
      <c r="F623">
        <v>57</v>
      </c>
      <c r="G623" t="s">
        <v>171</v>
      </c>
      <c r="H623" t="s">
        <v>64</v>
      </c>
      <c r="I623" t="s">
        <v>106</v>
      </c>
      <c r="J623">
        <v>37</v>
      </c>
      <c r="K623" s="4" t="str" cm="1">
        <f t="array" ref="K623">_xlfn.IFS(J623&lt;=5,"0-5",J623&lt;=10,"6-10",J623&lt;=15,"11-15",J623&lt;=20,"16-20",J623&gt;20,"21+")</f>
        <v>21+</v>
      </c>
      <c r="L623">
        <v>30</v>
      </c>
      <c r="M623" s="2">
        <f>L623</f>
        <v>30</v>
      </c>
      <c r="N623" s="8">
        <f t="shared" si="124"/>
        <v>30</v>
      </c>
      <c r="O623">
        <v>4.8</v>
      </c>
      <c r="P623" t="b">
        <v>0</v>
      </c>
      <c r="Q623" t="s">
        <v>2072</v>
      </c>
    </row>
    <row r="624" spans="1:19" x14ac:dyDescent="0.3">
      <c r="A624" t="s">
        <v>1318</v>
      </c>
      <c r="B624" t="s">
        <v>1319</v>
      </c>
      <c r="C624" t="str">
        <f t="shared" si="131"/>
        <v>Craig Dennis</v>
      </c>
      <c r="D624" t="s">
        <v>53</v>
      </c>
      <c r="E624" t="str">
        <f t="shared" si="123"/>
        <v>Male</v>
      </c>
      <c r="F624">
        <v>44</v>
      </c>
      <c r="G624" t="s">
        <v>59</v>
      </c>
      <c r="H624" t="s">
        <v>14</v>
      </c>
      <c r="I624" t="s">
        <v>22</v>
      </c>
      <c r="J624">
        <v>1</v>
      </c>
      <c r="K624" s="4" t="str" cm="1">
        <f t="array" ref="K624">_xlfn.IFS(J624&lt;=5,"0-5",J624&lt;=10,"6-10",J624&lt;=15,"11-15",J624&lt;=20,"16-20",J624&gt;20,"21+")</f>
        <v>0-5</v>
      </c>
      <c r="N624" s="8" t="str">
        <f t="shared" si="124"/>
        <v/>
      </c>
      <c r="O624">
        <v>4.8</v>
      </c>
      <c r="P624" t="s">
        <v>23</v>
      </c>
      <c r="Q624" t="s">
        <v>2072</v>
      </c>
      <c r="R624" s="1">
        <v>0.97</v>
      </c>
      <c r="S624" s="3">
        <f t="shared" ref="S624:S626" si="135">R624</f>
        <v>0.97</v>
      </c>
    </row>
    <row r="625" spans="1:19" x14ac:dyDescent="0.3">
      <c r="A625" t="s">
        <v>1320</v>
      </c>
      <c r="B625" t="s">
        <v>1321</v>
      </c>
      <c r="C625" t="str">
        <f t="shared" si="131"/>
        <v>Heidi Dixon</v>
      </c>
      <c r="D625" t="s">
        <v>31</v>
      </c>
      <c r="E625" t="str">
        <f t="shared" si="123"/>
        <v>Female</v>
      </c>
      <c r="F625">
        <v>46</v>
      </c>
      <c r="G625" t="s">
        <v>167</v>
      </c>
      <c r="H625" t="s">
        <v>168</v>
      </c>
      <c r="I625" t="s">
        <v>81</v>
      </c>
      <c r="J625">
        <v>5</v>
      </c>
      <c r="K625" s="4" t="str" cm="1">
        <f t="array" ref="K625">_xlfn.IFS(J625&lt;=5,"0-5",J625&lt;=10,"6-10",J625&lt;=15,"11-15",J625&lt;=20,"16-20",J625&gt;20,"21+")</f>
        <v>0-5</v>
      </c>
      <c r="L625" t="s">
        <v>101</v>
      </c>
      <c r="M625" s="2" t="str">
        <f>TRIM(MID(L625,FIND(" ",L625)+1,LEN(L625)))</f>
        <v>30</v>
      </c>
      <c r="N625" s="8">
        <f t="shared" si="124"/>
        <v>30</v>
      </c>
      <c r="O625">
        <v>2</v>
      </c>
      <c r="P625" t="s">
        <v>60</v>
      </c>
      <c r="Q625" t="s">
        <v>2073</v>
      </c>
      <c r="R625" s="1">
        <v>0.64</v>
      </c>
      <c r="S625" s="3">
        <f t="shared" si="135"/>
        <v>0.64</v>
      </c>
    </row>
    <row r="626" spans="1:19" x14ac:dyDescent="0.3">
      <c r="A626" t="s">
        <v>1322</v>
      </c>
      <c r="B626" t="s">
        <v>1323</v>
      </c>
      <c r="C626" t="str">
        <f t="shared" si="131"/>
        <v>David Bishop</v>
      </c>
      <c r="D626" t="s">
        <v>89</v>
      </c>
      <c r="E626" t="str">
        <f t="shared" si="123"/>
        <v>Male</v>
      </c>
      <c r="G626" t="s">
        <v>182</v>
      </c>
      <c r="H626" t="s">
        <v>64</v>
      </c>
      <c r="I626" t="s">
        <v>9</v>
      </c>
      <c r="J626">
        <v>1</v>
      </c>
      <c r="K626" s="4" t="str" cm="1">
        <f t="array" ref="K626">_xlfn.IFS(J626&lt;=5,"0-5",J626&lt;=10,"6-10",J626&lt;=15,"11-15",J626&lt;=20,"16-20",J626&gt;20,"21+")</f>
        <v>0-5</v>
      </c>
      <c r="L626" t="s">
        <v>90</v>
      </c>
      <c r="M626" s="2" t="str">
        <f>TRIM(MID(L626,FIND(" ",L626)+1,LEN(L626)))</f>
        <v>50</v>
      </c>
      <c r="N626" s="8">
        <f t="shared" si="124"/>
        <v>50</v>
      </c>
      <c r="O626">
        <v>2.8</v>
      </c>
      <c r="P626" t="s">
        <v>151</v>
      </c>
      <c r="Q626" t="s">
        <v>2072</v>
      </c>
      <c r="R626" s="1">
        <v>0.87</v>
      </c>
      <c r="S626" s="3">
        <f t="shared" si="135"/>
        <v>0.87</v>
      </c>
    </row>
    <row r="627" spans="1:19" x14ac:dyDescent="0.3">
      <c r="A627" t="s">
        <v>1324</v>
      </c>
      <c r="B627" t="s">
        <v>1325</v>
      </c>
      <c r="C627" t="str">
        <f t="shared" si="131"/>
        <v>Laura Butler</v>
      </c>
      <c r="D627" t="s">
        <v>69</v>
      </c>
      <c r="E627" t="str">
        <f t="shared" si="123"/>
        <v>Female</v>
      </c>
      <c r="F627">
        <v>34</v>
      </c>
      <c r="G627" t="s">
        <v>13</v>
      </c>
      <c r="H627" t="s">
        <v>14</v>
      </c>
      <c r="I627" t="s">
        <v>43</v>
      </c>
      <c r="J627">
        <v>2</v>
      </c>
      <c r="K627" s="4" t="str" cm="1">
        <f t="array" ref="K627">_xlfn.IFS(J627&lt;=5,"0-5",J627&lt;=10,"6-10",J627&lt;=15,"11-15",J627&lt;=20,"16-20",J627&gt;20,"21+")</f>
        <v>0-5</v>
      </c>
      <c r="L627">
        <v>100</v>
      </c>
      <c r="M627" s="2">
        <f>L627</f>
        <v>100</v>
      </c>
      <c r="N627" s="8">
        <f t="shared" si="124"/>
        <v>100</v>
      </c>
      <c r="O627">
        <v>0</v>
      </c>
      <c r="P627">
        <v>0</v>
      </c>
      <c r="Q627" t="s">
        <v>2072</v>
      </c>
      <c r="R627">
        <v>86</v>
      </c>
      <c r="S627" s="3">
        <f t="shared" ref="S627:S628" si="136">R627/100</f>
        <v>0.86</v>
      </c>
    </row>
    <row r="628" spans="1:19" x14ac:dyDescent="0.3">
      <c r="A628" t="s">
        <v>1326</v>
      </c>
      <c r="B628" t="s">
        <v>1327</v>
      </c>
      <c r="C628" t="str">
        <f t="shared" si="131"/>
        <v>Denise Erickson</v>
      </c>
      <c r="D628" t="s">
        <v>26</v>
      </c>
      <c r="E628" t="str">
        <f t="shared" si="123"/>
        <v>Female</v>
      </c>
      <c r="F628">
        <v>46</v>
      </c>
      <c r="G628" t="s">
        <v>7</v>
      </c>
      <c r="H628" t="s">
        <v>8</v>
      </c>
      <c r="I628" t="s">
        <v>15</v>
      </c>
      <c r="K628" s="4" t="str" cm="1">
        <f t="array" ref="K628">_xlfn.IFS(J628&lt;=5,"0-5",J628&lt;=10,"6-10",J628&lt;=15,"11-15",J628&lt;=20,"16-20",J628&gt;20,"21+")</f>
        <v>0-5</v>
      </c>
      <c r="L628" t="s">
        <v>221</v>
      </c>
      <c r="M628" s="2" t="str">
        <f>SUBSTITUTE(L628,"$","")</f>
        <v>100</v>
      </c>
      <c r="N628" s="8">
        <f t="shared" si="124"/>
        <v>100</v>
      </c>
      <c r="O628">
        <v>4.4000000000000004</v>
      </c>
      <c r="P628">
        <v>1</v>
      </c>
      <c r="Q628" t="s">
        <v>2073</v>
      </c>
      <c r="R628">
        <v>97</v>
      </c>
      <c r="S628" s="3">
        <f t="shared" si="136"/>
        <v>0.97</v>
      </c>
    </row>
    <row r="629" spans="1:19" x14ac:dyDescent="0.3">
      <c r="A629" t="s">
        <v>1328</v>
      </c>
      <c r="B629" t="s">
        <v>1329</v>
      </c>
      <c r="C629" t="str">
        <f t="shared" si="131"/>
        <v>Nicole Austin</v>
      </c>
      <c r="D629" t="s">
        <v>6</v>
      </c>
      <c r="E629" t="str">
        <f t="shared" si="123"/>
        <v>Female</v>
      </c>
      <c r="F629">
        <v>22</v>
      </c>
      <c r="G629" t="s">
        <v>127</v>
      </c>
      <c r="H629" t="s">
        <v>128</v>
      </c>
      <c r="I629" t="s">
        <v>9</v>
      </c>
      <c r="J629">
        <v>0</v>
      </c>
      <c r="K629" s="4" t="str" cm="1">
        <f t="array" ref="K629">_xlfn.IFS(J629&lt;=5,"0-5",J629&lt;=10,"6-10",J629&lt;=15,"11-15",J629&lt;=20,"16-20",J629&gt;20,"21+")</f>
        <v>0-5</v>
      </c>
      <c r="L629" t="s">
        <v>101</v>
      </c>
      <c r="M629" s="2" t="str">
        <f>TRIM(MID(L629,FIND(" ",L629)+1,LEN(L629)))</f>
        <v>30</v>
      </c>
      <c r="N629" s="8">
        <f t="shared" si="124"/>
        <v>30</v>
      </c>
      <c r="O629">
        <v>4.9000000000000004</v>
      </c>
      <c r="P629" t="b">
        <v>0</v>
      </c>
      <c r="Q629" t="s">
        <v>2072</v>
      </c>
      <c r="R629" s="1">
        <v>0.73</v>
      </c>
      <c r="S629" s="3">
        <f t="shared" ref="S629:S630" si="137">R629</f>
        <v>0.73</v>
      </c>
    </row>
    <row r="630" spans="1:19" x14ac:dyDescent="0.3">
      <c r="A630" t="s">
        <v>1330</v>
      </c>
      <c r="B630" t="s">
        <v>1331</v>
      </c>
      <c r="C630" t="str">
        <f t="shared" si="131"/>
        <v>Summer Williams</v>
      </c>
      <c r="D630" t="s">
        <v>31</v>
      </c>
      <c r="E630" t="str">
        <f t="shared" si="123"/>
        <v>Female</v>
      </c>
      <c r="F630">
        <v>23</v>
      </c>
      <c r="G630" t="s">
        <v>145</v>
      </c>
      <c r="H630" t="s">
        <v>146</v>
      </c>
      <c r="I630" t="s">
        <v>36</v>
      </c>
      <c r="J630">
        <v>0</v>
      </c>
      <c r="K630" s="4" t="str" cm="1">
        <f t="array" ref="K630">_xlfn.IFS(J630&lt;=5,"0-5",J630&lt;=10,"6-10",J630&lt;=15,"11-15",J630&lt;=20,"16-20",J630&gt;20,"21+")</f>
        <v>0-5</v>
      </c>
      <c r="L630" t="s">
        <v>44</v>
      </c>
      <c r="M630" s="2" t="str">
        <f>TRIM(MID(L630,FIND(" ",L630)+1,LEN(L630)))</f>
        <v>75</v>
      </c>
      <c r="N630" s="8">
        <f t="shared" si="124"/>
        <v>75</v>
      </c>
      <c r="O630">
        <v>2.2999999999999998</v>
      </c>
      <c r="R630" s="1">
        <v>0.6</v>
      </c>
      <c r="S630" s="3">
        <f t="shared" si="137"/>
        <v>0.6</v>
      </c>
    </row>
    <row r="631" spans="1:19" x14ac:dyDescent="0.3">
      <c r="A631" t="s">
        <v>1332</v>
      </c>
      <c r="B631" t="s">
        <v>1333</v>
      </c>
      <c r="C631" t="str">
        <f t="shared" si="131"/>
        <v>Angela Blackwell</v>
      </c>
      <c r="D631" t="s">
        <v>26</v>
      </c>
      <c r="E631" t="str">
        <f t="shared" si="123"/>
        <v>Female</v>
      </c>
      <c r="F631">
        <v>60</v>
      </c>
      <c r="G631" t="s">
        <v>54</v>
      </c>
      <c r="H631" t="s">
        <v>55</v>
      </c>
      <c r="I631" t="s">
        <v>27</v>
      </c>
      <c r="J631">
        <v>41</v>
      </c>
      <c r="K631" s="4" t="str" cm="1">
        <f t="array" ref="K631">_xlfn.IFS(J631&lt;=5,"0-5",J631&lt;=10,"6-10",J631&lt;=15,"11-15",J631&lt;=20,"16-20",J631&gt;20,"21+")</f>
        <v>21+</v>
      </c>
      <c r="L631" t="s">
        <v>28</v>
      </c>
      <c r="M631" s="2" t="str">
        <f>SUBSTITUTE(L631,"$","")</f>
        <v>40</v>
      </c>
      <c r="N631" s="8">
        <f t="shared" si="124"/>
        <v>40</v>
      </c>
      <c r="O631">
        <v>4.9000000000000004</v>
      </c>
      <c r="P631">
        <v>1</v>
      </c>
      <c r="Q631" t="s">
        <v>2073</v>
      </c>
      <c r="R631">
        <v>66</v>
      </c>
      <c r="S631" s="3">
        <f>R631/100</f>
        <v>0.66</v>
      </c>
    </row>
    <row r="632" spans="1:19" x14ac:dyDescent="0.3">
      <c r="A632" t="s">
        <v>1334</v>
      </c>
      <c r="B632" t="s">
        <v>1335</v>
      </c>
      <c r="C632" t="str">
        <f t="shared" si="131"/>
        <v>Thomas Wall</v>
      </c>
      <c r="D632" t="s">
        <v>40</v>
      </c>
      <c r="E632" t="str">
        <f t="shared" si="123"/>
        <v>Male</v>
      </c>
      <c r="F632">
        <v>20</v>
      </c>
      <c r="G632" t="s">
        <v>120</v>
      </c>
      <c r="H632" t="s">
        <v>14</v>
      </c>
      <c r="I632" t="s">
        <v>81</v>
      </c>
      <c r="K632" s="4" t="str" cm="1">
        <f t="array" ref="K632">_xlfn.IFS(J632&lt;=5,"0-5",J632&lt;=10,"6-10",J632&lt;=15,"11-15",J632&lt;=20,"16-20",J632&gt;20,"21+")</f>
        <v>0-5</v>
      </c>
      <c r="L632" t="s">
        <v>162</v>
      </c>
      <c r="M632" s="2" t="str">
        <f>SUBSTITUTE(L632,"$","")</f>
        <v>75</v>
      </c>
      <c r="N632" s="8">
        <f t="shared" si="124"/>
        <v>75</v>
      </c>
      <c r="O632">
        <v>4.3</v>
      </c>
      <c r="P632">
        <v>0</v>
      </c>
      <c r="Q632" t="s">
        <v>2072</v>
      </c>
      <c r="R632" s="1">
        <v>0.9</v>
      </c>
      <c r="S632" s="3">
        <f>R632</f>
        <v>0.9</v>
      </c>
    </row>
    <row r="633" spans="1:19" x14ac:dyDescent="0.3">
      <c r="A633" t="s">
        <v>1336</v>
      </c>
      <c r="B633" t="s">
        <v>1337</v>
      </c>
      <c r="C633" t="str">
        <f t="shared" si="131"/>
        <v>Sarah Anderson</v>
      </c>
      <c r="D633" t="s">
        <v>6</v>
      </c>
      <c r="E633" t="str">
        <f t="shared" si="123"/>
        <v>Female</v>
      </c>
      <c r="F633">
        <v>41</v>
      </c>
      <c r="G633" t="s">
        <v>104</v>
      </c>
      <c r="H633" t="s">
        <v>105</v>
      </c>
      <c r="I633" t="s">
        <v>65</v>
      </c>
      <c r="J633">
        <v>23</v>
      </c>
      <c r="K633" s="4" t="str" cm="1">
        <f t="array" ref="K633">_xlfn.IFS(J633&lt;=5,"0-5",J633&lt;=10,"6-10",J633&lt;=15,"11-15",J633&lt;=20,"16-20",J633&gt;20,"21+")</f>
        <v>21+</v>
      </c>
      <c r="L633" t="s">
        <v>162</v>
      </c>
      <c r="M633" s="2" t="str">
        <f>SUBSTITUTE(L633,"$","")</f>
        <v>75</v>
      </c>
      <c r="N633" s="8">
        <f t="shared" si="124"/>
        <v>75</v>
      </c>
      <c r="O633">
        <v>1.4</v>
      </c>
      <c r="P633">
        <v>0</v>
      </c>
      <c r="Q633" t="s">
        <v>2072</v>
      </c>
    </row>
    <row r="634" spans="1:19" x14ac:dyDescent="0.3">
      <c r="A634" t="s">
        <v>1338</v>
      </c>
      <c r="B634" t="s">
        <v>1339</v>
      </c>
      <c r="C634" t="str">
        <f t="shared" si="131"/>
        <v>Christian Lane</v>
      </c>
      <c r="D634" t="s">
        <v>40</v>
      </c>
      <c r="E634" t="str">
        <f t="shared" si="123"/>
        <v>Male</v>
      </c>
      <c r="F634">
        <v>24</v>
      </c>
      <c r="G634" t="s">
        <v>127</v>
      </c>
      <c r="H634" t="s">
        <v>128</v>
      </c>
      <c r="I634" t="s">
        <v>15</v>
      </c>
      <c r="J634">
        <v>0</v>
      </c>
      <c r="K634" s="4" t="str" cm="1">
        <f t="array" ref="K634">_xlfn.IFS(J634&lt;=5,"0-5",J634&lt;=10,"6-10",J634&lt;=15,"11-15",J634&lt;=20,"16-20",J634&gt;20,"21+")</f>
        <v>0-5</v>
      </c>
      <c r="L634">
        <v>100</v>
      </c>
      <c r="M634" s="2">
        <f>L634</f>
        <v>100</v>
      </c>
      <c r="N634" s="8">
        <f t="shared" si="124"/>
        <v>100</v>
      </c>
      <c r="P634" t="s">
        <v>151</v>
      </c>
      <c r="Q634" t="s">
        <v>2072</v>
      </c>
    </row>
    <row r="635" spans="1:19" x14ac:dyDescent="0.3">
      <c r="A635" t="s">
        <v>1340</v>
      </c>
      <c r="B635" t="s">
        <v>1341</v>
      </c>
      <c r="C635" t="str">
        <f t="shared" si="131"/>
        <v>Todd Casey</v>
      </c>
      <c r="D635" t="s">
        <v>40</v>
      </c>
      <c r="E635" t="str">
        <f t="shared" si="123"/>
        <v>Male</v>
      </c>
      <c r="F635">
        <v>44</v>
      </c>
      <c r="G635" t="s">
        <v>34</v>
      </c>
      <c r="H635" t="s">
        <v>35</v>
      </c>
      <c r="I635" t="s">
        <v>106</v>
      </c>
      <c r="J635">
        <v>4</v>
      </c>
      <c r="K635" s="4" t="str" cm="1">
        <f t="array" ref="K635">_xlfn.IFS(J635&lt;=5,"0-5",J635&lt;=10,"6-10",J635&lt;=15,"11-15",J635&lt;=20,"16-20",J635&gt;20,"21+")</f>
        <v>0-5</v>
      </c>
      <c r="N635" s="8" t="str">
        <f t="shared" si="124"/>
        <v/>
      </c>
      <c r="O635">
        <v>1.3</v>
      </c>
      <c r="P635" t="s">
        <v>60</v>
      </c>
      <c r="Q635" t="s">
        <v>2073</v>
      </c>
      <c r="R635">
        <v>77</v>
      </c>
      <c r="S635" s="3">
        <f>R635/100</f>
        <v>0.77</v>
      </c>
    </row>
    <row r="636" spans="1:19" x14ac:dyDescent="0.3">
      <c r="A636" t="s">
        <v>1342</v>
      </c>
      <c r="B636" t="s">
        <v>1343</v>
      </c>
      <c r="C636" t="str">
        <f t="shared" si="131"/>
        <v>David Martinez</v>
      </c>
      <c r="D636" t="s">
        <v>53</v>
      </c>
      <c r="E636" t="str">
        <f t="shared" si="123"/>
        <v>Male</v>
      </c>
      <c r="F636">
        <v>52</v>
      </c>
      <c r="G636" t="s">
        <v>167</v>
      </c>
      <c r="H636" t="s">
        <v>168</v>
      </c>
      <c r="I636" t="s">
        <v>65</v>
      </c>
      <c r="J636">
        <v>4</v>
      </c>
      <c r="K636" s="4" t="str" cm="1">
        <f t="array" ref="K636">_xlfn.IFS(J636&lt;=5,"0-5",J636&lt;=10,"6-10",J636&lt;=15,"11-15",J636&lt;=20,"16-20",J636&gt;20,"21+")</f>
        <v>0-5</v>
      </c>
      <c r="L636">
        <v>75</v>
      </c>
      <c r="M636" s="2">
        <f>L636</f>
        <v>75</v>
      </c>
      <c r="N636" s="8">
        <f t="shared" si="124"/>
        <v>75</v>
      </c>
      <c r="O636">
        <v>2.2999999999999998</v>
      </c>
      <c r="P636">
        <v>1</v>
      </c>
      <c r="Q636" t="s">
        <v>2073</v>
      </c>
      <c r="R636" s="1">
        <v>0.79</v>
      </c>
      <c r="S636" s="3">
        <f t="shared" ref="S636:S644" si="138">R636</f>
        <v>0.79</v>
      </c>
    </row>
    <row r="637" spans="1:19" x14ac:dyDescent="0.3">
      <c r="A637" t="s">
        <v>1344</v>
      </c>
      <c r="B637" t="s">
        <v>1345</v>
      </c>
      <c r="C637" t="str">
        <f t="shared" si="131"/>
        <v>Donald Salas</v>
      </c>
      <c r="D637" t="s">
        <v>84</v>
      </c>
      <c r="E637" t="str">
        <f t="shared" si="123"/>
        <v>Male</v>
      </c>
      <c r="F637">
        <v>35</v>
      </c>
      <c r="G637" t="s">
        <v>182</v>
      </c>
      <c r="H637" t="s">
        <v>64</v>
      </c>
      <c r="I637" t="s">
        <v>106</v>
      </c>
      <c r="J637">
        <v>13</v>
      </c>
      <c r="K637" s="4" t="str" cm="1">
        <f t="array" ref="K637">_xlfn.IFS(J637&lt;=5,"0-5",J637&lt;=10,"6-10",J637&lt;=15,"11-15",J637&lt;=20,"16-20",J637&gt;20,"21+")</f>
        <v>11-15</v>
      </c>
      <c r="L637">
        <v>40</v>
      </c>
      <c r="M637" s="2">
        <f>L637</f>
        <v>40</v>
      </c>
      <c r="N637" s="8">
        <f t="shared" si="124"/>
        <v>40</v>
      </c>
      <c r="O637">
        <v>3.6</v>
      </c>
      <c r="P637">
        <v>0</v>
      </c>
      <c r="Q637" t="s">
        <v>2072</v>
      </c>
      <c r="R637" s="1">
        <v>0.83</v>
      </c>
      <c r="S637" s="3">
        <f t="shared" si="138"/>
        <v>0.83</v>
      </c>
    </row>
    <row r="638" spans="1:19" x14ac:dyDescent="0.3">
      <c r="A638" t="s">
        <v>1346</v>
      </c>
      <c r="B638" t="s">
        <v>1347</v>
      </c>
      <c r="C638" t="str">
        <f t="shared" si="131"/>
        <v>Emma Hicks</v>
      </c>
      <c r="D638" t="s">
        <v>69</v>
      </c>
      <c r="E638" t="str">
        <f t="shared" si="123"/>
        <v>Female</v>
      </c>
      <c r="F638">
        <v>24</v>
      </c>
      <c r="G638" t="s">
        <v>34</v>
      </c>
      <c r="H638" t="s">
        <v>35</v>
      </c>
      <c r="I638" t="s">
        <v>81</v>
      </c>
      <c r="J638">
        <v>2</v>
      </c>
      <c r="K638" s="4" t="str" cm="1">
        <f t="array" ref="K638">_xlfn.IFS(J638&lt;=5,"0-5",J638&lt;=10,"6-10",J638&lt;=15,"11-15",J638&lt;=20,"16-20",J638&gt;20,"21+")</f>
        <v>0-5</v>
      </c>
      <c r="L638" t="s">
        <v>56</v>
      </c>
      <c r="M638" s="2" t="str">
        <f>SUBSTITUTE(L638,"$","")</f>
        <v>50</v>
      </c>
      <c r="N638" s="8">
        <f t="shared" si="124"/>
        <v>50</v>
      </c>
      <c r="P638" t="s">
        <v>23</v>
      </c>
      <c r="Q638" t="s">
        <v>2072</v>
      </c>
      <c r="R638" s="1">
        <v>0.64</v>
      </c>
      <c r="S638" s="3">
        <f t="shared" si="138"/>
        <v>0.64</v>
      </c>
    </row>
    <row r="639" spans="1:19" x14ac:dyDescent="0.3">
      <c r="A639" t="s">
        <v>1348</v>
      </c>
      <c r="B639" t="s">
        <v>1349</v>
      </c>
      <c r="C639" t="str">
        <f t="shared" si="131"/>
        <v>Alison Clark</v>
      </c>
      <c r="D639" t="s">
        <v>12</v>
      </c>
      <c r="E639" t="str">
        <f t="shared" si="123"/>
        <v>Female</v>
      </c>
      <c r="F639">
        <v>46</v>
      </c>
      <c r="G639" t="s">
        <v>13</v>
      </c>
      <c r="H639" t="s">
        <v>14</v>
      </c>
      <c r="I639" t="s">
        <v>70</v>
      </c>
      <c r="J639">
        <v>25</v>
      </c>
      <c r="K639" s="4" t="str" cm="1">
        <f t="array" ref="K639">_xlfn.IFS(J639&lt;=5,"0-5",J639&lt;=10,"6-10",J639&lt;=15,"11-15",J639&lt;=20,"16-20",J639&gt;20,"21+")</f>
        <v>21+</v>
      </c>
      <c r="L639" t="s">
        <v>221</v>
      </c>
      <c r="M639" s="2" t="str">
        <f>SUBSTITUTE(L639,"$","")</f>
        <v>100</v>
      </c>
      <c r="N639" s="8">
        <f t="shared" si="124"/>
        <v>100</v>
      </c>
      <c r="O639">
        <v>1.3</v>
      </c>
      <c r="P639" t="s">
        <v>151</v>
      </c>
      <c r="Q639" t="s">
        <v>2072</v>
      </c>
      <c r="R639" s="1">
        <v>0.8</v>
      </c>
      <c r="S639" s="3">
        <f t="shared" si="138"/>
        <v>0.8</v>
      </c>
    </row>
    <row r="640" spans="1:19" x14ac:dyDescent="0.3">
      <c r="A640" t="s">
        <v>1350</v>
      </c>
      <c r="B640" t="s">
        <v>1351</v>
      </c>
      <c r="C640" t="str">
        <f t="shared" si="131"/>
        <v>Andrew Barnes</v>
      </c>
      <c r="D640" t="s">
        <v>84</v>
      </c>
      <c r="E640" t="str">
        <f t="shared" si="123"/>
        <v>Male</v>
      </c>
      <c r="F640">
        <v>57</v>
      </c>
      <c r="G640" t="s">
        <v>171</v>
      </c>
      <c r="H640" t="s">
        <v>64</v>
      </c>
      <c r="I640" t="s">
        <v>15</v>
      </c>
      <c r="J640">
        <v>18</v>
      </c>
      <c r="K640" s="4" t="str" cm="1">
        <f t="array" ref="K640">_xlfn.IFS(J640&lt;=5,"0-5",J640&lt;=10,"6-10",J640&lt;=15,"11-15",J640&lt;=20,"16-20",J640&gt;20,"21+")</f>
        <v>16-20</v>
      </c>
      <c r="L640" t="s">
        <v>101</v>
      </c>
      <c r="M640" s="2" t="str">
        <f>TRIM(MID(L640,FIND(" ",L640)+1,LEN(L640)))</f>
        <v>30</v>
      </c>
      <c r="N640" s="8">
        <f t="shared" si="124"/>
        <v>30</v>
      </c>
      <c r="O640">
        <v>1.1000000000000001</v>
      </c>
      <c r="P640" t="b">
        <v>0</v>
      </c>
      <c r="Q640" t="s">
        <v>2072</v>
      </c>
      <c r="R640" s="1">
        <v>0.9</v>
      </c>
      <c r="S640" s="3">
        <f t="shared" si="138"/>
        <v>0.9</v>
      </c>
    </row>
    <row r="641" spans="1:19" x14ac:dyDescent="0.3">
      <c r="A641" t="s">
        <v>1352</v>
      </c>
      <c r="B641" t="s">
        <v>1353</v>
      </c>
      <c r="C641" t="str">
        <f t="shared" si="131"/>
        <v>Gina Snyder</v>
      </c>
      <c r="D641" t="s">
        <v>26</v>
      </c>
      <c r="E641" t="str">
        <f t="shared" si="123"/>
        <v>Female</v>
      </c>
      <c r="F641">
        <v>49</v>
      </c>
      <c r="G641" t="s">
        <v>171</v>
      </c>
      <c r="H641" t="s">
        <v>64</v>
      </c>
      <c r="I641" t="s">
        <v>27</v>
      </c>
      <c r="J641">
        <v>24</v>
      </c>
      <c r="K641" s="4" t="str" cm="1">
        <f t="array" ref="K641">_xlfn.IFS(J641&lt;=5,"0-5",J641&lt;=10,"6-10",J641&lt;=15,"11-15",J641&lt;=20,"16-20",J641&gt;20,"21+")</f>
        <v>21+</v>
      </c>
      <c r="L641" t="s">
        <v>56</v>
      </c>
      <c r="M641" s="2" t="str">
        <f>SUBSTITUTE(L641,"$","")</f>
        <v>50</v>
      </c>
      <c r="N641" s="8">
        <f t="shared" si="124"/>
        <v>50</v>
      </c>
      <c r="O641">
        <v>0</v>
      </c>
      <c r="P641">
        <v>0</v>
      </c>
      <c r="Q641" t="s">
        <v>2072</v>
      </c>
      <c r="R641" s="1">
        <v>0.94</v>
      </c>
      <c r="S641" s="3">
        <f t="shared" si="138"/>
        <v>0.94</v>
      </c>
    </row>
    <row r="642" spans="1:19" x14ac:dyDescent="0.3">
      <c r="A642" t="s">
        <v>1354</v>
      </c>
      <c r="B642" t="s">
        <v>1355</v>
      </c>
      <c r="C642" t="str">
        <f t="shared" si="131"/>
        <v>David Watson</v>
      </c>
      <c r="D642" t="s">
        <v>53</v>
      </c>
      <c r="E642" t="str">
        <f t="shared" ref="E642:E705" si="139">IF(LOWER(LEFT(D642,1))="f","Female","Male")</f>
        <v>Male</v>
      </c>
      <c r="F642">
        <v>41</v>
      </c>
      <c r="G642" t="s">
        <v>77</v>
      </c>
      <c r="H642" t="s">
        <v>78</v>
      </c>
      <c r="I642" t="s">
        <v>36</v>
      </c>
      <c r="J642">
        <v>7</v>
      </c>
      <c r="K642" s="4" t="str" cm="1">
        <f t="array" ref="K642">_xlfn.IFS(J642&lt;=5,"0-5",J642&lt;=10,"6-10",J642&lt;=15,"11-15",J642&lt;=20,"16-20",J642&gt;20,"21+")</f>
        <v>6-10</v>
      </c>
      <c r="L642">
        <v>40</v>
      </c>
      <c r="M642" s="2">
        <f>L642</f>
        <v>40</v>
      </c>
      <c r="N642" s="8">
        <f t="shared" si="124"/>
        <v>40</v>
      </c>
      <c r="O642">
        <v>1.8</v>
      </c>
      <c r="P642" t="b">
        <v>0</v>
      </c>
      <c r="Q642" t="s">
        <v>2072</v>
      </c>
      <c r="R642" s="1">
        <v>0.7</v>
      </c>
      <c r="S642" s="3">
        <f t="shared" si="138"/>
        <v>0.7</v>
      </c>
    </row>
    <row r="643" spans="1:19" x14ac:dyDescent="0.3">
      <c r="A643" t="s">
        <v>1356</v>
      </c>
      <c r="B643" t="s">
        <v>1357</v>
      </c>
      <c r="C643" t="str">
        <f t="shared" si="131"/>
        <v>John Davis</v>
      </c>
      <c r="D643" t="s">
        <v>19</v>
      </c>
      <c r="E643" t="str">
        <f t="shared" si="139"/>
        <v>Male</v>
      </c>
      <c r="F643">
        <v>22</v>
      </c>
      <c r="G643" t="s">
        <v>171</v>
      </c>
      <c r="H643" t="s">
        <v>64</v>
      </c>
      <c r="I643" t="s">
        <v>106</v>
      </c>
      <c r="J643">
        <v>1</v>
      </c>
      <c r="K643" s="4" t="str" cm="1">
        <f t="array" ref="K643">_xlfn.IFS(J643&lt;=5,"0-5",J643&lt;=10,"6-10",J643&lt;=15,"11-15",J643&lt;=20,"16-20",J643&gt;20,"21+")</f>
        <v>0-5</v>
      </c>
      <c r="L643" t="s">
        <v>306</v>
      </c>
      <c r="M643" s="2" t="str">
        <f>TRIM(MID(L643,FIND(" ",L643)+1,LEN(L643)))</f>
        <v>20</v>
      </c>
      <c r="N643" s="8">
        <f t="shared" ref="N643:N706" si="140">IF(M643="", "", VALUE(M643))</f>
        <v>20</v>
      </c>
      <c r="P643" t="s">
        <v>60</v>
      </c>
      <c r="Q643" t="s">
        <v>2073</v>
      </c>
      <c r="R643" s="1">
        <v>0.75</v>
      </c>
      <c r="S643" s="3">
        <f t="shared" si="138"/>
        <v>0.75</v>
      </c>
    </row>
    <row r="644" spans="1:19" x14ac:dyDescent="0.3">
      <c r="A644" t="s">
        <v>1358</v>
      </c>
      <c r="B644" t="s">
        <v>1359</v>
      </c>
      <c r="C644" t="str">
        <f t="shared" si="131"/>
        <v>Joseph Thomas</v>
      </c>
      <c r="D644" t="s">
        <v>19</v>
      </c>
      <c r="E644" t="str">
        <f t="shared" si="139"/>
        <v>Male</v>
      </c>
      <c r="F644">
        <v>50</v>
      </c>
      <c r="G644" t="s">
        <v>13</v>
      </c>
      <c r="H644" t="s">
        <v>14</v>
      </c>
      <c r="I644" t="s">
        <v>9</v>
      </c>
      <c r="J644">
        <v>17</v>
      </c>
      <c r="K644" s="4" t="str" cm="1">
        <f t="array" ref="K644">_xlfn.IFS(J644&lt;=5,"0-5",J644&lt;=10,"6-10",J644&lt;=15,"11-15",J644&lt;=20,"16-20",J644&gt;20,"21+")</f>
        <v>16-20</v>
      </c>
      <c r="L644">
        <v>75</v>
      </c>
      <c r="M644" s="2">
        <f>L644</f>
        <v>75</v>
      </c>
      <c r="N644" s="8">
        <f t="shared" si="140"/>
        <v>75</v>
      </c>
      <c r="O644">
        <v>3.3</v>
      </c>
      <c r="P644">
        <v>1</v>
      </c>
      <c r="Q644" t="s">
        <v>2073</v>
      </c>
      <c r="R644" s="1">
        <v>0.69</v>
      </c>
      <c r="S644" s="3">
        <f t="shared" si="138"/>
        <v>0.69</v>
      </c>
    </row>
    <row r="645" spans="1:19" x14ac:dyDescent="0.3">
      <c r="A645" t="s">
        <v>1360</v>
      </c>
      <c r="B645" t="s">
        <v>1361</v>
      </c>
      <c r="C645" t="str">
        <f t="shared" si="131"/>
        <v>Dean Finley</v>
      </c>
      <c r="D645" t="s">
        <v>19</v>
      </c>
      <c r="E645" t="str">
        <f t="shared" si="139"/>
        <v>Male</v>
      </c>
      <c r="F645">
        <v>57</v>
      </c>
      <c r="G645" t="s">
        <v>20</v>
      </c>
      <c r="H645" t="s">
        <v>21</v>
      </c>
      <c r="I645" t="s">
        <v>22</v>
      </c>
      <c r="J645">
        <v>4</v>
      </c>
      <c r="K645" s="4" t="str" cm="1">
        <f t="array" ref="K645">_xlfn.IFS(J645&lt;=5,"0-5",J645&lt;=10,"6-10",J645&lt;=15,"11-15",J645&lt;=20,"16-20",J645&gt;20,"21+")</f>
        <v>0-5</v>
      </c>
      <c r="L645" t="s">
        <v>101</v>
      </c>
      <c r="M645" s="2" t="str">
        <f>TRIM(MID(L645,FIND(" ",L645)+1,LEN(L645)))</f>
        <v>30</v>
      </c>
      <c r="N645" s="8">
        <f t="shared" si="140"/>
        <v>30</v>
      </c>
      <c r="O645">
        <v>4.2</v>
      </c>
      <c r="P645">
        <v>0</v>
      </c>
      <c r="Q645" t="s">
        <v>2072</v>
      </c>
    </row>
    <row r="646" spans="1:19" x14ac:dyDescent="0.3">
      <c r="A646" t="s">
        <v>1362</v>
      </c>
      <c r="B646" t="s">
        <v>1363</v>
      </c>
      <c r="C646" t="str">
        <f t="shared" si="131"/>
        <v>Ashley Kemp</v>
      </c>
      <c r="D646" t="s">
        <v>12</v>
      </c>
      <c r="E646" t="str">
        <f t="shared" si="139"/>
        <v>Female</v>
      </c>
      <c r="F646">
        <v>47</v>
      </c>
      <c r="G646" t="s">
        <v>171</v>
      </c>
      <c r="H646" t="s">
        <v>64</v>
      </c>
      <c r="I646" t="s">
        <v>36</v>
      </c>
      <c r="J646">
        <v>29</v>
      </c>
      <c r="K646" s="4" t="str" cm="1">
        <f t="array" ref="K646">_xlfn.IFS(J646&lt;=5,"0-5",J646&lt;=10,"6-10",J646&lt;=15,"11-15",J646&lt;=20,"16-20",J646&gt;20,"21+")</f>
        <v>21+</v>
      </c>
      <c r="L646" t="s">
        <v>56</v>
      </c>
      <c r="M646" s="2" t="str">
        <f>SUBSTITUTE(L646,"$","")</f>
        <v>50</v>
      </c>
      <c r="N646" s="8">
        <f t="shared" si="140"/>
        <v>50</v>
      </c>
      <c r="P646">
        <v>1</v>
      </c>
      <c r="Q646" t="s">
        <v>2073</v>
      </c>
      <c r="R646" s="1">
        <v>0.79</v>
      </c>
      <c r="S646" s="3">
        <f t="shared" ref="S646:S650" si="141">R646</f>
        <v>0.79</v>
      </c>
    </row>
    <row r="647" spans="1:19" x14ac:dyDescent="0.3">
      <c r="A647" t="s">
        <v>1364</v>
      </c>
      <c r="B647" t="s">
        <v>1365</v>
      </c>
      <c r="C647" t="str">
        <f t="shared" si="131"/>
        <v>Kenneth Evans</v>
      </c>
      <c r="D647" t="s">
        <v>84</v>
      </c>
      <c r="E647" t="str">
        <f t="shared" si="139"/>
        <v>Male</v>
      </c>
      <c r="F647">
        <v>24</v>
      </c>
      <c r="G647" t="s">
        <v>145</v>
      </c>
      <c r="H647" t="s">
        <v>146</v>
      </c>
      <c r="I647" t="s">
        <v>43</v>
      </c>
      <c r="J647">
        <v>2</v>
      </c>
      <c r="K647" s="4" t="str" cm="1">
        <f t="array" ref="K647">_xlfn.IFS(J647&lt;=5,"0-5",J647&lt;=10,"6-10",J647&lt;=15,"11-15",J647&lt;=20,"16-20",J647&gt;20,"21+")</f>
        <v>0-5</v>
      </c>
      <c r="L647" t="s">
        <v>221</v>
      </c>
      <c r="M647" s="2" t="str">
        <f>SUBSTITUTE(L647,"$","")</f>
        <v>100</v>
      </c>
      <c r="N647" s="8">
        <f t="shared" si="140"/>
        <v>100</v>
      </c>
      <c r="O647">
        <v>3.8</v>
      </c>
      <c r="P647">
        <v>1</v>
      </c>
      <c r="Q647" t="s">
        <v>2073</v>
      </c>
      <c r="R647" s="1">
        <v>0.71</v>
      </c>
      <c r="S647" s="3">
        <f t="shared" si="141"/>
        <v>0.71</v>
      </c>
    </row>
    <row r="648" spans="1:19" x14ac:dyDescent="0.3">
      <c r="A648" t="s">
        <v>1366</v>
      </c>
      <c r="B648" t="s">
        <v>1367</v>
      </c>
      <c r="C648" t="str">
        <f t="shared" si="131"/>
        <v>Brandon Newman</v>
      </c>
      <c r="D648" t="s">
        <v>19</v>
      </c>
      <c r="E648" t="str">
        <f t="shared" si="139"/>
        <v>Male</v>
      </c>
      <c r="G648" t="s">
        <v>85</v>
      </c>
      <c r="H648" t="s">
        <v>86</v>
      </c>
      <c r="I648" t="s">
        <v>70</v>
      </c>
      <c r="J648">
        <v>9</v>
      </c>
      <c r="K648" s="4" t="str" cm="1">
        <f t="array" ref="K648">_xlfn.IFS(J648&lt;=5,"0-5",J648&lt;=10,"6-10",J648&lt;=15,"11-15",J648&lt;=20,"16-20",J648&gt;20,"21+")</f>
        <v>6-10</v>
      </c>
      <c r="L648">
        <v>100</v>
      </c>
      <c r="M648" s="2">
        <f>L648</f>
        <v>100</v>
      </c>
      <c r="N648" s="8">
        <f t="shared" si="140"/>
        <v>100</v>
      </c>
      <c r="O648">
        <v>4.8</v>
      </c>
      <c r="P648" t="s">
        <v>66</v>
      </c>
      <c r="Q648" t="s">
        <v>2073</v>
      </c>
      <c r="R648" s="1">
        <v>0.72</v>
      </c>
      <c r="S648" s="3">
        <f t="shared" si="141"/>
        <v>0.72</v>
      </c>
    </row>
    <row r="649" spans="1:19" x14ac:dyDescent="0.3">
      <c r="A649" t="s">
        <v>1368</v>
      </c>
      <c r="B649" t="s">
        <v>1369</v>
      </c>
      <c r="C649" t="str">
        <f t="shared" si="131"/>
        <v>Katie Hensley</v>
      </c>
      <c r="D649" t="s">
        <v>12</v>
      </c>
      <c r="E649" t="str">
        <f t="shared" si="139"/>
        <v>Female</v>
      </c>
      <c r="F649">
        <v>50</v>
      </c>
      <c r="G649" t="s">
        <v>20</v>
      </c>
      <c r="H649" t="s">
        <v>21</v>
      </c>
      <c r="I649" t="s">
        <v>81</v>
      </c>
      <c r="J649">
        <v>10</v>
      </c>
      <c r="K649" s="4" t="str" cm="1">
        <f t="array" ref="K649">_xlfn.IFS(J649&lt;=5,"0-5",J649&lt;=10,"6-10",J649&lt;=15,"11-15",J649&lt;=20,"16-20",J649&gt;20,"21+")</f>
        <v>6-10</v>
      </c>
      <c r="L649" t="s">
        <v>221</v>
      </c>
      <c r="M649" s="2" t="str">
        <f>SUBSTITUTE(L649,"$","")</f>
        <v>100</v>
      </c>
      <c r="N649" s="8">
        <f t="shared" si="140"/>
        <v>100</v>
      </c>
      <c r="O649">
        <v>4.3</v>
      </c>
      <c r="P649" t="s">
        <v>23</v>
      </c>
      <c r="Q649" t="s">
        <v>2072</v>
      </c>
      <c r="R649" s="1">
        <v>0.93</v>
      </c>
      <c r="S649" s="3">
        <f t="shared" si="141"/>
        <v>0.93</v>
      </c>
    </row>
    <row r="650" spans="1:19" x14ac:dyDescent="0.3">
      <c r="A650" t="s">
        <v>1370</v>
      </c>
      <c r="B650" t="s">
        <v>1371</v>
      </c>
      <c r="C650" t="str">
        <f t="shared" si="131"/>
        <v>Joel Randolph</v>
      </c>
      <c r="D650" t="s">
        <v>84</v>
      </c>
      <c r="E650" t="str">
        <f t="shared" si="139"/>
        <v>Male</v>
      </c>
      <c r="F650">
        <v>46</v>
      </c>
      <c r="G650" t="s">
        <v>99</v>
      </c>
      <c r="H650" t="s">
        <v>100</v>
      </c>
      <c r="I650" t="s">
        <v>106</v>
      </c>
      <c r="J650">
        <v>20</v>
      </c>
      <c r="K650" s="4" t="str" cm="1">
        <f t="array" ref="K650">_xlfn.IFS(J650&lt;=5,"0-5",J650&lt;=10,"6-10",J650&lt;=15,"11-15",J650&lt;=20,"16-20",J650&gt;20,"21+")</f>
        <v>16-20</v>
      </c>
      <c r="N650" s="8" t="str">
        <f t="shared" si="140"/>
        <v/>
      </c>
      <c r="O650">
        <v>4.8</v>
      </c>
      <c r="P650">
        <v>1</v>
      </c>
      <c r="Q650" t="s">
        <v>2073</v>
      </c>
      <c r="R650" s="1">
        <v>0.82</v>
      </c>
      <c r="S650" s="3">
        <f t="shared" si="141"/>
        <v>0.82</v>
      </c>
    </row>
    <row r="651" spans="1:19" x14ac:dyDescent="0.3">
      <c r="A651" t="s">
        <v>1372</v>
      </c>
      <c r="B651" t="s">
        <v>1373</v>
      </c>
      <c r="C651" t="str">
        <f t="shared" si="131"/>
        <v>Andrew Scott</v>
      </c>
      <c r="D651" t="s">
        <v>19</v>
      </c>
      <c r="E651" t="str">
        <f t="shared" si="139"/>
        <v>Male</v>
      </c>
      <c r="F651">
        <v>51</v>
      </c>
      <c r="G651" t="s">
        <v>13</v>
      </c>
      <c r="H651" t="s">
        <v>14</v>
      </c>
      <c r="I651" t="s">
        <v>70</v>
      </c>
      <c r="J651">
        <v>9</v>
      </c>
      <c r="K651" s="4" t="str" cm="1">
        <f t="array" ref="K651">_xlfn.IFS(J651&lt;=5,"0-5",J651&lt;=10,"6-10",J651&lt;=15,"11-15",J651&lt;=20,"16-20",J651&gt;20,"21+")</f>
        <v>6-10</v>
      </c>
      <c r="L651" t="s">
        <v>28</v>
      </c>
      <c r="M651" s="2" t="str">
        <f>SUBSTITUTE(L651,"$","")</f>
        <v>40</v>
      </c>
      <c r="N651" s="8">
        <f t="shared" si="140"/>
        <v>40</v>
      </c>
      <c r="P651" t="s">
        <v>23</v>
      </c>
      <c r="Q651" t="s">
        <v>2072</v>
      </c>
      <c r="R651">
        <v>60</v>
      </c>
      <c r="S651" s="3">
        <f t="shared" ref="S651:S652" si="142">R651/100</f>
        <v>0.6</v>
      </c>
    </row>
    <row r="652" spans="1:19" x14ac:dyDescent="0.3">
      <c r="A652" t="s">
        <v>1374</v>
      </c>
      <c r="B652" t="s">
        <v>1375</v>
      </c>
      <c r="C652" t="str">
        <f t="shared" si="131"/>
        <v>Zachary Ochoa</v>
      </c>
      <c r="D652" t="s">
        <v>53</v>
      </c>
      <c r="E652" t="str">
        <f t="shared" si="139"/>
        <v>Male</v>
      </c>
      <c r="F652">
        <v>51</v>
      </c>
      <c r="G652" t="s">
        <v>59</v>
      </c>
      <c r="H652" t="s">
        <v>14</v>
      </c>
      <c r="I652" t="s">
        <v>36</v>
      </c>
      <c r="J652">
        <v>12</v>
      </c>
      <c r="K652" s="4" t="str" cm="1">
        <f t="array" ref="K652">_xlfn.IFS(J652&lt;=5,"0-5",J652&lt;=10,"6-10",J652&lt;=15,"11-15",J652&lt;=20,"16-20",J652&gt;20,"21+")</f>
        <v>11-15</v>
      </c>
      <c r="L652">
        <v>20</v>
      </c>
      <c r="M652" s="2">
        <f>L652</f>
        <v>20</v>
      </c>
      <c r="N652" s="8">
        <f t="shared" si="140"/>
        <v>20</v>
      </c>
      <c r="O652">
        <v>4</v>
      </c>
      <c r="P652">
        <v>0</v>
      </c>
      <c r="Q652" t="s">
        <v>2072</v>
      </c>
      <c r="R652">
        <v>93</v>
      </c>
      <c r="S652" s="3">
        <f t="shared" si="142"/>
        <v>0.93</v>
      </c>
    </row>
    <row r="653" spans="1:19" x14ac:dyDescent="0.3">
      <c r="A653" t="s">
        <v>1376</v>
      </c>
      <c r="B653" t="s">
        <v>1377</v>
      </c>
      <c r="C653" t="str">
        <f t="shared" si="131"/>
        <v>John Arroyo</v>
      </c>
      <c r="D653" t="s">
        <v>40</v>
      </c>
      <c r="E653" t="str">
        <f t="shared" si="139"/>
        <v>Male</v>
      </c>
      <c r="F653">
        <v>27</v>
      </c>
      <c r="G653" t="s">
        <v>59</v>
      </c>
      <c r="H653" t="s">
        <v>14</v>
      </c>
      <c r="I653" t="s">
        <v>36</v>
      </c>
      <c r="J653">
        <v>3</v>
      </c>
      <c r="K653" s="4" t="str" cm="1">
        <f t="array" ref="K653">_xlfn.IFS(J653&lt;=5,"0-5",J653&lt;=10,"6-10",J653&lt;=15,"11-15",J653&lt;=20,"16-20",J653&gt;20,"21+")</f>
        <v>0-5</v>
      </c>
      <c r="L653" t="s">
        <v>90</v>
      </c>
      <c r="M653" s="2" t="str">
        <f>TRIM(MID(L653,FIND(" ",L653)+1,LEN(L653)))</f>
        <v>50</v>
      </c>
      <c r="N653" s="8">
        <f t="shared" si="140"/>
        <v>50</v>
      </c>
      <c r="P653" t="b">
        <v>0</v>
      </c>
      <c r="Q653" t="s">
        <v>2072</v>
      </c>
    </row>
    <row r="654" spans="1:19" x14ac:dyDescent="0.3">
      <c r="A654" t="s">
        <v>1378</v>
      </c>
      <c r="B654" t="s">
        <v>1379</v>
      </c>
      <c r="C654" t="str">
        <f t="shared" si="131"/>
        <v>Matthew Fernandez</v>
      </c>
      <c r="D654" t="s">
        <v>53</v>
      </c>
      <c r="E654" t="str">
        <f t="shared" si="139"/>
        <v>Male</v>
      </c>
      <c r="F654">
        <v>42</v>
      </c>
      <c r="G654" t="s">
        <v>182</v>
      </c>
      <c r="H654" t="s">
        <v>64</v>
      </c>
      <c r="I654" t="s">
        <v>27</v>
      </c>
      <c r="J654">
        <v>13</v>
      </c>
      <c r="K654" s="4" t="str" cm="1">
        <f t="array" ref="K654">_xlfn.IFS(J654&lt;=5,"0-5",J654&lt;=10,"6-10",J654&lt;=15,"11-15",J654&lt;=20,"16-20",J654&gt;20,"21+")</f>
        <v>11-15</v>
      </c>
      <c r="L654">
        <v>30</v>
      </c>
      <c r="M654" s="2">
        <f>L654</f>
        <v>30</v>
      </c>
      <c r="N654" s="8">
        <f t="shared" si="140"/>
        <v>30</v>
      </c>
      <c r="O654">
        <v>0</v>
      </c>
      <c r="P654" t="b">
        <v>0</v>
      </c>
      <c r="Q654" t="s">
        <v>2072</v>
      </c>
      <c r="R654" s="1">
        <v>0.74</v>
      </c>
      <c r="S654" s="3">
        <f>R654</f>
        <v>0.74</v>
      </c>
    </row>
    <row r="655" spans="1:19" x14ac:dyDescent="0.3">
      <c r="A655" t="s">
        <v>1380</v>
      </c>
      <c r="B655" t="s">
        <v>1381</v>
      </c>
      <c r="C655" t="str">
        <f t="shared" si="131"/>
        <v>Benjamin Stark</v>
      </c>
      <c r="D655" t="s">
        <v>53</v>
      </c>
      <c r="E655" t="str">
        <f t="shared" si="139"/>
        <v>Male</v>
      </c>
      <c r="F655">
        <v>25</v>
      </c>
      <c r="G655" t="s">
        <v>20</v>
      </c>
      <c r="H655" t="s">
        <v>21</v>
      </c>
      <c r="I655" t="s">
        <v>65</v>
      </c>
      <c r="J655">
        <v>4</v>
      </c>
      <c r="K655" s="4" t="str" cm="1">
        <f t="array" ref="K655">_xlfn.IFS(J655&lt;=5,"0-5",J655&lt;=10,"6-10",J655&lt;=15,"11-15",J655&lt;=20,"16-20",J655&gt;20,"21+")</f>
        <v>0-5</v>
      </c>
      <c r="L655" t="s">
        <v>28</v>
      </c>
      <c r="M655" s="2" t="str">
        <f>SUBSTITUTE(L655,"$","")</f>
        <v>40</v>
      </c>
      <c r="N655" s="8">
        <f t="shared" si="140"/>
        <v>40</v>
      </c>
      <c r="O655">
        <v>2.2999999999999998</v>
      </c>
      <c r="P655" t="s">
        <v>60</v>
      </c>
      <c r="Q655" t="s">
        <v>2073</v>
      </c>
      <c r="R655">
        <v>73</v>
      </c>
      <c r="S655" s="3">
        <f>R655/100</f>
        <v>0.73</v>
      </c>
    </row>
    <row r="656" spans="1:19" x14ac:dyDescent="0.3">
      <c r="A656" t="s">
        <v>1382</v>
      </c>
      <c r="B656" t="s">
        <v>1383</v>
      </c>
      <c r="C656" t="str">
        <f t="shared" si="131"/>
        <v>Tammy Greer</v>
      </c>
      <c r="D656" t="s">
        <v>69</v>
      </c>
      <c r="E656" t="str">
        <f t="shared" si="139"/>
        <v>Female</v>
      </c>
      <c r="F656">
        <v>32</v>
      </c>
      <c r="G656" t="s">
        <v>20</v>
      </c>
      <c r="H656" t="s">
        <v>21</v>
      </c>
      <c r="I656" t="s">
        <v>43</v>
      </c>
      <c r="J656">
        <v>9</v>
      </c>
      <c r="K656" s="4" t="str" cm="1">
        <f t="array" ref="K656">_xlfn.IFS(J656&lt;=5,"0-5",J656&lt;=10,"6-10",J656&lt;=15,"11-15",J656&lt;=20,"16-20",J656&gt;20,"21+")</f>
        <v>6-10</v>
      </c>
      <c r="L656">
        <v>75</v>
      </c>
      <c r="M656" s="2">
        <f>L656</f>
        <v>75</v>
      </c>
      <c r="N656" s="8">
        <f t="shared" si="140"/>
        <v>75</v>
      </c>
      <c r="P656" t="s">
        <v>23</v>
      </c>
      <c r="Q656" t="s">
        <v>2072</v>
      </c>
      <c r="R656" s="1">
        <v>0.96</v>
      </c>
      <c r="S656" s="3">
        <f t="shared" ref="S656:S661" si="143">R656</f>
        <v>0.96</v>
      </c>
    </row>
    <row r="657" spans="1:19" x14ac:dyDescent="0.3">
      <c r="A657" t="s">
        <v>1384</v>
      </c>
      <c r="B657" t="s">
        <v>1385</v>
      </c>
      <c r="C657" t="str">
        <f t="shared" si="131"/>
        <v>Cynthia Mckinney</v>
      </c>
      <c r="D657" t="s">
        <v>31</v>
      </c>
      <c r="E657" t="str">
        <f t="shared" si="139"/>
        <v>Female</v>
      </c>
      <c r="F657">
        <v>59</v>
      </c>
      <c r="G657" t="s">
        <v>120</v>
      </c>
      <c r="H657" t="s">
        <v>14</v>
      </c>
      <c r="I657" t="s">
        <v>22</v>
      </c>
      <c r="J657">
        <v>14</v>
      </c>
      <c r="K657" s="4" t="str" cm="1">
        <f t="array" ref="K657">_xlfn.IFS(J657&lt;=5,"0-5",J657&lt;=10,"6-10",J657&lt;=15,"11-15",J657&lt;=20,"16-20",J657&gt;20,"21+")</f>
        <v>11-15</v>
      </c>
      <c r="L657">
        <v>30</v>
      </c>
      <c r="M657" s="2">
        <f>L657</f>
        <v>30</v>
      </c>
      <c r="N657" s="8">
        <f t="shared" si="140"/>
        <v>30</v>
      </c>
      <c r="O657">
        <v>3.8</v>
      </c>
      <c r="R657" s="1">
        <v>0.66</v>
      </c>
      <c r="S657" s="3">
        <f t="shared" si="143"/>
        <v>0.66</v>
      </c>
    </row>
    <row r="658" spans="1:19" x14ac:dyDescent="0.3">
      <c r="A658" t="s">
        <v>1386</v>
      </c>
      <c r="B658" t="s">
        <v>1387</v>
      </c>
      <c r="C658" t="str">
        <f t="shared" si="131"/>
        <v>Wendy Rice</v>
      </c>
      <c r="D658" t="s">
        <v>12</v>
      </c>
      <c r="E658" t="str">
        <f t="shared" si="139"/>
        <v>Female</v>
      </c>
      <c r="F658">
        <v>59</v>
      </c>
      <c r="G658" t="s">
        <v>127</v>
      </c>
      <c r="H658" t="s">
        <v>128</v>
      </c>
      <c r="I658" t="s">
        <v>70</v>
      </c>
      <c r="J658">
        <v>37</v>
      </c>
      <c r="K658" s="4" t="str" cm="1">
        <f t="array" ref="K658">_xlfn.IFS(J658&lt;=5,"0-5",J658&lt;=10,"6-10",J658&lt;=15,"11-15",J658&lt;=20,"16-20",J658&gt;20,"21+")</f>
        <v>21+</v>
      </c>
      <c r="L658">
        <v>30</v>
      </c>
      <c r="M658" s="2">
        <f>L658</f>
        <v>30</v>
      </c>
      <c r="N658" s="8">
        <f t="shared" si="140"/>
        <v>30</v>
      </c>
      <c r="O658">
        <v>4</v>
      </c>
      <c r="P658" t="b">
        <v>0</v>
      </c>
      <c r="Q658" t="s">
        <v>2072</v>
      </c>
      <c r="R658" s="1">
        <v>0.62</v>
      </c>
      <c r="S658" s="3">
        <f t="shared" si="143"/>
        <v>0.62</v>
      </c>
    </row>
    <row r="659" spans="1:19" x14ac:dyDescent="0.3">
      <c r="A659" t="s">
        <v>1388</v>
      </c>
      <c r="B659" t="s">
        <v>1389</v>
      </c>
      <c r="C659" t="str">
        <f t="shared" si="131"/>
        <v>Randy Bender</v>
      </c>
      <c r="D659" t="s">
        <v>89</v>
      </c>
      <c r="E659" t="str">
        <f t="shared" si="139"/>
        <v>Male</v>
      </c>
      <c r="F659">
        <v>29</v>
      </c>
      <c r="G659" t="s">
        <v>20</v>
      </c>
      <c r="H659" t="s">
        <v>21</v>
      </c>
      <c r="I659" t="s">
        <v>22</v>
      </c>
      <c r="J659">
        <v>2</v>
      </c>
      <c r="K659" s="4" t="str" cm="1">
        <f t="array" ref="K659">_xlfn.IFS(J659&lt;=5,"0-5",J659&lt;=10,"6-10",J659&lt;=15,"11-15",J659&lt;=20,"16-20",J659&gt;20,"21+")</f>
        <v>0-5</v>
      </c>
      <c r="L659" t="s">
        <v>44</v>
      </c>
      <c r="M659" s="2" t="str">
        <f>TRIM(MID(L659,FIND(" ",L659)+1,LEN(L659)))</f>
        <v>75</v>
      </c>
      <c r="N659" s="8">
        <f t="shared" si="140"/>
        <v>75</v>
      </c>
      <c r="O659">
        <v>2.2000000000000002</v>
      </c>
      <c r="P659" t="s">
        <v>66</v>
      </c>
      <c r="Q659" t="s">
        <v>2073</v>
      </c>
      <c r="R659" s="1">
        <v>0.85</v>
      </c>
      <c r="S659" s="3">
        <f t="shared" si="143"/>
        <v>0.85</v>
      </c>
    </row>
    <row r="660" spans="1:19" x14ac:dyDescent="0.3">
      <c r="A660" t="s">
        <v>1390</v>
      </c>
      <c r="B660" t="s">
        <v>1391</v>
      </c>
      <c r="C660" t="str">
        <f t="shared" si="131"/>
        <v>Richard Dominguez</v>
      </c>
      <c r="D660" t="s">
        <v>53</v>
      </c>
      <c r="E660" t="str">
        <f t="shared" si="139"/>
        <v>Male</v>
      </c>
      <c r="F660">
        <v>58</v>
      </c>
      <c r="G660" t="s">
        <v>167</v>
      </c>
      <c r="H660" t="s">
        <v>168</v>
      </c>
      <c r="I660" t="s">
        <v>36</v>
      </c>
      <c r="J660">
        <v>11</v>
      </c>
      <c r="K660" s="4" t="str" cm="1">
        <f t="array" ref="K660">_xlfn.IFS(J660&lt;=5,"0-5",J660&lt;=10,"6-10",J660&lt;=15,"11-15",J660&lt;=20,"16-20",J660&gt;20,"21+")</f>
        <v>11-15</v>
      </c>
      <c r="L660">
        <v>100</v>
      </c>
      <c r="M660" s="2">
        <f>L660</f>
        <v>100</v>
      </c>
      <c r="N660" s="8">
        <f t="shared" si="140"/>
        <v>100</v>
      </c>
      <c r="O660">
        <v>4.3</v>
      </c>
      <c r="P660">
        <v>0</v>
      </c>
      <c r="Q660" t="s">
        <v>2072</v>
      </c>
      <c r="R660" s="1">
        <v>0.66</v>
      </c>
      <c r="S660" s="3">
        <f t="shared" si="143"/>
        <v>0.66</v>
      </c>
    </row>
    <row r="661" spans="1:19" x14ac:dyDescent="0.3">
      <c r="A661" t="s">
        <v>1392</v>
      </c>
      <c r="B661" t="s">
        <v>1393</v>
      </c>
      <c r="C661" t="str">
        <f t="shared" si="131"/>
        <v>Melissa Maldonado</v>
      </c>
      <c r="D661" t="s">
        <v>6</v>
      </c>
      <c r="E661" t="str">
        <f t="shared" si="139"/>
        <v>Female</v>
      </c>
      <c r="F661">
        <v>56</v>
      </c>
      <c r="G661" t="s">
        <v>120</v>
      </c>
      <c r="H661" t="s">
        <v>14</v>
      </c>
      <c r="I661" t="s">
        <v>70</v>
      </c>
      <c r="J661">
        <v>19</v>
      </c>
      <c r="K661" s="4" t="str" cm="1">
        <f t="array" ref="K661">_xlfn.IFS(J661&lt;=5,"0-5",J661&lt;=10,"6-10",J661&lt;=15,"11-15",J661&lt;=20,"16-20",J661&gt;20,"21+")</f>
        <v>16-20</v>
      </c>
      <c r="L661">
        <v>20</v>
      </c>
      <c r="M661" s="2">
        <f>L661</f>
        <v>20</v>
      </c>
      <c r="N661" s="8">
        <f t="shared" si="140"/>
        <v>20</v>
      </c>
      <c r="O661">
        <v>0</v>
      </c>
      <c r="P661">
        <v>0</v>
      </c>
      <c r="Q661" t="s">
        <v>2072</v>
      </c>
      <c r="R661" s="1">
        <v>0.87</v>
      </c>
      <c r="S661" s="3">
        <f t="shared" si="143"/>
        <v>0.87</v>
      </c>
    </row>
    <row r="662" spans="1:19" x14ac:dyDescent="0.3">
      <c r="A662" t="s">
        <v>1394</v>
      </c>
      <c r="B662" t="s">
        <v>1395</v>
      </c>
      <c r="C662" t="str">
        <f t="shared" si="131"/>
        <v>Leah Harris</v>
      </c>
      <c r="D662" t="s">
        <v>26</v>
      </c>
      <c r="E662" t="str">
        <f t="shared" si="139"/>
        <v>Female</v>
      </c>
      <c r="F662">
        <v>36</v>
      </c>
      <c r="G662" t="s">
        <v>50</v>
      </c>
      <c r="H662" t="s">
        <v>14</v>
      </c>
      <c r="I662" t="s">
        <v>106</v>
      </c>
      <c r="J662">
        <v>9</v>
      </c>
      <c r="K662" s="4" t="str" cm="1">
        <f t="array" ref="K662">_xlfn.IFS(J662&lt;=5,"0-5",J662&lt;=10,"6-10",J662&lt;=15,"11-15",J662&lt;=20,"16-20",J662&gt;20,"21+")</f>
        <v>6-10</v>
      </c>
      <c r="L662">
        <v>20</v>
      </c>
      <c r="M662" s="2">
        <f>L662</f>
        <v>20</v>
      </c>
      <c r="N662" s="8">
        <f t="shared" si="140"/>
        <v>20</v>
      </c>
      <c r="O662">
        <v>0</v>
      </c>
      <c r="P662">
        <v>1</v>
      </c>
      <c r="Q662" t="s">
        <v>2073</v>
      </c>
      <c r="R662">
        <v>68</v>
      </c>
      <c r="S662" s="3">
        <f>R662/100</f>
        <v>0.68</v>
      </c>
    </row>
    <row r="663" spans="1:19" x14ac:dyDescent="0.3">
      <c r="A663" t="s">
        <v>1396</v>
      </c>
      <c r="B663" t="s">
        <v>1397</v>
      </c>
      <c r="C663" t="str">
        <f t="shared" si="131"/>
        <v>Lynn French</v>
      </c>
      <c r="D663" t="s">
        <v>69</v>
      </c>
      <c r="E663" t="str">
        <f t="shared" si="139"/>
        <v>Female</v>
      </c>
      <c r="F663">
        <v>52</v>
      </c>
      <c r="G663" t="s">
        <v>120</v>
      </c>
      <c r="H663" t="s">
        <v>14</v>
      </c>
      <c r="I663" t="s">
        <v>65</v>
      </c>
      <c r="J663">
        <v>16</v>
      </c>
      <c r="K663" s="4" t="str" cm="1">
        <f t="array" ref="K663">_xlfn.IFS(J663&lt;=5,"0-5",J663&lt;=10,"6-10",J663&lt;=15,"11-15",J663&lt;=20,"16-20",J663&gt;20,"21+")</f>
        <v>16-20</v>
      </c>
      <c r="L663">
        <v>100</v>
      </c>
      <c r="M663" s="2">
        <f>L663</f>
        <v>100</v>
      </c>
      <c r="N663" s="8">
        <f t="shared" si="140"/>
        <v>100</v>
      </c>
      <c r="O663">
        <v>4</v>
      </c>
      <c r="P663">
        <v>1</v>
      </c>
      <c r="Q663" t="s">
        <v>2073</v>
      </c>
    </row>
    <row r="664" spans="1:19" x14ac:dyDescent="0.3">
      <c r="A664" t="s">
        <v>1398</v>
      </c>
      <c r="B664" t="s">
        <v>1399</v>
      </c>
      <c r="C664" t="str">
        <f t="shared" si="131"/>
        <v>Angela Johnson</v>
      </c>
      <c r="D664" t="s">
        <v>69</v>
      </c>
      <c r="E664" t="str">
        <f t="shared" si="139"/>
        <v>Female</v>
      </c>
      <c r="F664">
        <v>42</v>
      </c>
      <c r="G664" t="s">
        <v>34</v>
      </c>
      <c r="H664" t="s">
        <v>35</v>
      </c>
      <c r="I664" t="s">
        <v>15</v>
      </c>
      <c r="J664">
        <v>8</v>
      </c>
      <c r="K664" s="4" t="str" cm="1">
        <f t="array" ref="K664">_xlfn.IFS(J664&lt;=5,"0-5",J664&lt;=10,"6-10",J664&lt;=15,"11-15",J664&lt;=20,"16-20",J664&gt;20,"21+")</f>
        <v>6-10</v>
      </c>
      <c r="L664" t="s">
        <v>90</v>
      </c>
      <c r="M664" s="2" t="str">
        <f>TRIM(MID(L664,FIND(" ",L664)+1,LEN(L664)))</f>
        <v>50</v>
      </c>
      <c r="N664" s="8">
        <f t="shared" si="140"/>
        <v>50</v>
      </c>
    </row>
    <row r="665" spans="1:19" x14ac:dyDescent="0.3">
      <c r="A665" t="s">
        <v>1400</v>
      </c>
      <c r="B665" t="s">
        <v>1401</v>
      </c>
      <c r="C665" t="str">
        <f t="shared" si="131"/>
        <v>Sarah Edwards</v>
      </c>
      <c r="D665" t="s">
        <v>12</v>
      </c>
      <c r="E665" t="str">
        <f t="shared" si="139"/>
        <v>Female</v>
      </c>
      <c r="F665">
        <v>59</v>
      </c>
      <c r="G665" t="s">
        <v>85</v>
      </c>
      <c r="H665" t="s">
        <v>86</v>
      </c>
      <c r="I665" t="s">
        <v>15</v>
      </c>
      <c r="J665">
        <v>34</v>
      </c>
      <c r="K665" s="4" t="str" cm="1">
        <f t="array" ref="K665">_xlfn.IFS(J665&lt;=5,"0-5",J665&lt;=10,"6-10",J665&lt;=15,"11-15",J665&lt;=20,"16-20",J665&gt;20,"21+")</f>
        <v>21+</v>
      </c>
      <c r="L665">
        <v>100</v>
      </c>
      <c r="M665" s="2">
        <f>L665</f>
        <v>100</v>
      </c>
      <c r="N665" s="8">
        <f t="shared" si="140"/>
        <v>100</v>
      </c>
      <c r="O665">
        <v>2</v>
      </c>
      <c r="P665">
        <v>1</v>
      </c>
      <c r="Q665" t="s">
        <v>2073</v>
      </c>
      <c r="R665" s="1">
        <v>0.79</v>
      </c>
      <c r="S665" s="3">
        <f t="shared" ref="S665:S667" si="144">R665</f>
        <v>0.79</v>
      </c>
    </row>
    <row r="666" spans="1:19" x14ac:dyDescent="0.3">
      <c r="A666" t="s">
        <v>1402</v>
      </c>
      <c r="B666" t="s">
        <v>1403</v>
      </c>
      <c r="C666" t="str">
        <f t="shared" si="131"/>
        <v>Roy Collins</v>
      </c>
      <c r="D666" t="s">
        <v>19</v>
      </c>
      <c r="E666" t="str">
        <f t="shared" si="139"/>
        <v>Male</v>
      </c>
      <c r="F666">
        <v>33</v>
      </c>
      <c r="G666" t="s">
        <v>34</v>
      </c>
      <c r="H666" t="s">
        <v>35</v>
      </c>
      <c r="I666" t="s">
        <v>15</v>
      </c>
      <c r="J666">
        <v>5</v>
      </c>
      <c r="K666" s="4" t="str" cm="1">
        <f t="array" ref="K666">_xlfn.IFS(J666&lt;=5,"0-5",J666&lt;=10,"6-10",J666&lt;=15,"11-15",J666&lt;=20,"16-20",J666&gt;20,"21+")</f>
        <v>0-5</v>
      </c>
      <c r="L666" t="s">
        <v>56</v>
      </c>
      <c r="M666" s="2" t="str">
        <f>SUBSTITUTE(L666,"$","")</f>
        <v>50</v>
      </c>
      <c r="N666" s="8">
        <f t="shared" si="140"/>
        <v>50</v>
      </c>
      <c r="O666">
        <v>4.7</v>
      </c>
      <c r="P666">
        <v>1</v>
      </c>
      <c r="Q666" t="s">
        <v>2073</v>
      </c>
      <c r="R666" s="1">
        <v>0.88</v>
      </c>
      <c r="S666" s="3">
        <f t="shared" si="144"/>
        <v>0.88</v>
      </c>
    </row>
    <row r="667" spans="1:19" x14ac:dyDescent="0.3">
      <c r="A667" t="s">
        <v>1404</v>
      </c>
      <c r="B667" t="s">
        <v>1405</v>
      </c>
      <c r="C667" t="str">
        <f t="shared" ref="C667:C730" si="145">B667</f>
        <v>Samantha Porter</v>
      </c>
      <c r="D667" t="s">
        <v>26</v>
      </c>
      <c r="E667" t="str">
        <f t="shared" si="139"/>
        <v>Female</v>
      </c>
      <c r="F667">
        <v>55</v>
      </c>
      <c r="G667" t="s">
        <v>120</v>
      </c>
      <c r="H667" t="s">
        <v>14</v>
      </c>
      <c r="I667" t="s">
        <v>27</v>
      </c>
      <c r="J667">
        <v>14</v>
      </c>
      <c r="K667" s="4" t="str" cm="1">
        <f t="array" ref="K667">_xlfn.IFS(J667&lt;=5,"0-5",J667&lt;=10,"6-10",J667&lt;=15,"11-15",J667&lt;=20,"16-20",J667&gt;20,"21+")</f>
        <v>11-15</v>
      </c>
      <c r="L667" t="s">
        <v>90</v>
      </c>
      <c r="M667" s="2" t="str">
        <f>TRIM(MID(L667,FIND(" ",L667)+1,LEN(L667)))</f>
        <v>50</v>
      </c>
      <c r="N667" s="8">
        <f t="shared" si="140"/>
        <v>50</v>
      </c>
      <c r="O667">
        <v>3.6</v>
      </c>
      <c r="P667">
        <v>1</v>
      </c>
      <c r="Q667" t="s">
        <v>2073</v>
      </c>
      <c r="R667" s="1">
        <v>0.81</v>
      </c>
      <c r="S667" s="3">
        <f t="shared" si="144"/>
        <v>0.81</v>
      </c>
    </row>
    <row r="668" spans="1:19" x14ac:dyDescent="0.3">
      <c r="A668" t="s">
        <v>1406</v>
      </c>
      <c r="B668" t="s">
        <v>1407</v>
      </c>
      <c r="C668" t="str">
        <f t="shared" si="145"/>
        <v>Juan Elliott</v>
      </c>
      <c r="D668" t="s">
        <v>19</v>
      </c>
      <c r="E668" t="str">
        <f t="shared" si="139"/>
        <v>Male</v>
      </c>
      <c r="F668">
        <v>47</v>
      </c>
      <c r="G668" t="s">
        <v>104</v>
      </c>
      <c r="H668" t="s">
        <v>105</v>
      </c>
      <c r="I668" t="s">
        <v>65</v>
      </c>
      <c r="J668">
        <v>17</v>
      </c>
      <c r="K668" s="4" t="str" cm="1">
        <f t="array" ref="K668">_xlfn.IFS(J668&lt;=5,"0-5",J668&lt;=10,"6-10",J668&lt;=15,"11-15",J668&lt;=20,"16-20",J668&gt;20,"21+")</f>
        <v>16-20</v>
      </c>
      <c r="L668">
        <v>50</v>
      </c>
      <c r="M668" s="2">
        <f>L668</f>
        <v>50</v>
      </c>
      <c r="N668" s="8">
        <f t="shared" si="140"/>
        <v>50</v>
      </c>
      <c r="O668">
        <v>1.2</v>
      </c>
      <c r="P668" t="s">
        <v>23</v>
      </c>
      <c r="Q668" t="s">
        <v>2072</v>
      </c>
    </row>
    <row r="669" spans="1:19" x14ac:dyDescent="0.3">
      <c r="A669" t="s">
        <v>1408</v>
      </c>
      <c r="B669" t="s">
        <v>1409</v>
      </c>
      <c r="C669" t="str">
        <f t="shared" si="145"/>
        <v>Elizabeth Phillips</v>
      </c>
      <c r="D669" t="s">
        <v>12</v>
      </c>
      <c r="E669" t="str">
        <f t="shared" si="139"/>
        <v>Female</v>
      </c>
      <c r="F669">
        <v>29</v>
      </c>
      <c r="G669" t="s">
        <v>171</v>
      </c>
      <c r="H669" t="s">
        <v>64</v>
      </c>
      <c r="I669" t="s">
        <v>36</v>
      </c>
      <c r="J669">
        <v>10</v>
      </c>
      <c r="K669" s="4" t="str" cm="1">
        <f t="array" ref="K669">_xlfn.IFS(J669&lt;=5,"0-5",J669&lt;=10,"6-10",J669&lt;=15,"11-15",J669&lt;=20,"16-20",J669&gt;20,"21+")</f>
        <v>6-10</v>
      </c>
      <c r="N669" s="8" t="str">
        <f t="shared" si="140"/>
        <v/>
      </c>
      <c r="O669">
        <v>4.4000000000000004</v>
      </c>
      <c r="P669" t="s">
        <v>66</v>
      </c>
      <c r="Q669" t="s">
        <v>2073</v>
      </c>
      <c r="R669" s="1">
        <v>0.67</v>
      </c>
      <c r="S669" s="3">
        <f>R669</f>
        <v>0.67</v>
      </c>
    </row>
    <row r="670" spans="1:19" x14ac:dyDescent="0.3">
      <c r="A670" t="s">
        <v>1410</v>
      </c>
      <c r="B670" t="s">
        <v>1411</v>
      </c>
      <c r="C670" t="str">
        <f t="shared" si="145"/>
        <v>Laura Evans</v>
      </c>
      <c r="D670" t="s">
        <v>69</v>
      </c>
      <c r="E670" t="str">
        <f t="shared" si="139"/>
        <v>Female</v>
      </c>
      <c r="F670">
        <v>30</v>
      </c>
      <c r="G670" t="s">
        <v>59</v>
      </c>
      <c r="H670" t="s">
        <v>14</v>
      </c>
      <c r="I670" t="s">
        <v>81</v>
      </c>
      <c r="J670">
        <v>8</v>
      </c>
      <c r="K670" s="4" t="str" cm="1">
        <f t="array" ref="K670">_xlfn.IFS(J670&lt;=5,"0-5",J670&lt;=10,"6-10",J670&lt;=15,"11-15",J670&lt;=20,"16-20",J670&gt;20,"21+")</f>
        <v>6-10</v>
      </c>
      <c r="L670">
        <v>100</v>
      </c>
      <c r="M670" s="2">
        <f>L670</f>
        <v>100</v>
      </c>
      <c r="N670" s="8">
        <f t="shared" si="140"/>
        <v>100</v>
      </c>
      <c r="O670">
        <v>1.4</v>
      </c>
      <c r="P670" t="s">
        <v>60</v>
      </c>
      <c r="Q670" t="s">
        <v>2073</v>
      </c>
      <c r="R670">
        <v>62</v>
      </c>
      <c r="S670" s="3">
        <f>R670/100</f>
        <v>0.62</v>
      </c>
    </row>
    <row r="671" spans="1:19" x14ac:dyDescent="0.3">
      <c r="A671" t="s">
        <v>1412</v>
      </c>
      <c r="B671" t="s">
        <v>1413</v>
      </c>
      <c r="C671" t="str">
        <f t="shared" si="145"/>
        <v>Amanda Mitchell</v>
      </c>
      <c r="D671" t="s">
        <v>12</v>
      </c>
      <c r="E671" t="str">
        <f t="shared" si="139"/>
        <v>Female</v>
      </c>
      <c r="F671">
        <v>25</v>
      </c>
      <c r="G671" t="s">
        <v>120</v>
      </c>
      <c r="H671" t="s">
        <v>14</v>
      </c>
      <c r="I671" t="s">
        <v>81</v>
      </c>
      <c r="J671">
        <v>1</v>
      </c>
      <c r="K671" s="4" t="str" cm="1">
        <f t="array" ref="K671">_xlfn.IFS(J671&lt;=5,"0-5",J671&lt;=10,"6-10",J671&lt;=15,"11-15",J671&lt;=20,"16-20",J671&gt;20,"21+")</f>
        <v>0-5</v>
      </c>
      <c r="L671" t="s">
        <v>101</v>
      </c>
      <c r="M671" s="2" t="str">
        <f>TRIM(MID(L671,FIND(" ",L671)+1,LEN(L671)))</f>
        <v>30</v>
      </c>
      <c r="N671" s="8">
        <f t="shared" si="140"/>
        <v>30</v>
      </c>
      <c r="O671">
        <v>3.2</v>
      </c>
      <c r="P671">
        <v>0</v>
      </c>
      <c r="Q671" t="s">
        <v>2072</v>
      </c>
      <c r="R671" s="1">
        <v>0.87</v>
      </c>
      <c r="S671" s="3">
        <f t="shared" ref="S671:S674" si="146">R671</f>
        <v>0.87</v>
      </c>
    </row>
    <row r="672" spans="1:19" x14ac:dyDescent="0.3">
      <c r="A672" t="s">
        <v>1414</v>
      </c>
      <c r="B672" t="s">
        <v>1415</v>
      </c>
      <c r="C672" t="str">
        <f t="shared" si="145"/>
        <v>Sandra Williams</v>
      </c>
      <c r="D672" t="s">
        <v>31</v>
      </c>
      <c r="E672" t="str">
        <f t="shared" si="139"/>
        <v>Female</v>
      </c>
      <c r="F672">
        <v>28</v>
      </c>
      <c r="G672" t="s">
        <v>131</v>
      </c>
      <c r="H672" t="s">
        <v>132</v>
      </c>
      <c r="I672" t="s">
        <v>70</v>
      </c>
      <c r="J672">
        <v>10</v>
      </c>
      <c r="K672" s="4" t="str" cm="1">
        <f t="array" ref="K672">_xlfn.IFS(J672&lt;=5,"0-5",J672&lt;=10,"6-10",J672&lt;=15,"11-15",J672&lt;=20,"16-20",J672&gt;20,"21+")</f>
        <v>6-10</v>
      </c>
      <c r="N672" s="8" t="str">
        <f t="shared" si="140"/>
        <v/>
      </c>
      <c r="O672">
        <v>3.8</v>
      </c>
      <c r="P672" t="s">
        <v>60</v>
      </c>
      <c r="Q672" t="s">
        <v>2073</v>
      </c>
      <c r="R672" s="1">
        <v>0.98</v>
      </c>
      <c r="S672" s="3">
        <f t="shared" si="146"/>
        <v>0.98</v>
      </c>
    </row>
    <row r="673" spans="1:19" x14ac:dyDescent="0.3">
      <c r="A673" t="s">
        <v>1416</v>
      </c>
      <c r="B673" t="s">
        <v>1417</v>
      </c>
      <c r="C673" t="str">
        <f t="shared" si="145"/>
        <v>Eric Johnson</v>
      </c>
      <c r="D673" t="s">
        <v>19</v>
      </c>
      <c r="E673" t="str">
        <f t="shared" si="139"/>
        <v>Male</v>
      </c>
      <c r="F673">
        <v>29</v>
      </c>
      <c r="G673" t="s">
        <v>104</v>
      </c>
      <c r="H673" t="s">
        <v>105</v>
      </c>
      <c r="I673" t="s">
        <v>9</v>
      </c>
      <c r="J673">
        <v>0</v>
      </c>
      <c r="K673" s="4" t="str" cm="1">
        <f t="array" ref="K673">_xlfn.IFS(J673&lt;=5,"0-5",J673&lt;=10,"6-10",J673&lt;=15,"11-15",J673&lt;=20,"16-20",J673&gt;20,"21+")</f>
        <v>0-5</v>
      </c>
      <c r="L673" t="s">
        <v>162</v>
      </c>
      <c r="M673" s="2" t="str">
        <f>SUBSTITUTE(L673,"$","")</f>
        <v>75</v>
      </c>
      <c r="N673" s="8">
        <f t="shared" si="140"/>
        <v>75</v>
      </c>
      <c r="O673">
        <v>1.5</v>
      </c>
      <c r="P673" t="b">
        <v>1</v>
      </c>
      <c r="Q673" t="s">
        <v>2073</v>
      </c>
      <c r="R673" s="1">
        <v>0.64</v>
      </c>
      <c r="S673" s="3">
        <f t="shared" si="146"/>
        <v>0.64</v>
      </c>
    </row>
    <row r="674" spans="1:19" x14ac:dyDescent="0.3">
      <c r="A674" t="s">
        <v>1418</v>
      </c>
      <c r="B674" t="s">
        <v>1419</v>
      </c>
      <c r="C674" t="str">
        <f t="shared" si="145"/>
        <v>Javier Hobbs</v>
      </c>
      <c r="D674" t="s">
        <v>89</v>
      </c>
      <c r="E674" t="str">
        <f t="shared" si="139"/>
        <v>Male</v>
      </c>
      <c r="F674">
        <v>30</v>
      </c>
      <c r="G674" t="s">
        <v>182</v>
      </c>
      <c r="H674" t="s">
        <v>64</v>
      </c>
      <c r="I674" t="s">
        <v>22</v>
      </c>
      <c r="J674">
        <v>4</v>
      </c>
      <c r="K674" s="4" t="str" cm="1">
        <f t="array" ref="K674">_xlfn.IFS(J674&lt;=5,"0-5",J674&lt;=10,"6-10",J674&lt;=15,"11-15",J674&lt;=20,"16-20",J674&gt;20,"21+")</f>
        <v>0-5</v>
      </c>
      <c r="N674" s="8" t="str">
        <f t="shared" si="140"/>
        <v/>
      </c>
      <c r="O674">
        <v>2.8</v>
      </c>
      <c r="P674">
        <v>1</v>
      </c>
      <c r="Q674" t="s">
        <v>2073</v>
      </c>
      <c r="R674" s="1">
        <v>0.71</v>
      </c>
      <c r="S674" s="3">
        <f t="shared" si="146"/>
        <v>0.71</v>
      </c>
    </row>
    <row r="675" spans="1:19" x14ac:dyDescent="0.3">
      <c r="A675" t="s">
        <v>1420</v>
      </c>
      <c r="B675" t="s">
        <v>1421</v>
      </c>
      <c r="C675" t="str">
        <f t="shared" si="145"/>
        <v>Jacob Jones</v>
      </c>
      <c r="D675" t="s">
        <v>19</v>
      </c>
      <c r="E675" t="str">
        <f t="shared" si="139"/>
        <v>Male</v>
      </c>
      <c r="F675">
        <v>47</v>
      </c>
      <c r="G675" t="s">
        <v>131</v>
      </c>
      <c r="H675" t="s">
        <v>132</v>
      </c>
      <c r="I675" t="s">
        <v>36</v>
      </c>
      <c r="J675">
        <v>2</v>
      </c>
      <c r="K675" s="4" t="str" cm="1">
        <f t="array" ref="K675">_xlfn.IFS(J675&lt;=5,"0-5",J675&lt;=10,"6-10",J675&lt;=15,"11-15",J675&lt;=20,"16-20",J675&gt;20,"21+")</f>
        <v>0-5</v>
      </c>
      <c r="L675">
        <v>50</v>
      </c>
      <c r="M675" s="2">
        <f>L675</f>
        <v>50</v>
      </c>
      <c r="N675" s="8">
        <f t="shared" si="140"/>
        <v>50</v>
      </c>
      <c r="O675">
        <v>2.7</v>
      </c>
      <c r="P675" t="s">
        <v>151</v>
      </c>
      <c r="Q675" t="s">
        <v>2072</v>
      </c>
      <c r="R675">
        <v>96</v>
      </c>
      <c r="S675" s="3">
        <f>R675/100</f>
        <v>0.96</v>
      </c>
    </row>
    <row r="676" spans="1:19" x14ac:dyDescent="0.3">
      <c r="A676" t="s">
        <v>1422</v>
      </c>
      <c r="B676" t="s">
        <v>1423</v>
      </c>
      <c r="C676" t="str">
        <f t="shared" si="145"/>
        <v>Zachary Murphy</v>
      </c>
      <c r="D676" t="s">
        <v>53</v>
      </c>
      <c r="E676" t="str">
        <f t="shared" si="139"/>
        <v>Male</v>
      </c>
      <c r="F676">
        <v>34</v>
      </c>
      <c r="G676" t="s">
        <v>13</v>
      </c>
      <c r="H676" t="s">
        <v>14</v>
      </c>
      <c r="I676" t="s">
        <v>9</v>
      </c>
      <c r="J676">
        <v>10</v>
      </c>
      <c r="K676" s="4" t="str" cm="1">
        <f t="array" ref="K676">_xlfn.IFS(J676&lt;=5,"0-5",J676&lt;=10,"6-10",J676&lt;=15,"11-15",J676&lt;=20,"16-20",J676&gt;20,"21+")</f>
        <v>6-10</v>
      </c>
      <c r="L676" t="s">
        <v>37</v>
      </c>
      <c r="M676" s="2" t="str">
        <f>SUBSTITUTE(L676,"$","")</f>
        <v>30</v>
      </c>
      <c r="N676" s="8">
        <f t="shared" si="140"/>
        <v>30</v>
      </c>
      <c r="O676">
        <v>3.9</v>
      </c>
    </row>
    <row r="677" spans="1:19" x14ac:dyDescent="0.3">
      <c r="A677" t="s">
        <v>1424</v>
      </c>
      <c r="B677" t="s">
        <v>1425</v>
      </c>
      <c r="C677" t="str">
        <f t="shared" si="145"/>
        <v>Joshua Owens</v>
      </c>
      <c r="D677" t="s">
        <v>84</v>
      </c>
      <c r="E677" t="str">
        <f t="shared" si="139"/>
        <v>Male</v>
      </c>
      <c r="F677">
        <v>45</v>
      </c>
      <c r="G677" t="s">
        <v>50</v>
      </c>
      <c r="H677" t="s">
        <v>14</v>
      </c>
      <c r="I677" t="s">
        <v>22</v>
      </c>
      <c r="J677">
        <v>16</v>
      </c>
      <c r="K677" s="4" t="str" cm="1">
        <f t="array" ref="K677">_xlfn.IFS(J677&lt;=5,"0-5",J677&lt;=10,"6-10",J677&lt;=15,"11-15",J677&lt;=20,"16-20",J677&gt;20,"21+")</f>
        <v>16-20</v>
      </c>
      <c r="L677">
        <v>100</v>
      </c>
      <c r="M677" s="2">
        <f>L677</f>
        <v>100</v>
      </c>
      <c r="N677" s="8">
        <f t="shared" si="140"/>
        <v>100</v>
      </c>
      <c r="O677">
        <v>4.5999999999999996</v>
      </c>
      <c r="P677" t="s">
        <v>23</v>
      </c>
      <c r="Q677" t="s">
        <v>2072</v>
      </c>
      <c r="R677" s="1">
        <v>0.78</v>
      </c>
      <c r="S677" s="3">
        <f t="shared" ref="S677:S679" si="147">R677</f>
        <v>0.78</v>
      </c>
    </row>
    <row r="678" spans="1:19" x14ac:dyDescent="0.3">
      <c r="A678" t="s">
        <v>1426</v>
      </c>
      <c r="B678" t="s">
        <v>1427</v>
      </c>
      <c r="C678" t="str">
        <f t="shared" si="145"/>
        <v>Dawn Mitchell</v>
      </c>
      <c r="D678" t="s">
        <v>26</v>
      </c>
      <c r="E678" t="str">
        <f t="shared" si="139"/>
        <v>Female</v>
      </c>
      <c r="F678">
        <v>56</v>
      </c>
      <c r="G678" t="s">
        <v>182</v>
      </c>
      <c r="H678" t="s">
        <v>64</v>
      </c>
      <c r="I678" t="s">
        <v>70</v>
      </c>
      <c r="J678">
        <v>27</v>
      </c>
      <c r="K678" s="4" t="str" cm="1">
        <f t="array" ref="K678">_xlfn.IFS(J678&lt;=5,"0-5",J678&lt;=10,"6-10",J678&lt;=15,"11-15",J678&lt;=20,"16-20",J678&gt;20,"21+")</f>
        <v>21+</v>
      </c>
      <c r="L678" t="s">
        <v>113</v>
      </c>
      <c r="M678" s="2" t="str">
        <f>SUBSTITUTE(L678,"$","")</f>
        <v>20</v>
      </c>
      <c r="N678" s="8">
        <f t="shared" si="140"/>
        <v>20</v>
      </c>
      <c r="O678">
        <v>2.2000000000000002</v>
      </c>
      <c r="P678" t="b">
        <v>0</v>
      </c>
      <c r="Q678" t="s">
        <v>2072</v>
      </c>
      <c r="R678" s="1">
        <v>0.7</v>
      </c>
      <c r="S678" s="3">
        <f t="shared" si="147"/>
        <v>0.7</v>
      </c>
    </row>
    <row r="679" spans="1:19" x14ac:dyDescent="0.3">
      <c r="A679" t="s">
        <v>1428</v>
      </c>
      <c r="B679" t="s">
        <v>1429</v>
      </c>
      <c r="C679" t="str">
        <f t="shared" si="145"/>
        <v>Regina Dunn</v>
      </c>
      <c r="D679" t="s">
        <v>31</v>
      </c>
      <c r="E679" t="str">
        <f t="shared" si="139"/>
        <v>Female</v>
      </c>
      <c r="F679">
        <v>49</v>
      </c>
      <c r="G679" t="s">
        <v>167</v>
      </c>
      <c r="H679" t="s">
        <v>168</v>
      </c>
      <c r="I679" t="s">
        <v>81</v>
      </c>
      <c r="J679">
        <v>20</v>
      </c>
      <c r="K679" s="4" t="str" cm="1">
        <f t="array" ref="K679">_xlfn.IFS(J679&lt;=5,"0-5",J679&lt;=10,"6-10",J679&lt;=15,"11-15",J679&lt;=20,"16-20",J679&gt;20,"21+")</f>
        <v>16-20</v>
      </c>
      <c r="L679">
        <v>50</v>
      </c>
      <c r="M679" s="2">
        <f>L679</f>
        <v>50</v>
      </c>
      <c r="N679" s="8">
        <f t="shared" si="140"/>
        <v>50</v>
      </c>
      <c r="O679">
        <v>2.5</v>
      </c>
      <c r="P679">
        <v>0</v>
      </c>
      <c r="Q679" t="s">
        <v>2072</v>
      </c>
      <c r="R679" s="1">
        <v>0.82</v>
      </c>
      <c r="S679" s="3">
        <f t="shared" si="147"/>
        <v>0.82</v>
      </c>
    </row>
    <row r="680" spans="1:19" x14ac:dyDescent="0.3">
      <c r="A680" t="s">
        <v>1430</v>
      </c>
      <c r="B680" t="s">
        <v>1431</v>
      </c>
      <c r="C680" t="str">
        <f t="shared" si="145"/>
        <v>Ernest Cole</v>
      </c>
      <c r="D680" t="s">
        <v>53</v>
      </c>
      <c r="E680" t="str">
        <f t="shared" si="139"/>
        <v>Male</v>
      </c>
      <c r="F680">
        <v>48</v>
      </c>
      <c r="G680" t="s">
        <v>127</v>
      </c>
      <c r="H680" t="s">
        <v>128</v>
      </c>
      <c r="I680" t="s">
        <v>36</v>
      </c>
      <c r="J680">
        <v>10</v>
      </c>
      <c r="K680" s="4" t="str" cm="1">
        <f t="array" ref="K680">_xlfn.IFS(J680&lt;=5,"0-5",J680&lt;=10,"6-10",J680&lt;=15,"11-15",J680&lt;=20,"16-20",J680&gt;20,"21+")</f>
        <v>6-10</v>
      </c>
      <c r="N680" s="8" t="str">
        <f t="shared" si="140"/>
        <v/>
      </c>
      <c r="O680">
        <v>3.1</v>
      </c>
      <c r="P680" t="b">
        <v>0</v>
      </c>
      <c r="Q680" t="s">
        <v>2072</v>
      </c>
    </row>
    <row r="681" spans="1:19" x14ac:dyDescent="0.3">
      <c r="A681" t="s">
        <v>1432</v>
      </c>
      <c r="B681" t="s">
        <v>1433</v>
      </c>
      <c r="C681" t="str">
        <f t="shared" si="145"/>
        <v>Hannah Sanders</v>
      </c>
      <c r="D681" t="s">
        <v>31</v>
      </c>
      <c r="E681" t="str">
        <f t="shared" si="139"/>
        <v>Female</v>
      </c>
      <c r="F681">
        <v>29</v>
      </c>
      <c r="G681" t="s">
        <v>104</v>
      </c>
      <c r="H681" t="s">
        <v>105</v>
      </c>
      <c r="I681" t="s">
        <v>22</v>
      </c>
      <c r="J681">
        <v>0</v>
      </c>
      <c r="K681" s="4" t="str" cm="1">
        <f t="array" ref="K681">_xlfn.IFS(J681&lt;=5,"0-5",J681&lt;=10,"6-10",J681&lt;=15,"11-15",J681&lt;=20,"16-20",J681&gt;20,"21+")</f>
        <v>0-5</v>
      </c>
      <c r="L681" t="s">
        <v>113</v>
      </c>
      <c r="M681" s="2" t="str">
        <f>SUBSTITUTE(L681,"$","")</f>
        <v>20</v>
      </c>
      <c r="N681" s="8">
        <f t="shared" si="140"/>
        <v>20</v>
      </c>
      <c r="P681">
        <v>1</v>
      </c>
      <c r="Q681" t="s">
        <v>2073</v>
      </c>
      <c r="R681" s="1">
        <v>0.99</v>
      </c>
      <c r="S681" s="3">
        <f t="shared" ref="S681:S683" si="148">R681</f>
        <v>0.99</v>
      </c>
    </row>
    <row r="682" spans="1:19" x14ac:dyDescent="0.3">
      <c r="A682" t="s">
        <v>1434</v>
      </c>
      <c r="B682" t="s">
        <v>1435</v>
      </c>
      <c r="C682" t="str">
        <f t="shared" si="145"/>
        <v>Ellen Bowman</v>
      </c>
      <c r="D682" t="s">
        <v>69</v>
      </c>
      <c r="E682" t="str">
        <f t="shared" si="139"/>
        <v>Female</v>
      </c>
      <c r="F682">
        <v>49</v>
      </c>
      <c r="G682" t="s">
        <v>34</v>
      </c>
      <c r="H682" t="s">
        <v>35</v>
      </c>
      <c r="I682" t="s">
        <v>27</v>
      </c>
      <c r="J682">
        <v>11</v>
      </c>
      <c r="K682" s="4" t="str" cm="1">
        <f t="array" ref="K682">_xlfn.IFS(J682&lt;=5,"0-5",J682&lt;=10,"6-10",J682&lt;=15,"11-15",J682&lt;=20,"16-20",J682&gt;20,"21+")</f>
        <v>11-15</v>
      </c>
      <c r="L682">
        <v>75</v>
      </c>
      <c r="M682" s="2">
        <f>L682</f>
        <v>75</v>
      </c>
      <c r="N682" s="8">
        <f t="shared" si="140"/>
        <v>75</v>
      </c>
      <c r="O682">
        <v>3.8</v>
      </c>
      <c r="P682" t="s">
        <v>66</v>
      </c>
      <c r="Q682" t="s">
        <v>2073</v>
      </c>
      <c r="R682" s="1">
        <v>0.93</v>
      </c>
      <c r="S682" s="3">
        <f t="shared" si="148"/>
        <v>0.93</v>
      </c>
    </row>
    <row r="683" spans="1:19" x14ac:dyDescent="0.3">
      <c r="A683" t="s">
        <v>1436</v>
      </c>
      <c r="B683" t="s">
        <v>1437</v>
      </c>
      <c r="C683" t="str">
        <f t="shared" si="145"/>
        <v>Nancy Moore</v>
      </c>
      <c r="D683" t="s">
        <v>12</v>
      </c>
      <c r="E683" t="str">
        <f t="shared" si="139"/>
        <v>Female</v>
      </c>
      <c r="F683">
        <v>22</v>
      </c>
      <c r="G683" t="s">
        <v>167</v>
      </c>
      <c r="H683" t="s">
        <v>168</v>
      </c>
      <c r="I683" t="s">
        <v>9</v>
      </c>
      <c r="J683">
        <v>1</v>
      </c>
      <c r="K683" s="4" t="str" cm="1">
        <f t="array" ref="K683">_xlfn.IFS(J683&lt;=5,"0-5",J683&lt;=10,"6-10",J683&lt;=15,"11-15",J683&lt;=20,"16-20",J683&gt;20,"21+")</f>
        <v>0-5</v>
      </c>
      <c r="L683">
        <v>100</v>
      </c>
      <c r="M683" s="2">
        <f>L683</f>
        <v>100</v>
      </c>
      <c r="N683" s="8">
        <f t="shared" si="140"/>
        <v>100</v>
      </c>
      <c r="O683">
        <v>4.8</v>
      </c>
      <c r="P683" t="s">
        <v>66</v>
      </c>
      <c r="Q683" t="s">
        <v>2073</v>
      </c>
      <c r="R683" s="1">
        <v>0.75</v>
      </c>
      <c r="S683" s="3">
        <f t="shared" si="148"/>
        <v>0.75</v>
      </c>
    </row>
    <row r="684" spans="1:19" x14ac:dyDescent="0.3">
      <c r="A684" t="s">
        <v>1438</v>
      </c>
      <c r="B684" t="s">
        <v>1439</v>
      </c>
      <c r="C684" t="str">
        <f t="shared" si="145"/>
        <v>Joseph Wood</v>
      </c>
      <c r="D684" t="s">
        <v>40</v>
      </c>
      <c r="E684" t="str">
        <f t="shared" si="139"/>
        <v>Male</v>
      </c>
      <c r="F684">
        <v>52</v>
      </c>
      <c r="G684" t="s">
        <v>171</v>
      </c>
      <c r="H684" t="s">
        <v>64</v>
      </c>
      <c r="I684" t="s">
        <v>22</v>
      </c>
      <c r="J684">
        <v>30</v>
      </c>
      <c r="K684" s="4" t="str" cm="1">
        <f t="array" ref="K684">_xlfn.IFS(J684&lt;=5,"0-5",J684&lt;=10,"6-10",J684&lt;=15,"11-15",J684&lt;=20,"16-20",J684&gt;20,"21+")</f>
        <v>21+</v>
      </c>
      <c r="L684" t="s">
        <v>16</v>
      </c>
      <c r="M684" s="2" t="str">
        <f>TRIM(MID(L684,FIND(" ",L684)+1,LEN(L684)))</f>
        <v>100</v>
      </c>
      <c r="N684" s="8">
        <f t="shared" si="140"/>
        <v>100</v>
      </c>
      <c r="O684">
        <v>2.5</v>
      </c>
      <c r="R684">
        <v>61</v>
      </c>
      <c r="S684" s="3">
        <f>R684/100</f>
        <v>0.61</v>
      </c>
    </row>
    <row r="685" spans="1:19" x14ac:dyDescent="0.3">
      <c r="A685" t="s">
        <v>1440</v>
      </c>
      <c r="B685" t="s">
        <v>1441</v>
      </c>
      <c r="C685" t="str">
        <f t="shared" si="145"/>
        <v>Michael Harrell</v>
      </c>
      <c r="D685" t="s">
        <v>53</v>
      </c>
      <c r="E685" t="str">
        <f t="shared" si="139"/>
        <v>Male</v>
      </c>
      <c r="F685">
        <v>60</v>
      </c>
      <c r="G685" t="s">
        <v>120</v>
      </c>
      <c r="H685" t="s">
        <v>14</v>
      </c>
      <c r="I685" t="s">
        <v>9</v>
      </c>
      <c r="J685">
        <v>7</v>
      </c>
      <c r="K685" s="4" t="str" cm="1">
        <f t="array" ref="K685">_xlfn.IFS(J685&lt;=5,"0-5",J685&lt;=10,"6-10",J685&lt;=15,"11-15",J685&lt;=20,"16-20",J685&gt;20,"21+")</f>
        <v>6-10</v>
      </c>
      <c r="L685" t="s">
        <v>101</v>
      </c>
      <c r="M685" s="2" t="str">
        <f>TRIM(MID(L685,FIND(" ",L685)+1,LEN(L685)))</f>
        <v>30</v>
      </c>
      <c r="N685" s="8">
        <f t="shared" si="140"/>
        <v>30</v>
      </c>
      <c r="O685">
        <v>0</v>
      </c>
      <c r="P685" t="s">
        <v>151</v>
      </c>
      <c r="Q685" t="s">
        <v>2072</v>
      </c>
      <c r="R685" s="1">
        <v>0.97</v>
      </c>
      <c r="S685" s="3">
        <f>R685</f>
        <v>0.97</v>
      </c>
    </row>
    <row r="686" spans="1:19" x14ac:dyDescent="0.3">
      <c r="A686" t="s">
        <v>1442</v>
      </c>
      <c r="B686" t="s">
        <v>1443</v>
      </c>
      <c r="C686" t="str">
        <f t="shared" si="145"/>
        <v>Connie Mcclain</v>
      </c>
      <c r="D686" t="s">
        <v>26</v>
      </c>
      <c r="E686" t="str">
        <f t="shared" si="139"/>
        <v>Female</v>
      </c>
      <c r="F686">
        <v>33</v>
      </c>
      <c r="G686" t="s">
        <v>77</v>
      </c>
      <c r="H686" t="s">
        <v>78</v>
      </c>
      <c r="I686" t="s">
        <v>65</v>
      </c>
      <c r="J686">
        <v>0</v>
      </c>
      <c r="K686" s="4" t="str" cm="1">
        <f t="array" ref="K686">_xlfn.IFS(J686&lt;=5,"0-5",J686&lt;=10,"6-10",J686&lt;=15,"11-15",J686&lt;=20,"16-20",J686&gt;20,"21+")</f>
        <v>0-5</v>
      </c>
      <c r="L686" t="s">
        <v>221</v>
      </c>
      <c r="M686" s="2" t="str">
        <f>SUBSTITUTE(L686,"$","")</f>
        <v>100</v>
      </c>
      <c r="N686" s="8">
        <f t="shared" si="140"/>
        <v>100</v>
      </c>
      <c r="O686">
        <v>1.7</v>
      </c>
      <c r="P686">
        <v>1</v>
      </c>
      <c r="Q686" t="s">
        <v>2073</v>
      </c>
      <c r="R686">
        <v>95</v>
      </c>
      <c r="S686" s="3">
        <f>R686/100</f>
        <v>0.95</v>
      </c>
    </row>
    <row r="687" spans="1:19" x14ac:dyDescent="0.3">
      <c r="A687" t="s">
        <v>1444</v>
      </c>
      <c r="B687" t="s">
        <v>1445</v>
      </c>
      <c r="C687" t="str">
        <f t="shared" si="145"/>
        <v>Matthew Baldwin</v>
      </c>
      <c r="D687" t="s">
        <v>84</v>
      </c>
      <c r="E687" t="str">
        <f t="shared" si="139"/>
        <v>Male</v>
      </c>
      <c r="F687">
        <v>52</v>
      </c>
      <c r="G687" t="s">
        <v>104</v>
      </c>
      <c r="H687" t="s">
        <v>105</v>
      </c>
      <c r="I687" t="s">
        <v>22</v>
      </c>
      <c r="J687">
        <v>21</v>
      </c>
      <c r="K687" s="4" t="str" cm="1">
        <f t="array" ref="K687">_xlfn.IFS(J687&lt;=5,"0-5",J687&lt;=10,"6-10",J687&lt;=15,"11-15",J687&lt;=20,"16-20",J687&gt;20,"21+")</f>
        <v>21+</v>
      </c>
      <c r="L687" t="s">
        <v>47</v>
      </c>
      <c r="M687" s="2" t="str">
        <f>TRIM(MID(L687,FIND(" ",L687)+1,LEN(L687)))</f>
        <v>40</v>
      </c>
      <c r="N687" s="8">
        <f t="shared" si="140"/>
        <v>40</v>
      </c>
      <c r="O687">
        <v>4</v>
      </c>
      <c r="R687" s="1">
        <v>0.69</v>
      </c>
      <c r="S687" s="3">
        <f t="shared" ref="S687:S690" si="149">R687</f>
        <v>0.69</v>
      </c>
    </row>
    <row r="688" spans="1:19" x14ac:dyDescent="0.3">
      <c r="A688" t="s">
        <v>1446</v>
      </c>
      <c r="B688" t="s">
        <v>1447</v>
      </c>
      <c r="C688" t="str">
        <f t="shared" si="145"/>
        <v>Danielle Nelson</v>
      </c>
      <c r="D688" t="s">
        <v>6</v>
      </c>
      <c r="E688" t="str">
        <f t="shared" si="139"/>
        <v>Female</v>
      </c>
      <c r="F688">
        <v>25</v>
      </c>
      <c r="G688" t="s">
        <v>20</v>
      </c>
      <c r="H688" t="s">
        <v>21</v>
      </c>
      <c r="I688" t="s">
        <v>81</v>
      </c>
      <c r="J688">
        <v>7</v>
      </c>
      <c r="K688" s="4" t="str" cm="1">
        <f t="array" ref="K688">_xlfn.IFS(J688&lt;=5,"0-5",J688&lt;=10,"6-10",J688&lt;=15,"11-15",J688&lt;=20,"16-20",J688&gt;20,"21+")</f>
        <v>6-10</v>
      </c>
      <c r="L688" t="s">
        <v>16</v>
      </c>
      <c r="M688" s="2" t="str">
        <f>TRIM(MID(L688,FIND(" ",L688)+1,LEN(L688)))</f>
        <v>100</v>
      </c>
      <c r="N688" s="8">
        <f t="shared" si="140"/>
        <v>100</v>
      </c>
      <c r="O688">
        <v>1.9</v>
      </c>
      <c r="P688" t="b">
        <v>0</v>
      </c>
      <c r="Q688" t="s">
        <v>2072</v>
      </c>
      <c r="R688" s="1">
        <v>0.63</v>
      </c>
      <c r="S688" s="3">
        <f t="shared" si="149"/>
        <v>0.63</v>
      </c>
    </row>
    <row r="689" spans="1:19" x14ac:dyDescent="0.3">
      <c r="A689" t="s">
        <v>1448</v>
      </c>
      <c r="B689" t="s">
        <v>1449</v>
      </c>
      <c r="C689" t="str">
        <f t="shared" si="145"/>
        <v>Steven Moore</v>
      </c>
      <c r="D689" t="s">
        <v>84</v>
      </c>
      <c r="E689" t="str">
        <f t="shared" si="139"/>
        <v>Male</v>
      </c>
      <c r="F689">
        <v>33</v>
      </c>
      <c r="G689" t="s">
        <v>77</v>
      </c>
      <c r="H689" t="s">
        <v>78</v>
      </c>
      <c r="I689" t="s">
        <v>70</v>
      </c>
      <c r="K689" s="4" t="str" cm="1">
        <f t="array" ref="K689">_xlfn.IFS(J689&lt;=5,"0-5",J689&lt;=10,"6-10",J689&lt;=15,"11-15",J689&lt;=20,"16-20",J689&gt;20,"21+")</f>
        <v>0-5</v>
      </c>
      <c r="L689" t="s">
        <v>101</v>
      </c>
      <c r="M689" s="2" t="str">
        <f>TRIM(MID(L689,FIND(" ",L689)+1,LEN(L689)))</f>
        <v>30</v>
      </c>
      <c r="N689" s="8">
        <f t="shared" si="140"/>
        <v>30</v>
      </c>
      <c r="O689">
        <v>4.4000000000000004</v>
      </c>
      <c r="P689" t="b">
        <v>1</v>
      </c>
      <c r="Q689" t="s">
        <v>2073</v>
      </c>
      <c r="R689" s="1">
        <v>0.65</v>
      </c>
      <c r="S689" s="3">
        <f t="shared" si="149"/>
        <v>0.65</v>
      </c>
    </row>
    <row r="690" spans="1:19" x14ac:dyDescent="0.3">
      <c r="A690" t="s">
        <v>1450</v>
      </c>
      <c r="B690" t="s">
        <v>1451</v>
      </c>
      <c r="C690" t="str">
        <f t="shared" si="145"/>
        <v>Megan Hudson</v>
      </c>
      <c r="D690" t="s">
        <v>6</v>
      </c>
      <c r="E690" t="str">
        <f t="shared" si="139"/>
        <v>Female</v>
      </c>
      <c r="F690">
        <v>33</v>
      </c>
      <c r="G690" t="s">
        <v>167</v>
      </c>
      <c r="H690" t="s">
        <v>168</v>
      </c>
      <c r="I690" t="s">
        <v>15</v>
      </c>
      <c r="K690" s="4" t="str" cm="1">
        <f t="array" ref="K690">_xlfn.IFS(J690&lt;=5,"0-5",J690&lt;=10,"6-10",J690&lt;=15,"11-15",J690&lt;=20,"16-20",J690&gt;20,"21+")</f>
        <v>0-5</v>
      </c>
      <c r="N690" s="8" t="str">
        <f t="shared" si="140"/>
        <v/>
      </c>
      <c r="O690">
        <v>4.2</v>
      </c>
      <c r="P690" t="s">
        <v>66</v>
      </c>
      <c r="Q690" t="s">
        <v>2073</v>
      </c>
      <c r="R690" s="1">
        <v>0.9</v>
      </c>
      <c r="S690" s="3">
        <f t="shared" si="149"/>
        <v>0.9</v>
      </c>
    </row>
    <row r="691" spans="1:19" x14ac:dyDescent="0.3">
      <c r="A691" t="s">
        <v>1452</v>
      </c>
      <c r="B691" t="s">
        <v>33</v>
      </c>
      <c r="C691" t="str">
        <f t="shared" si="145"/>
        <v>Lisa Johnson</v>
      </c>
      <c r="D691" t="s">
        <v>69</v>
      </c>
      <c r="E691" t="str">
        <f t="shared" si="139"/>
        <v>Female</v>
      </c>
      <c r="F691">
        <v>52</v>
      </c>
      <c r="G691" t="s">
        <v>120</v>
      </c>
      <c r="H691" t="s">
        <v>14</v>
      </c>
      <c r="I691" t="s">
        <v>65</v>
      </c>
      <c r="J691">
        <v>25</v>
      </c>
      <c r="K691" s="4" t="str" cm="1">
        <f t="array" ref="K691">_xlfn.IFS(J691&lt;=5,"0-5",J691&lt;=10,"6-10",J691&lt;=15,"11-15",J691&lt;=20,"16-20",J691&gt;20,"21+")</f>
        <v>21+</v>
      </c>
      <c r="L691">
        <v>100</v>
      </c>
      <c r="M691" s="2">
        <f>L691</f>
        <v>100</v>
      </c>
      <c r="N691" s="8">
        <f t="shared" si="140"/>
        <v>100</v>
      </c>
      <c r="O691">
        <v>4.8</v>
      </c>
      <c r="P691" t="s">
        <v>23</v>
      </c>
      <c r="Q691" t="s">
        <v>2072</v>
      </c>
    </row>
    <row r="692" spans="1:19" x14ac:dyDescent="0.3">
      <c r="A692" t="s">
        <v>1453</v>
      </c>
      <c r="B692" t="s">
        <v>1454</v>
      </c>
      <c r="C692" t="str">
        <f t="shared" si="145"/>
        <v>Tracy White</v>
      </c>
      <c r="D692" t="s">
        <v>6</v>
      </c>
      <c r="E692" t="str">
        <f t="shared" si="139"/>
        <v>Female</v>
      </c>
      <c r="F692">
        <v>20</v>
      </c>
      <c r="G692" t="s">
        <v>41</v>
      </c>
      <c r="H692" t="s">
        <v>42</v>
      </c>
      <c r="I692" t="s">
        <v>27</v>
      </c>
      <c r="J692">
        <v>1</v>
      </c>
      <c r="K692" s="4" t="str" cm="1">
        <f t="array" ref="K692">_xlfn.IFS(J692&lt;=5,"0-5",J692&lt;=10,"6-10",J692&lt;=15,"11-15",J692&lt;=20,"16-20",J692&gt;20,"21+")</f>
        <v>0-5</v>
      </c>
      <c r="L692" t="s">
        <v>101</v>
      </c>
      <c r="M692" s="2" t="str">
        <f>TRIM(MID(L692,FIND(" ",L692)+1,LEN(L692)))</f>
        <v>30</v>
      </c>
      <c r="N692" s="8">
        <f t="shared" si="140"/>
        <v>30</v>
      </c>
      <c r="O692">
        <v>2</v>
      </c>
      <c r="P692" t="s">
        <v>151</v>
      </c>
      <c r="Q692" t="s">
        <v>2072</v>
      </c>
      <c r="R692" s="1">
        <v>0.89</v>
      </c>
      <c r="S692" s="3">
        <f t="shared" ref="S692:S694" si="150">R692</f>
        <v>0.89</v>
      </c>
    </row>
    <row r="693" spans="1:19" x14ac:dyDescent="0.3">
      <c r="A693" t="s">
        <v>1455</v>
      </c>
      <c r="B693" t="s">
        <v>1456</v>
      </c>
      <c r="C693" t="str">
        <f t="shared" si="145"/>
        <v>Natalie Diaz</v>
      </c>
      <c r="D693" t="s">
        <v>12</v>
      </c>
      <c r="E693" t="str">
        <f t="shared" si="139"/>
        <v>Female</v>
      </c>
      <c r="F693">
        <v>43</v>
      </c>
      <c r="G693" t="s">
        <v>116</v>
      </c>
      <c r="H693" t="s">
        <v>117</v>
      </c>
      <c r="I693" t="s">
        <v>43</v>
      </c>
      <c r="J693">
        <v>7</v>
      </c>
      <c r="K693" s="4" t="str" cm="1">
        <f t="array" ref="K693">_xlfn.IFS(J693&lt;=5,"0-5",J693&lt;=10,"6-10",J693&lt;=15,"11-15",J693&lt;=20,"16-20",J693&gt;20,"21+")</f>
        <v>6-10</v>
      </c>
      <c r="L693" t="s">
        <v>90</v>
      </c>
      <c r="M693" s="2" t="str">
        <f>TRIM(MID(L693,FIND(" ",L693)+1,LEN(L693)))</f>
        <v>50</v>
      </c>
      <c r="N693" s="8">
        <f t="shared" si="140"/>
        <v>50</v>
      </c>
      <c r="P693">
        <v>1</v>
      </c>
      <c r="Q693" t="s">
        <v>2073</v>
      </c>
      <c r="R693" s="1">
        <v>0.8</v>
      </c>
      <c r="S693" s="3">
        <f t="shared" si="150"/>
        <v>0.8</v>
      </c>
    </row>
    <row r="694" spans="1:19" x14ac:dyDescent="0.3">
      <c r="A694" t="s">
        <v>1457</v>
      </c>
      <c r="B694" t="s">
        <v>1413</v>
      </c>
      <c r="C694" t="str">
        <f t="shared" si="145"/>
        <v>Amanda Mitchell</v>
      </c>
      <c r="D694" t="s">
        <v>31</v>
      </c>
      <c r="E694" t="str">
        <f t="shared" si="139"/>
        <v>Female</v>
      </c>
      <c r="F694">
        <v>31</v>
      </c>
      <c r="G694" t="s">
        <v>127</v>
      </c>
      <c r="H694" t="s">
        <v>128</v>
      </c>
      <c r="I694" t="s">
        <v>15</v>
      </c>
      <c r="K694" s="4" t="str" cm="1">
        <f t="array" ref="K694">_xlfn.IFS(J694&lt;=5,"0-5",J694&lt;=10,"6-10",J694&lt;=15,"11-15",J694&lt;=20,"16-20",J694&gt;20,"21+")</f>
        <v>0-5</v>
      </c>
      <c r="L694">
        <v>50</v>
      </c>
      <c r="M694" s="2">
        <f>L694</f>
        <v>50</v>
      </c>
      <c r="N694" s="8">
        <f t="shared" si="140"/>
        <v>50</v>
      </c>
      <c r="O694">
        <v>1.4</v>
      </c>
      <c r="P694" t="s">
        <v>151</v>
      </c>
      <c r="Q694" t="s">
        <v>2072</v>
      </c>
      <c r="R694" s="1">
        <v>0.8</v>
      </c>
      <c r="S694" s="3">
        <f t="shared" si="150"/>
        <v>0.8</v>
      </c>
    </row>
    <row r="695" spans="1:19" x14ac:dyDescent="0.3">
      <c r="A695" t="s">
        <v>1458</v>
      </c>
      <c r="B695" t="s">
        <v>1459</v>
      </c>
      <c r="C695" t="str">
        <f t="shared" si="145"/>
        <v>Karen Scott</v>
      </c>
      <c r="D695" t="s">
        <v>12</v>
      </c>
      <c r="E695" t="str">
        <f t="shared" si="139"/>
        <v>Female</v>
      </c>
      <c r="F695">
        <v>29</v>
      </c>
      <c r="G695" t="s">
        <v>20</v>
      </c>
      <c r="H695" t="s">
        <v>21</v>
      </c>
      <c r="I695" t="s">
        <v>43</v>
      </c>
      <c r="J695">
        <v>6</v>
      </c>
      <c r="K695" s="4" t="str" cm="1">
        <f t="array" ref="K695">_xlfn.IFS(J695&lt;=5,"0-5",J695&lt;=10,"6-10",J695&lt;=15,"11-15",J695&lt;=20,"16-20",J695&gt;20,"21+")</f>
        <v>6-10</v>
      </c>
      <c r="L695">
        <v>100</v>
      </c>
      <c r="M695" s="2">
        <f>L695</f>
        <v>100</v>
      </c>
      <c r="N695" s="8">
        <f t="shared" si="140"/>
        <v>100</v>
      </c>
      <c r="O695">
        <v>1.8</v>
      </c>
      <c r="P695" t="s">
        <v>23</v>
      </c>
      <c r="Q695" t="s">
        <v>2072</v>
      </c>
    </row>
    <row r="696" spans="1:19" x14ac:dyDescent="0.3">
      <c r="A696" t="s">
        <v>1460</v>
      </c>
      <c r="B696" t="s">
        <v>831</v>
      </c>
      <c r="C696" t="str">
        <f t="shared" si="145"/>
        <v>Mary Brown</v>
      </c>
      <c r="D696" t="s">
        <v>12</v>
      </c>
      <c r="E696" t="str">
        <f t="shared" si="139"/>
        <v>Female</v>
      </c>
      <c r="F696">
        <v>53</v>
      </c>
      <c r="G696" t="s">
        <v>145</v>
      </c>
      <c r="H696" t="s">
        <v>146</v>
      </c>
      <c r="I696" t="s">
        <v>22</v>
      </c>
      <c r="J696">
        <v>35</v>
      </c>
      <c r="K696" s="4" t="str" cm="1">
        <f t="array" ref="K696">_xlfn.IFS(J696&lt;=5,"0-5",J696&lt;=10,"6-10",J696&lt;=15,"11-15",J696&lt;=20,"16-20",J696&gt;20,"21+")</f>
        <v>21+</v>
      </c>
      <c r="N696" s="8" t="str">
        <f t="shared" si="140"/>
        <v/>
      </c>
      <c r="O696">
        <v>0</v>
      </c>
      <c r="P696">
        <v>1</v>
      </c>
      <c r="Q696" t="s">
        <v>2073</v>
      </c>
      <c r="R696" s="1">
        <v>0.67</v>
      </c>
      <c r="S696" s="3">
        <f t="shared" ref="S696:S702" si="151">R696</f>
        <v>0.67</v>
      </c>
    </row>
    <row r="697" spans="1:19" x14ac:dyDescent="0.3">
      <c r="A697" t="s">
        <v>1461</v>
      </c>
      <c r="B697" t="s">
        <v>1462</v>
      </c>
      <c r="C697" t="str">
        <f t="shared" si="145"/>
        <v>Jon Jones</v>
      </c>
      <c r="D697" t="s">
        <v>19</v>
      </c>
      <c r="E697" t="str">
        <f t="shared" si="139"/>
        <v>Male</v>
      </c>
      <c r="F697">
        <v>38</v>
      </c>
      <c r="G697" t="s">
        <v>85</v>
      </c>
      <c r="H697" t="s">
        <v>86</v>
      </c>
      <c r="I697" t="s">
        <v>15</v>
      </c>
      <c r="J697">
        <v>1</v>
      </c>
      <c r="K697" s="4" t="str" cm="1">
        <f t="array" ref="K697">_xlfn.IFS(J697&lt;=5,"0-5",J697&lt;=10,"6-10",J697&lt;=15,"11-15",J697&lt;=20,"16-20",J697&gt;20,"21+")</f>
        <v>0-5</v>
      </c>
      <c r="L697" t="s">
        <v>47</v>
      </c>
      <c r="M697" s="2" t="str">
        <f>TRIM(MID(L697,FIND(" ",L697)+1,LEN(L697)))</f>
        <v>40</v>
      </c>
      <c r="N697" s="8">
        <f t="shared" si="140"/>
        <v>40</v>
      </c>
      <c r="O697">
        <v>0</v>
      </c>
      <c r="P697">
        <v>0</v>
      </c>
      <c r="Q697" t="s">
        <v>2072</v>
      </c>
      <c r="R697" s="1">
        <v>0.96</v>
      </c>
      <c r="S697" s="3">
        <f t="shared" si="151"/>
        <v>0.96</v>
      </c>
    </row>
    <row r="698" spans="1:19" x14ac:dyDescent="0.3">
      <c r="A698" t="s">
        <v>1463</v>
      </c>
      <c r="B698" t="s">
        <v>1464</v>
      </c>
      <c r="C698" t="str">
        <f t="shared" si="145"/>
        <v>Jason Phillips</v>
      </c>
      <c r="D698" t="s">
        <v>89</v>
      </c>
      <c r="E698" t="str">
        <f t="shared" si="139"/>
        <v>Male</v>
      </c>
      <c r="F698">
        <v>29</v>
      </c>
      <c r="G698" t="s">
        <v>182</v>
      </c>
      <c r="H698" t="s">
        <v>64</v>
      </c>
      <c r="I698" t="s">
        <v>22</v>
      </c>
      <c r="K698" s="4" t="str" cm="1">
        <f t="array" ref="K698">_xlfn.IFS(J698&lt;=5,"0-5",J698&lt;=10,"6-10",J698&lt;=15,"11-15",J698&lt;=20,"16-20",J698&gt;20,"21+")</f>
        <v>0-5</v>
      </c>
      <c r="L698">
        <v>20</v>
      </c>
      <c r="M698" s="2">
        <f>L698</f>
        <v>20</v>
      </c>
      <c r="N698" s="8">
        <f t="shared" si="140"/>
        <v>20</v>
      </c>
      <c r="O698">
        <v>0</v>
      </c>
      <c r="P698">
        <v>0</v>
      </c>
      <c r="Q698" t="s">
        <v>2072</v>
      </c>
      <c r="R698" s="1">
        <v>0.9</v>
      </c>
      <c r="S698" s="3">
        <f t="shared" si="151"/>
        <v>0.9</v>
      </c>
    </row>
    <row r="699" spans="1:19" x14ac:dyDescent="0.3">
      <c r="A699" t="s">
        <v>1465</v>
      </c>
      <c r="B699" t="s">
        <v>1466</v>
      </c>
      <c r="C699" t="str">
        <f t="shared" si="145"/>
        <v>Eric Walsh</v>
      </c>
      <c r="D699" t="s">
        <v>84</v>
      </c>
      <c r="E699" t="str">
        <f t="shared" si="139"/>
        <v>Male</v>
      </c>
      <c r="F699">
        <v>42</v>
      </c>
      <c r="G699" t="s">
        <v>104</v>
      </c>
      <c r="H699" t="s">
        <v>105</v>
      </c>
      <c r="I699" t="s">
        <v>65</v>
      </c>
      <c r="J699">
        <v>0</v>
      </c>
      <c r="K699" s="4" t="str" cm="1">
        <f t="array" ref="K699">_xlfn.IFS(J699&lt;=5,"0-5",J699&lt;=10,"6-10",J699&lt;=15,"11-15",J699&lt;=20,"16-20",J699&gt;20,"21+")</f>
        <v>0-5</v>
      </c>
      <c r="N699" s="8" t="str">
        <f t="shared" si="140"/>
        <v/>
      </c>
      <c r="O699">
        <v>3.9</v>
      </c>
      <c r="P699" t="b">
        <v>0</v>
      </c>
      <c r="Q699" t="s">
        <v>2072</v>
      </c>
      <c r="R699" s="1">
        <v>0.62</v>
      </c>
      <c r="S699" s="3">
        <f t="shared" si="151"/>
        <v>0.62</v>
      </c>
    </row>
    <row r="700" spans="1:19" x14ac:dyDescent="0.3">
      <c r="A700" t="s">
        <v>1467</v>
      </c>
      <c r="B700" t="s">
        <v>1468</v>
      </c>
      <c r="C700" t="str">
        <f t="shared" si="145"/>
        <v>Carol Schneider</v>
      </c>
      <c r="D700" t="s">
        <v>6</v>
      </c>
      <c r="E700" t="str">
        <f t="shared" si="139"/>
        <v>Female</v>
      </c>
      <c r="F700">
        <v>54</v>
      </c>
      <c r="G700" t="s">
        <v>50</v>
      </c>
      <c r="H700" t="s">
        <v>14</v>
      </c>
      <c r="I700" t="s">
        <v>106</v>
      </c>
      <c r="J700">
        <v>9</v>
      </c>
      <c r="K700" s="4" t="str" cm="1">
        <f t="array" ref="K700">_xlfn.IFS(J700&lt;=5,"0-5",J700&lt;=10,"6-10",J700&lt;=15,"11-15",J700&lt;=20,"16-20",J700&gt;20,"21+")</f>
        <v>6-10</v>
      </c>
      <c r="L700">
        <v>100</v>
      </c>
      <c r="M700" s="2">
        <f>L700</f>
        <v>100</v>
      </c>
      <c r="N700" s="8">
        <f t="shared" si="140"/>
        <v>100</v>
      </c>
      <c r="P700" t="s">
        <v>23</v>
      </c>
      <c r="Q700" t="s">
        <v>2072</v>
      </c>
      <c r="R700" s="1">
        <v>0.72</v>
      </c>
      <c r="S700" s="3">
        <f t="shared" si="151"/>
        <v>0.72</v>
      </c>
    </row>
    <row r="701" spans="1:19" x14ac:dyDescent="0.3">
      <c r="A701" t="s">
        <v>1469</v>
      </c>
      <c r="B701" t="s">
        <v>1470</v>
      </c>
      <c r="C701" t="str">
        <f t="shared" si="145"/>
        <v>Juan Hines</v>
      </c>
      <c r="D701" t="s">
        <v>53</v>
      </c>
      <c r="E701" t="str">
        <f t="shared" si="139"/>
        <v>Male</v>
      </c>
      <c r="F701">
        <v>56</v>
      </c>
      <c r="G701" t="s">
        <v>167</v>
      </c>
      <c r="H701" t="s">
        <v>168</v>
      </c>
      <c r="I701" t="s">
        <v>65</v>
      </c>
      <c r="J701">
        <v>18</v>
      </c>
      <c r="K701" s="4" t="str" cm="1">
        <f t="array" ref="K701">_xlfn.IFS(J701&lt;=5,"0-5",J701&lt;=10,"6-10",J701&lt;=15,"11-15",J701&lt;=20,"16-20",J701&gt;20,"21+")</f>
        <v>16-20</v>
      </c>
      <c r="L701" t="s">
        <v>90</v>
      </c>
      <c r="M701" s="2" t="str">
        <f>TRIM(MID(L701,FIND(" ",L701)+1,LEN(L701)))</f>
        <v>50</v>
      </c>
      <c r="N701" s="8">
        <f t="shared" si="140"/>
        <v>50</v>
      </c>
      <c r="O701">
        <v>4.4000000000000004</v>
      </c>
      <c r="P701" t="s">
        <v>66</v>
      </c>
      <c r="Q701" t="s">
        <v>2073</v>
      </c>
      <c r="R701" s="1">
        <v>0.83</v>
      </c>
      <c r="S701" s="3">
        <f t="shared" si="151"/>
        <v>0.83</v>
      </c>
    </row>
    <row r="702" spans="1:19" x14ac:dyDescent="0.3">
      <c r="A702" t="s">
        <v>1471</v>
      </c>
      <c r="B702" t="s">
        <v>1472</v>
      </c>
      <c r="C702" t="str">
        <f t="shared" si="145"/>
        <v>Martha Sweeney</v>
      </c>
      <c r="D702" t="s">
        <v>6</v>
      </c>
      <c r="E702" t="str">
        <f t="shared" si="139"/>
        <v>Female</v>
      </c>
      <c r="F702">
        <v>47</v>
      </c>
      <c r="G702" t="s">
        <v>54</v>
      </c>
      <c r="H702" t="s">
        <v>55</v>
      </c>
      <c r="I702" t="s">
        <v>22</v>
      </c>
      <c r="J702">
        <v>22</v>
      </c>
      <c r="K702" s="4" t="str" cm="1">
        <f t="array" ref="K702">_xlfn.IFS(J702&lt;=5,"0-5",J702&lt;=10,"6-10",J702&lt;=15,"11-15",J702&lt;=20,"16-20",J702&gt;20,"21+")</f>
        <v>21+</v>
      </c>
      <c r="L702">
        <v>100</v>
      </c>
      <c r="M702" s="2">
        <f>L702</f>
        <v>100</v>
      </c>
      <c r="N702" s="8">
        <f t="shared" si="140"/>
        <v>100</v>
      </c>
      <c r="O702">
        <v>4.4000000000000004</v>
      </c>
      <c r="P702" t="s">
        <v>151</v>
      </c>
      <c r="Q702" t="s">
        <v>2072</v>
      </c>
      <c r="R702" s="1">
        <v>0.7</v>
      </c>
      <c r="S702" s="3">
        <f t="shared" si="151"/>
        <v>0.7</v>
      </c>
    </row>
    <row r="703" spans="1:19" x14ac:dyDescent="0.3">
      <c r="A703" t="s">
        <v>1473</v>
      </c>
      <c r="B703" t="s">
        <v>1474</v>
      </c>
      <c r="C703" t="str">
        <f t="shared" si="145"/>
        <v>Jason Weaver</v>
      </c>
      <c r="D703" t="s">
        <v>40</v>
      </c>
      <c r="E703" t="str">
        <f t="shared" si="139"/>
        <v>Male</v>
      </c>
      <c r="F703">
        <v>45</v>
      </c>
      <c r="G703" t="s">
        <v>116</v>
      </c>
      <c r="H703" t="s">
        <v>117</v>
      </c>
      <c r="I703" t="s">
        <v>9</v>
      </c>
      <c r="J703">
        <v>25</v>
      </c>
      <c r="K703" s="4" t="str" cm="1">
        <f t="array" ref="K703">_xlfn.IFS(J703&lt;=5,"0-5",J703&lt;=10,"6-10",J703&lt;=15,"11-15",J703&lt;=20,"16-20",J703&gt;20,"21+")</f>
        <v>21+</v>
      </c>
      <c r="L703">
        <v>50</v>
      </c>
      <c r="M703" s="2">
        <f>L703</f>
        <v>50</v>
      </c>
      <c r="N703" s="8">
        <f t="shared" si="140"/>
        <v>50</v>
      </c>
      <c r="O703">
        <v>0</v>
      </c>
      <c r="P703" t="s">
        <v>151</v>
      </c>
      <c r="Q703" t="s">
        <v>2072</v>
      </c>
      <c r="R703">
        <v>99</v>
      </c>
      <c r="S703" s="3">
        <f t="shared" ref="S703:S704" si="152">R703/100</f>
        <v>0.99</v>
      </c>
    </row>
    <row r="704" spans="1:19" x14ac:dyDescent="0.3">
      <c r="A704" t="s">
        <v>1475</v>
      </c>
      <c r="B704" t="s">
        <v>1476</v>
      </c>
      <c r="C704" t="str">
        <f t="shared" si="145"/>
        <v>Benjamin Stevens</v>
      </c>
      <c r="D704" t="s">
        <v>84</v>
      </c>
      <c r="E704" t="str">
        <f t="shared" si="139"/>
        <v>Male</v>
      </c>
      <c r="F704">
        <v>45</v>
      </c>
      <c r="G704" t="s">
        <v>167</v>
      </c>
      <c r="H704" t="s">
        <v>168</v>
      </c>
      <c r="I704" t="s">
        <v>43</v>
      </c>
      <c r="J704">
        <v>6</v>
      </c>
      <c r="K704" s="4" t="str" cm="1">
        <f t="array" ref="K704">_xlfn.IFS(J704&lt;=5,"0-5",J704&lt;=10,"6-10",J704&lt;=15,"11-15",J704&lt;=20,"16-20",J704&gt;20,"21+")</f>
        <v>6-10</v>
      </c>
      <c r="L704">
        <v>50</v>
      </c>
      <c r="M704" s="2">
        <f>L704</f>
        <v>50</v>
      </c>
      <c r="N704" s="8">
        <f t="shared" si="140"/>
        <v>50</v>
      </c>
      <c r="O704">
        <v>1.4</v>
      </c>
      <c r="R704">
        <v>97</v>
      </c>
      <c r="S704" s="3">
        <f t="shared" si="152"/>
        <v>0.97</v>
      </c>
    </row>
    <row r="705" spans="1:19" x14ac:dyDescent="0.3">
      <c r="A705" t="s">
        <v>1477</v>
      </c>
      <c r="B705" t="s">
        <v>1478</v>
      </c>
      <c r="C705" t="str">
        <f t="shared" si="145"/>
        <v>Daniel Lopez</v>
      </c>
      <c r="D705" t="s">
        <v>84</v>
      </c>
      <c r="E705" t="str">
        <f t="shared" si="139"/>
        <v>Male</v>
      </c>
      <c r="F705">
        <v>35</v>
      </c>
      <c r="G705" t="s">
        <v>120</v>
      </c>
      <c r="H705" t="s">
        <v>14</v>
      </c>
      <c r="I705" t="s">
        <v>106</v>
      </c>
      <c r="J705">
        <v>10</v>
      </c>
      <c r="K705" s="4" t="str" cm="1">
        <f t="array" ref="K705">_xlfn.IFS(J705&lt;=5,"0-5",J705&lt;=10,"6-10",J705&lt;=15,"11-15",J705&lt;=20,"16-20",J705&gt;20,"21+")</f>
        <v>6-10</v>
      </c>
      <c r="L705">
        <v>20</v>
      </c>
      <c r="M705" s="2">
        <f>L705</f>
        <v>20</v>
      </c>
      <c r="N705" s="8">
        <f t="shared" si="140"/>
        <v>20</v>
      </c>
      <c r="O705">
        <v>3.2</v>
      </c>
      <c r="P705" t="b">
        <v>1</v>
      </c>
      <c r="Q705" t="s">
        <v>2073</v>
      </c>
      <c r="R705" s="1">
        <v>0.77</v>
      </c>
      <c r="S705" s="3">
        <f t="shared" ref="S705:S708" si="153">R705</f>
        <v>0.77</v>
      </c>
    </row>
    <row r="706" spans="1:19" x14ac:dyDescent="0.3">
      <c r="A706" t="s">
        <v>1479</v>
      </c>
      <c r="B706" t="s">
        <v>1480</v>
      </c>
      <c r="C706" t="str">
        <f t="shared" si="145"/>
        <v>John Simpson</v>
      </c>
      <c r="D706" t="s">
        <v>19</v>
      </c>
      <c r="E706" t="str">
        <f t="shared" ref="E706:E769" si="154">IF(LOWER(LEFT(D706,1))="f","Female","Male")</f>
        <v>Male</v>
      </c>
      <c r="F706">
        <v>51</v>
      </c>
      <c r="G706" t="s">
        <v>120</v>
      </c>
      <c r="H706" t="s">
        <v>14</v>
      </c>
      <c r="I706" t="s">
        <v>81</v>
      </c>
      <c r="J706">
        <v>4</v>
      </c>
      <c r="K706" s="4" t="str" cm="1">
        <f t="array" ref="K706">_xlfn.IFS(J706&lt;=5,"0-5",J706&lt;=10,"6-10",J706&lt;=15,"11-15",J706&lt;=20,"16-20",J706&gt;20,"21+")</f>
        <v>0-5</v>
      </c>
      <c r="L706" t="s">
        <v>90</v>
      </c>
      <c r="M706" s="2" t="str">
        <f>TRIM(MID(L706,FIND(" ",L706)+1,LEN(L706)))</f>
        <v>50</v>
      </c>
      <c r="N706" s="8">
        <f t="shared" si="140"/>
        <v>50</v>
      </c>
      <c r="O706">
        <v>2</v>
      </c>
      <c r="P706" t="s">
        <v>151</v>
      </c>
      <c r="Q706" t="s">
        <v>2072</v>
      </c>
      <c r="R706" s="1">
        <v>0.92</v>
      </c>
      <c r="S706" s="3">
        <f t="shared" si="153"/>
        <v>0.92</v>
      </c>
    </row>
    <row r="707" spans="1:19" x14ac:dyDescent="0.3">
      <c r="A707" t="s">
        <v>1481</v>
      </c>
      <c r="B707" t="s">
        <v>1482</v>
      </c>
      <c r="C707" t="str">
        <f t="shared" si="145"/>
        <v>Katrina Schultz</v>
      </c>
      <c r="D707" t="s">
        <v>26</v>
      </c>
      <c r="E707" t="str">
        <f t="shared" si="154"/>
        <v>Female</v>
      </c>
      <c r="F707">
        <v>34</v>
      </c>
      <c r="G707" t="s">
        <v>182</v>
      </c>
      <c r="H707" t="s">
        <v>64</v>
      </c>
      <c r="I707" t="s">
        <v>15</v>
      </c>
      <c r="J707">
        <v>11</v>
      </c>
      <c r="K707" s="4" t="str" cm="1">
        <f t="array" ref="K707">_xlfn.IFS(J707&lt;=5,"0-5",J707&lt;=10,"6-10",J707&lt;=15,"11-15",J707&lt;=20,"16-20",J707&gt;20,"21+")</f>
        <v>11-15</v>
      </c>
      <c r="L707">
        <v>50</v>
      </c>
      <c r="M707" s="2">
        <f>L707</f>
        <v>50</v>
      </c>
      <c r="N707" s="8">
        <f t="shared" ref="N707:N770" si="155">IF(M707="", "", VALUE(M707))</f>
        <v>50</v>
      </c>
      <c r="O707">
        <v>3.3</v>
      </c>
      <c r="P707" t="s">
        <v>60</v>
      </c>
      <c r="Q707" t="s">
        <v>2073</v>
      </c>
      <c r="R707" s="1">
        <v>0.76</v>
      </c>
      <c r="S707" s="3">
        <f t="shared" si="153"/>
        <v>0.76</v>
      </c>
    </row>
    <row r="708" spans="1:19" x14ac:dyDescent="0.3">
      <c r="A708" t="s">
        <v>1483</v>
      </c>
      <c r="B708" t="s">
        <v>1484</v>
      </c>
      <c r="C708" t="str">
        <f t="shared" si="145"/>
        <v>Danielle Bell</v>
      </c>
      <c r="D708" t="s">
        <v>12</v>
      </c>
      <c r="E708" t="str">
        <f t="shared" si="154"/>
        <v>Female</v>
      </c>
      <c r="F708">
        <v>51</v>
      </c>
      <c r="G708" t="s">
        <v>41</v>
      </c>
      <c r="H708" t="s">
        <v>42</v>
      </c>
      <c r="I708" t="s">
        <v>22</v>
      </c>
      <c r="J708">
        <v>1</v>
      </c>
      <c r="K708" s="4" t="str" cm="1">
        <f t="array" ref="K708">_xlfn.IFS(J708&lt;=5,"0-5",J708&lt;=10,"6-10",J708&lt;=15,"11-15",J708&lt;=20,"16-20",J708&gt;20,"21+")</f>
        <v>0-5</v>
      </c>
      <c r="L708" t="s">
        <v>56</v>
      </c>
      <c r="M708" s="2" t="str">
        <f>SUBSTITUTE(L708,"$","")</f>
        <v>50</v>
      </c>
      <c r="N708" s="8">
        <f t="shared" si="155"/>
        <v>50</v>
      </c>
      <c r="O708">
        <v>0</v>
      </c>
      <c r="P708" t="s">
        <v>66</v>
      </c>
      <c r="Q708" t="s">
        <v>2073</v>
      </c>
      <c r="R708" s="1">
        <v>0.97</v>
      </c>
      <c r="S708" s="3">
        <f t="shared" si="153"/>
        <v>0.97</v>
      </c>
    </row>
    <row r="709" spans="1:19" x14ac:dyDescent="0.3">
      <c r="A709" t="s">
        <v>1485</v>
      </c>
      <c r="B709" t="s">
        <v>1486</v>
      </c>
      <c r="C709" t="str">
        <f t="shared" si="145"/>
        <v>Jason Brady</v>
      </c>
      <c r="D709" t="s">
        <v>84</v>
      </c>
      <c r="E709" t="str">
        <f t="shared" si="154"/>
        <v>Male</v>
      </c>
      <c r="F709">
        <v>58</v>
      </c>
      <c r="G709" t="s">
        <v>131</v>
      </c>
      <c r="H709" t="s">
        <v>132</v>
      </c>
      <c r="I709" t="s">
        <v>22</v>
      </c>
      <c r="J709">
        <v>35</v>
      </c>
      <c r="K709" s="4" t="str" cm="1">
        <f t="array" ref="K709">_xlfn.IFS(J709&lt;=5,"0-5",J709&lt;=10,"6-10",J709&lt;=15,"11-15",J709&lt;=20,"16-20",J709&gt;20,"21+")</f>
        <v>21+</v>
      </c>
      <c r="L709" t="s">
        <v>16</v>
      </c>
      <c r="M709" s="2" t="str">
        <f>TRIM(MID(L709,FIND(" ",L709)+1,LEN(L709)))</f>
        <v>100</v>
      </c>
      <c r="N709" s="8">
        <f t="shared" si="155"/>
        <v>100</v>
      </c>
      <c r="O709">
        <v>2.2999999999999998</v>
      </c>
      <c r="P709" t="s">
        <v>66</v>
      </c>
      <c r="Q709" t="s">
        <v>2073</v>
      </c>
    </row>
    <row r="710" spans="1:19" x14ac:dyDescent="0.3">
      <c r="A710" t="s">
        <v>1487</v>
      </c>
      <c r="B710" t="s">
        <v>1488</v>
      </c>
      <c r="C710" t="str">
        <f t="shared" si="145"/>
        <v>Megan Bright</v>
      </c>
      <c r="D710" t="s">
        <v>6</v>
      </c>
      <c r="E710" t="str">
        <f t="shared" si="154"/>
        <v>Female</v>
      </c>
      <c r="F710">
        <v>36</v>
      </c>
      <c r="G710" t="s">
        <v>34</v>
      </c>
      <c r="H710" t="s">
        <v>35</v>
      </c>
      <c r="I710" t="s">
        <v>27</v>
      </c>
      <c r="J710">
        <v>17</v>
      </c>
      <c r="K710" s="4" t="str" cm="1">
        <f t="array" ref="K710">_xlfn.IFS(J710&lt;=5,"0-5",J710&lt;=10,"6-10",J710&lt;=15,"11-15",J710&lt;=20,"16-20",J710&gt;20,"21+")</f>
        <v>16-20</v>
      </c>
      <c r="L710" t="s">
        <v>113</v>
      </c>
      <c r="M710" s="2" t="str">
        <f>SUBSTITUTE(L710,"$","")</f>
        <v>20</v>
      </c>
      <c r="N710" s="8">
        <f t="shared" si="155"/>
        <v>20</v>
      </c>
      <c r="O710">
        <v>0</v>
      </c>
      <c r="P710">
        <v>1</v>
      </c>
      <c r="Q710" t="s">
        <v>2073</v>
      </c>
      <c r="R710">
        <v>99</v>
      </c>
      <c r="S710" s="3">
        <f>R710/100</f>
        <v>0.99</v>
      </c>
    </row>
    <row r="711" spans="1:19" x14ac:dyDescent="0.3">
      <c r="A711" t="s">
        <v>1489</v>
      </c>
      <c r="B711" t="s">
        <v>1490</v>
      </c>
      <c r="C711" t="str">
        <f t="shared" si="145"/>
        <v>David Griffin</v>
      </c>
      <c r="D711" t="s">
        <v>53</v>
      </c>
      <c r="E711" t="str">
        <f t="shared" si="154"/>
        <v>Male</v>
      </c>
      <c r="G711" t="s">
        <v>116</v>
      </c>
      <c r="H711" t="s">
        <v>117</v>
      </c>
      <c r="I711" t="s">
        <v>36</v>
      </c>
      <c r="J711">
        <v>12</v>
      </c>
      <c r="K711" s="4" t="str" cm="1">
        <f t="array" ref="K711">_xlfn.IFS(J711&lt;=5,"0-5",J711&lt;=10,"6-10",J711&lt;=15,"11-15",J711&lt;=20,"16-20",J711&gt;20,"21+")</f>
        <v>11-15</v>
      </c>
      <c r="L711">
        <v>30</v>
      </c>
      <c r="M711" s="2">
        <f>L711</f>
        <v>30</v>
      </c>
      <c r="N711" s="8">
        <f t="shared" si="155"/>
        <v>30</v>
      </c>
      <c r="O711">
        <v>2.6</v>
      </c>
      <c r="P711" t="s">
        <v>66</v>
      </c>
      <c r="Q711" t="s">
        <v>2073</v>
      </c>
    </row>
    <row r="712" spans="1:19" x14ac:dyDescent="0.3">
      <c r="A712" t="s">
        <v>1491</v>
      </c>
      <c r="B712" t="s">
        <v>1492</v>
      </c>
      <c r="C712" t="str">
        <f t="shared" si="145"/>
        <v>Michael Clark</v>
      </c>
      <c r="D712" t="s">
        <v>84</v>
      </c>
      <c r="E712" t="str">
        <f t="shared" si="154"/>
        <v>Male</v>
      </c>
      <c r="F712">
        <v>56</v>
      </c>
      <c r="G712" t="s">
        <v>145</v>
      </c>
      <c r="H712" t="s">
        <v>146</v>
      </c>
      <c r="I712" t="s">
        <v>106</v>
      </c>
      <c r="J712">
        <v>30</v>
      </c>
      <c r="K712" s="4" t="str" cm="1">
        <f t="array" ref="K712">_xlfn.IFS(J712&lt;=5,"0-5",J712&lt;=10,"6-10",J712&lt;=15,"11-15",J712&lt;=20,"16-20",J712&gt;20,"21+")</f>
        <v>21+</v>
      </c>
      <c r="L712">
        <v>40</v>
      </c>
      <c r="M712" s="2">
        <f>L712</f>
        <v>40</v>
      </c>
      <c r="N712" s="8">
        <f t="shared" si="155"/>
        <v>40</v>
      </c>
      <c r="O712">
        <v>3.3</v>
      </c>
      <c r="P712" t="s">
        <v>60</v>
      </c>
      <c r="Q712" t="s">
        <v>2073</v>
      </c>
      <c r="R712" s="1">
        <v>0.82</v>
      </c>
      <c r="S712" s="3">
        <f t="shared" ref="S712:S713" si="156">R712</f>
        <v>0.82</v>
      </c>
    </row>
    <row r="713" spans="1:19" x14ac:dyDescent="0.3">
      <c r="A713" t="s">
        <v>1493</v>
      </c>
      <c r="B713" t="s">
        <v>1494</v>
      </c>
      <c r="C713" t="str">
        <f t="shared" si="145"/>
        <v>Rebecca Barker</v>
      </c>
      <c r="D713" t="s">
        <v>6</v>
      </c>
      <c r="E713" t="str">
        <f t="shared" si="154"/>
        <v>Female</v>
      </c>
      <c r="F713">
        <v>58</v>
      </c>
      <c r="G713" t="s">
        <v>120</v>
      </c>
      <c r="H713" t="s">
        <v>14</v>
      </c>
      <c r="I713" t="s">
        <v>70</v>
      </c>
      <c r="J713">
        <v>20</v>
      </c>
      <c r="K713" s="4" t="str" cm="1">
        <f t="array" ref="K713">_xlfn.IFS(J713&lt;=5,"0-5",J713&lt;=10,"6-10",J713&lt;=15,"11-15",J713&lt;=20,"16-20",J713&gt;20,"21+")</f>
        <v>16-20</v>
      </c>
      <c r="L713">
        <v>75</v>
      </c>
      <c r="M713" s="2">
        <f>L713</f>
        <v>75</v>
      </c>
      <c r="N713" s="8">
        <f t="shared" si="155"/>
        <v>75</v>
      </c>
      <c r="O713">
        <v>3.6</v>
      </c>
      <c r="P713" t="s">
        <v>60</v>
      </c>
      <c r="Q713" t="s">
        <v>2073</v>
      </c>
      <c r="R713" s="1">
        <v>0.78</v>
      </c>
      <c r="S713" s="3">
        <f t="shared" si="156"/>
        <v>0.78</v>
      </c>
    </row>
    <row r="714" spans="1:19" x14ac:dyDescent="0.3">
      <c r="A714" t="s">
        <v>1495</v>
      </c>
      <c r="B714" t="s">
        <v>1496</v>
      </c>
      <c r="C714" t="str">
        <f t="shared" si="145"/>
        <v>Angela Smith</v>
      </c>
      <c r="D714" t="s">
        <v>6</v>
      </c>
      <c r="E714" t="str">
        <f t="shared" si="154"/>
        <v>Female</v>
      </c>
      <c r="F714">
        <v>58</v>
      </c>
      <c r="G714" t="s">
        <v>50</v>
      </c>
      <c r="H714" t="s">
        <v>14</v>
      </c>
      <c r="I714" t="s">
        <v>70</v>
      </c>
      <c r="J714">
        <v>22</v>
      </c>
      <c r="K714" s="4" t="str" cm="1">
        <f t="array" ref="K714">_xlfn.IFS(J714&lt;=5,"0-5",J714&lt;=10,"6-10",J714&lt;=15,"11-15",J714&lt;=20,"16-20",J714&gt;20,"21+")</f>
        <v>21+</v>
      </c>
      <c r="L714">
        <v>100</v>
      </c>
      <c r="M714" s="2">
        <f>L714</f>
        <v>100</v>
      </c>
      <c r="N714" s="8">
        <f t="shared" si="155"/>
        <v>100</v>
      </c>
      <c r="O714">
        <v>3.7</v>
      </c>
      <c r="P714">
        <v>0</v>
      </c>
      <c r="Q714" t="s">
        <v>2072</v>
      </c>
    </row>
    <row r="715" spans="1:19" x14ac:dyDescent="0.3">
      <c r="A715" t="s">
        <v>1497</v>
      </c>
      <c r="B715" t="s">
        <v>1498</v>
      </c>
      <c r="C715" t="str">
        <f t="shared" si="145"/>
        <v>Christina Wright</v>
      </c>
      <c r="D715" t="s">
        <v>26</v>
      </c>
      <c r="E715" t="str">
        <f t="shared" si="154"/>
        <v>Female</v>
      </c>
      <c r="F715">
        <v>54</v>
      </c>
      <c r="G715" t="s">
        <v>59</v>
      </c>
      <c r="H715" t="s">
        <v>14</v>
      </c>
      <c r="I715" t="s">
        <v>36</v>
      </c>
      <c r="J715">
        <v>32</v>
      </c>
      <c r="K715" s="4" t="str" cm="1">
        <f t="array" ref="K715">_xlfn.IFS(J715&lt;=5,"0-5",J715&lt;=10,"6-10",J715&lt;=15,"11-15",J715&lt;=20,"16-20",J715&gt;20,"21+")</f>
        <v>21+</v>
      </c>
      <c r="L715" t="s">
        <v>113</v>
      </c>
      <c r="M715" s="2" t="str">
        <f>SUBSTITUTE(L715,"$","")</f>
        <v>20</v>
      </c>
      <c r="N715" s="8">
        <f t="shared" si="155"/>
        <v>20</v>
      </c>
      <c r="O715">
        <v>3.4</v>
      </c>
      <c r="P715" t="s">
        <v>151</v>
      </c>
      <c r="Q715" t="s">
        <v>2072</v>
      </c>
    </row>
    <row r="716" spans="1:19" x14ac:dyDescent="0.3">
      <c r="A716" t="s">
        <v>1499</v>
      </c>
      <c r="B716" t="s">
        <v>1500</v>
      </c>
      <c r="C716" t="str">
        <f t="shared" si="145"/>
        <v>Todd Turner</v>
      </c>
      <c r="D716" t="s">
        <v>19</v>
      </c>
      <c r="E716" t="str">
        <f t="shared" si="154"/>
        <v>Male</v>
      </c>
      <c r="F716">
        <v>53</v>
      </c>
      <c r="G716" t="s">
        <v>13</v>
      </c>
      <c r="H716" t="s">
        <v>14</v>
      </c>
      <c r="I716" t="s">
        <v>65</v>
      </c>
      <c r="J716">
        <v>9</v>
      </c>
      <c r="K716" s="4" t="str" cm="1">
        <f t="array" ref="K716">_xlfn.IFS(J716&lt;=5,"0-5",J716&lt;=10,"6-10",J716&lt;=15,"11-15",J716&lt;=20,"16-20",J716&gt;20,"21+")</f>
        <v>6-10</v>
      </c>
      <c r="L716">
        <v>50</v>
      </c>
      <c r="M716" s="2">
        <f>L716</f>
        <v>50</v>
      </c>
      <c r="N716" s="8">
        <f t="shared" si="155"/>
        <v>50</v>
      </c>
      <c r="O716">
        <v>4</v>
      </c>
      <c r="P716" t="s">
        <v>66</v>
      </c>
      <c r="Q716" t="s">
        <v>2073</v>
      </c>
      <c r="R716" s="1">
        <v>0.72</v>
      </c>
      <c r="S716" s="3">
        <f>R716</f>
        <v>0.72</v>
      </c>
    </row>
    <row r="717" spans="1:19" x14ac:dyDescent="0.3">
      <c r="A717" t="s">
        <v>1501</v>
      </c>
      <c r="B717" t="s">
        <v>1502</v>
      </c>
      <c r="C717" t="str">
        <f t="shared" si="145"/>
        <v>Elizabeth Green</v>
      </c>
      <c r="D717" t="s">
        <v>69</v>
      </c>
      <c r="E717" t="str">
        <f t="shared" si="154"/>
        <v>Female</v>
      </c>
      <c r="F717">
        <v>43</v>
      </c>
      <c r="G717" t="s">
        <v>13</v>
      </c>
      <c r="H717" t="s">
        <v>14</v>
      </c>
      <c r="I717" t="s">
        <v>27</v>
      </c>
      <c r="J717">
        <v>22</v>
      </c>
      <c r="K717" s="4" t="str" cm="1">
        <f t="array" ref="K717">_xlfn.IFS(J717&lt;=5,"0-5",J717&lt;=10,"6-10",J717&lt;=15,"11-15",J717&lt;=20,"16-20",J717&gt;20,"21+")</f>
        <v>21+</v>
      </c>
      <c r="L717">
        <v>40</v>
      </c>
      <c r="M717" s="2">
        <f>L717</f>
        <v>40</v>
      </c>
      <c r="N717" s="8">
        <f t="shared" si="155"/>
        <v>40</v>
      </c>
      <c r="O717">
        <v>4.5</v>
      </c>
    </row>
    <row r="718" spans="1:19" x14ac:dyDescent="0.3">
      <c r="A718" t="s">
        <v>1503</v>
      </c>
      <c r="B718" t="s">
        <v>1504</v>
      </c>
      <c r="C718" t="str">
        <f t="shared" si="145"/>
        <v>Alex Smith</v>
      </c>
      <c r="D718" t="s">
        <v>84</v>
      </c>
      <c r="E718" t="str">
        <f t="shared" si="154"/>
        <v>Male</v>
      </c>
      <c r="F718">
        <v>44</v>
      </c>
      <c r="G718" t="s">
        <v>104</v>
      </c>
      <c r="H718" t="s">
        <v>105</v>
      </c>
      <c r="I718" t="s">
        <v>106</v>
      </c>
      <c r="J718">
        <v>1</v>
      </c>
      <c r="K718" s="4" t="str" cm="1">
        <f t="array" ref="K718">_xlfn.IFS(J718&lt;=5,"0-5",J718&lt;=10,"6-10",J718&lt;=15,"11-15",J718&lt;=20,"16-20",J718&gt;20,"21+")</f>
        <v>0-5</v>
      </c>
      <c r="L718">
        <v>75</v>
      </c>
      <c r="M718" s="2">
        <f>L718</f>
        <v>75</v>
      </c>
      <c r="N718" s="8">
        <f t="shared" si="155"/>
        <v>75</v>
      </c>
      <c r="O718">
        <v>4.3</v>
      </c>
      <c r="P718">
        <v>1</v>
      </c>
      <c r="Q718" t="s">
        <v>2073</v>
      </c>
    </row>
    <row r="719" spans="1:19" x14ac:dyDescent="0.3">
      <c r="A719" t="s">
        <v>1505</v>
      </c>
      <c r="B719" t="s">
        <v>1506</v>
      </c>
      <c r="C719" t="str">
        <f t="shared" si="145"/>
        <v>Shane Hale</v>
      </c>
      <c r="D719" t="s">
        <v>84</v>
      </c>
      <c r="E719" t="str">
        <f t="shared" si="154"/>
        <v>Male</v>
      </c>
      <c r="F719">
        <v>34</v>
      </c>
      <c r="G719" t="s">
        <v>120</v>
      </c>
      <c r="H719" t="s">
        <v>14</v>
      </c>
      <c r="I719" t="s">
        <v>70</v>
      </c>
      <c r="J719">
        <v>4</v>
      </c>
      <c r="K719" s="4" t="str" cm="1">
        <f t="array" ref="K719">_xlfn.IFS(J719&lt;=5,"0-5",J719&lt;=10,"6-10",J719&lt;=15,"11-15",J719&lt;=20,"16-20",J719&gt;20,"21+")</f>
        <v>0-5</v>
      </c>
      <c r="L719">
        <v>75</v>
      </c>
      <c r="M719" s="2">
        <f>L719</f>
        <v>75</v>
      </c>
      <c r="N719" s="8">
        <f t="shared" si="155"/>
        <v>75</v>
      </c>
      <c r="O719">
        <v>4</v>
      </c>
      <c r="P719">
        <v>1</v>
      </c>
      <c r="Q719" t="s">
        <v>2073</v>
      </c>
    </row>
    <row r="720" spans="1:19" x14ac:dyDescent="0.3">
      <c r="A720" t="s">
        <v>1507</v>
      </c>
      <c r="B720" t="s">
        <v>1508</v>
      </c>
      <c r="C720" t="str">
        <f t="shared" si="145"/>
        <v>Kathy Grimes</v>
      </c>
      <c r="D720" t="s">
        <v>31</v>
      </c>
      <c r="E720" t="str">
        <f t="shared" si="154"/>
        <v>Female</v>
      </c>
      <c r="F720">
        <v>27</v>
      </c>
      <c r="G720" t="s">
        <v>99</v>
      </c>
      <c r="H720" t="s">
        <v>100</v>
      </c>
      <c r="I720" t="s">
        <v>15</v>
      </c>
      <c r="J720">
        <v>8</v>
      </c>
      <c r="K720" s="4" t="str" cm="1">
        <f t="array" ref="K720">_xlfn.IFS(J720&lt;=5,"0-5",J720&lt;=10,"6-10",J720&lt;=15,"11-15",J720&lt;=20,"16-20",J720&gt;20,"21+")</f>
        <v>6-10</v>
      </c>
      <c r="L720" t="s">
        <v>56</v>
      </c>
      <c r="M720" s="2" t="str">
        <f>SUBSTITUTE(L720,"$","")</f>
        <v>50</v>
      </c>
      <c r="N720" s="8">
        <f t="shared" si="155"/>
        <v>50</v>
      </c>
      <c r="O720">
        <v>1.6</v>
      </c>
      <c r="P720" t="s">
        <v>60</v>
      </c>
      <c r="Q720" t="s">
        <v>2073</v>
      </c>
    </row>
    <row r="721" spans="1:19" x14ac:dyDescent="0.3">
      <c r="A721" t="s">
        <v>1509</v>
      </c>
      <c r="B721" t="s">
        <v>1510</v>
      </c>
      <c r="C721" t="str">
        <f t="shared" si="145"/>
        <v>David Cherry</v>
      </c>
      <c r="D721" t="s">
        <v>40</v>
      </c>
      <c r="E721" t="str">
        <f t="shared" si="154"/>
        <v>Male</v>
      </c>
      <c r="F721">
        <v>50</v>
      </c>
      <c r="G721" t="s">
        <v>77</v>
      </c>
      <c r="H721" t="s">
        <v>78</v>
      </c>
      <c r="I721" t="s">
        <v>43</v>
      </c>
      <c r="J721">
        <v>3</v>
      </c>
      <c r="K721" s="4" t="str" cm="1">
        <f t="array" ref="K721">_xlfn.IFS(J721&lt;=5,"0-5",J721&lt;=10,"6-10",J721&lt;=15,"11-15",J721&lt;=20,"16-20",J721&gt;20,"21+")</f>
        <v>0-5</v>
      </c>
      <c r="L721">
        <v>100</v>
      </c>
      <c r="M721" s="2">
        <f>L721</f>
        <v>100</v>
      </c>
      <c r="N721" s="8">
        <f t="shared" si="155"/>
        <v>100</v>
      </c>
      <c r="O721">
        <v>0</v>
      </c>
      <c r="P721" t="s">
        <v>66</v>
      </c>
      <c r="Q721" t="s">
        <v>2073</v>
      </c>
    </row>
    <row r="722" spans="1:19" x14ac:dyDescent="0.3">
      <c r="A722" t="s">
        <v>1511</v>
      </c>
      <c r="B722" t="s">
        <v>1512</v>
      </c>
      <c r="C722" t="str">
        <f t="shared" si="145"/>
        <v>Rachel Rogers</v>
      </c>
      <c r="D722" t="s">
        <v>31</v>
      </c>
      <c r="E722" t="str">
        <f t="shared" si="154"/>
        <v>Female</v>
      </c>
      <c r="F722">
        <v>52</v>
      </c>
      <c r="G722" t="s">
        <v>104</v>
      </c>
      <c r="H722" t="s">
        <v>105</v>
      </c>
      <c r="I722" t="s">
        <v>65</v>
      </c>
      <c r="J722">
        <v>30</v>
      </c>
      <c r="K722" s="4" t="str" cm="1">
        <f t="array" ref="K722">_xlfn.IFS(J722&lt;=5,"0-5",J722&lt;=10,"6-10",J722&lt;=15,"11-15",J722&lt;=20,"16-20",J722&gt;20,"21+")</f>
        <v>21+</v>
      </c>
      <c r="L722">
        <v>75</v>
      </c>
      <c r="M722" s="2">
        <f>L722</f>
        <v>75</v>
      </c>
      <c r="N722" s="8">
        <f t="shared" si="155"/>
        <v>75</v>
      </c>
      <c r="P722" t="s">
        <v>151</v>
      </c>
      <c r="Q722" t="s">
        <v>2072</v>
      </c>
      <c r="R722" s="1">
        <v>0.94</v>
      </c>
      <c r="S722" s="3">
        <f>R722</f>
        <v>0.94</v>
      </c>
    </row>
    <row r="723" spans="1:19" x14ac:dyDescent="0.3">
      <c r="A723" t="s">
        <v>1513</v>
      </c>
      <c r="B723" t="s">
        <v>1514</v>
      </c>
      <c r="C723" t="str">
        <f t="shared" si="145"/>
        <v>Travis Braun</v>
      </c>
      <c r="D723" t="s">
        <v>53</v>
      </c>
      <c r="E723" t="str">
        <f t="shared" si="154"/>
        <v>Male</v>
      </c>
      <c r="F723">
        <v>57</v>
      </c>
      <c r="G723" t="s">
        <v>182</v>
      </c>
      <c r="H723" t="s">
        <v>64</v>
      </c>
      <c r="I723" t="s">
        <v>9</v>
      </c>
      <c r="J723">
        <v>11</v>
      </c>
      <c r="K723" s="4" t="str" cm="1">
        <f t="array" ref="K723">_xlfn.IFS(J723&lt;=5,"0-5",J723&lt;=10,"6-10",J723&lt;=15,"11-15",J723&lt;=20,"16-20",J723&gt;20,"21+")</f>
        <v>11-15</v>
      </c>
      <c r="L723" t="s">
        <v>306</v>
      </c>
      <c r="M723" s="2" t="str">
        <f>TRIM(MID(L723,FIND(" ",L723)+1,LEN(L723)))</f>
        <v>20</v>
      </c>
      <c r="N723" s="8">
        <f t="shared" si="155"/>
        <v>20</v>
      </c>
      <c r="O723">
        <v>4.9000000000000004</v>
      </c>
      <c r="P723" t="s">
        <v>66</v>
      </c>
      <c r="Q723" t="s">
        <v>2073</v>
      </c>
    </row>
    <row r="724" spans="1:19" x14ac:dyDescent="0.3">
      <c r="A724" t="s">
        <v>1515</v>
      </c>
      <c r="B724" t="s">
        <v>1516</v>
      </c>
      <c r="C724" t="str">
        <f t="shared" si="145"/>
        <v>Shawna Palmer</v>
      </c>
      <c r="D724" t="s">
        <v>31</v>
      </c>
      <c r="E724" t="str">
        <f t="shared" si="154"/>
        <v>Female</v>
      </c>
      <c r="F724">
        <v>53</v>
      </c>
      <c r="G724" t="s">
        <v>171</v>
      </c>
      <c r="H724" t="s">
        <v>64</v>
      </c>
      <c r="I724" t="s">
        <v>81</v>
      </c>
      <c r="J724">
        <v>8</v>
      </c>
      <c r="K724" s="4" t="str" cm="1">
        <f t="array" ref="K724">_xlfn.IFS(J724&lt;=5,"0-5",J724&lt;=10,"6-10",J724&lt;=15,"11-15",J724&lt;=20,"16-20",J724&gt;20,"21+")</f>
        <v>6-10</v>
      </c>
      <c r="L724">
        <v>20</v>
      </c>
      <c r="M724" s="2">
        <f>L724</f>
        <v>20</v>
      </c>
      <c r="N724" s="8">
        <f t="shared" si="155"/>
        <v>20</v>
      </c>
      <c r="O724">
        <v>2.8</v>
      </c>
      <c r="P724" t="b">
        <v>1</v>
      </c>
      <c r="Q724" t="s">
        <v>2073</v>
      </c>
    </row>
    <row r="725" spans="1:19" x14ac:dyDescent="0.3">
      <c r="A725" t="s">
        <v>1517</v>
      </c>
      <c r="B725" t="s">
        <v>1518</v>
      </c>
      <c r="C725" t="str">
        <f t="shared" si="145"/>
        <v>Bradley Gaines</v>
      </c>
      <c r="D725" t="s">
        <v>40</v>
      </c>
      <c r="E725" t="str">
        <f t="shared" si="154"/>
        <v>Male</v>
      </c>
      <c r="F725">
        <v>51</v>
      </c>
      <c r="G725" t="s">
        <v>54</v>
      </c>
      <c r="H725" t="s">
        <v>55</v>
      </c>
      <c r="I725" t="s">
        <v>65</v>
      </c>
      <c r="J725">
        <v>11</v>
      </c>
      <c r="K725" s="4" t="str" cm="1">
        <f t="array" ref="K725">_xlfn.IFS(J725&lt;=5,"0-5",J725&lt;=10,"6-10",J725&lt;=15,"11-15",J725&lt;=20,"16-20",J725&gt;20,"21+")</f>
        <v>11-15</v>
      </c>
      <c r="L725" t="s">
        <v>101</v>
      </c>
      <c r="M725" s="2" t="str">
        <f>TRIM(MID(L725,FIND(" ",L725)+1,LEN(L725)))</f>
        <v>30</v>
      </c>
      <c r="N725" s="8">
        <f t="shared" si="155"/>
        <v>30</v>
      </c>
      <c r="O725">
        <v>3.6</v>
      </c>
      <c r="P725" t="s">
        <v>66</v>
      </c>
      <c r="Q725" t="s">
        <v>2073</v>
      </c>
      <c r="R725" s="1">
        <v>0.77</v>
      </c>
      <c r="S725" s="3">
        <f>R725</f>
        <v>0.77</v>
      </c>
    </row>
    <row r="726" spans="1:19" x14ac:dyDescent="0.3">
      <c r="A726" t="s">
        <v>1519</v>
      </c>
      <c r="B726" t="s">
        <v>1520</v>
      </c>
      <c r="C726" t="str">
        <f t="shared" si="145"/>
        <v>April Ford</v>
      </c>
      <c r="D726" t="s">
        <v>12</v>
      </c>
      <c r="E726" t="str">
        <f t="shared" si="154"/>
        <v>Female</v>
      </c>
      <c r="F726">
        <v>37</v>
      </c>
      <c r="G726" t="s">
        <v>120</v>
      </c>
      <c r="H726" t="s">
        <v>14</v>
      </c>
      <c r="I726" t="s">
        <v>70</v>
      </c>
      <c r="J726">
        <v>9</v>
      </c>
      <c r="K726" s="4" t="str" cm="1">
        <f t="array" ref="K726">_xlfn.IFS(J726&lt;=5,"0-5",J726&lt;=10,"6-10",J726&lt;=15,"11-15",J726&lt;=20,"16-20",J726&gt;20,"21+")</f>
        <v>6-10</v>
      </c>
      <c r="L726" t="s">
        <v>56</v>
      </c>
      <c r="M726" s="2" t="str">
        <f>SUBSTITUTE(L726,"$","")</f>
        <v>50</v>
      </c>
      <c r="N726" s="8">
        <f t="shared" si="155"/>
        <v>50</v>
      </c>
      <c r="P726" t="s">
        <v>60</v>
      </c>
      <c r="Q726" t="s">
        <v>2073</v>
      </c>
      <c r="R726">
        <v>84</v>
      </c>
      <c r="S726" s="3">
        <f t="shared" ref="S726:S727" si="157">R726/100</f>
        <v>0.84</v>
      </c>
    </row>
    <row r="727" spans="1:19" x14ac:dyDescent="0.3">
      <c r="A727" t="s">
        <v>1521</v>
      </c>
      <c r="B727" t="s">
        <v>1522</v>
      </c>
      <c r="C727" t="str">
        <f t="shared" si="145"/>
        <v>James Gonzalez</v>
      </c>
      <c r="D727" t="s">
        <v>53</v>
      </c>
      <c r="E727" t="str">
        <f t="shared" si="154"/>
        <v>Male</v>
      </c>
      <c r="F727">
        <v>40</v>
      </c>
      <c r="G727" t="s">
        <v>182</v>
      </c>
      <c r="H727" t="s">
        <v>64</v>
      </c>
      <c r="I727" t="s">
        <v>27</v>
      </c>
      <c r="J727">
        <v>7</v>
      </c>
      <c r="K727" s="4" t="str" cm="1">
        <f t="array" ref="K727">_xlfn.IFS(J727&lt;=5,"0-5",J727&lt;=10,"6-10",J727&lt;=15,"11-15",J727&lt;=20,"16-20",J727&gt;20,"21+")</f>
        <v>6-10</v>
      </c>
      <c r="L727">
        <v>40</v>
      </c>
      <c r="M727" s="2">
        <f>L727</f>
        <v>40</v>
      </c>
      <c r="N727" s="8">
        <f t="shared" si="155"/>
        <v>40</v>
      </c>
      <c r="O727">
        <v>4.5</v>
      </c>
      <c r="R727">
        <v>79</v>
      </c>
      <c r="S727" s="3">
        <f t="shared" si="157"/>
        <v>0.79</v>
      </c>
    </row>
    <row r="728" spans="1:19" x14ac:dyDescent="0.3">
      <c r="A728" t="s">
        <v>1523</v>
      </c>
      <c r="B728" t="s">
        <v>1524</v>
      </c>
      <c r="C728" t="str">
        <f t="shared" si="145"/>
        <v>John Castillo</v>
      </c>
      <c r="D728" t="s">
        <v>40</v>
      </c>
      <c r="E728" t="str">
        <f t="shared" si="154"/>
        <v>Male</v>
      </c>
      <c r="F728">
        <v>60</v>
      </c>
      <c r="G728" t="s">
        <v>77</v>
      </c>
      <c r="H728" t="s">
        <v>78</v>
      </c>
      <c r="I728" t="s">
        <v>43</v>
      </c>
      <c r="J728">
        <v>24</v>
      </c>
      <c r="K728" s="4" t="str" cm="1">
        <f t="array" ref="K728">_xlfn.IFS(J728&lt;=5,"0-5",J728&lt;=10,"6-10",J728&lt;=15,"11-15",J728&lt;=20,"16-20",J728&gt;20,"21+")</f>
        <v>21+</v>
      </c>
      <c r="L728" t="s">
        <v>47</v>
      </c>
      <c r="M728" s="2" t="str">
        <f>TRIM(MID(L728,FIND(" ",L728)+1,LEN(L728)))</f>
        <v>40</v>
      </c>
      <c r="N728" s="8">
        <f t="shared" si="155"/>
        <v>40</v>
      </c>
      <c r="O728">
        <v>3.1</v>
      </c>
      <c r="P728">
        <v>0</v>
      </c>
      <c r="Q728" t="s">
        <v>2072</v>
      </c>
      <c r="R728" s="1">
        <v>0.69</v>
      </c>
      <c r="S728" s="3">
        <f t="shared" ref="S728:S729" si="158">R728</f>
        <v>0.69</v>
      </c>
    </row>
    <row r="729" spans="1:19" x14ac:dyDescent="0.3">
      <c r="A729" t="s">
        <v>1525</v>
      </c>
      <c r="B729" t="s">
        <v>1526</v>
      </c>
      <c r="C729" t="str">
        <f t="shared" si="145"/>
        <v>Ian Hayes</v>
      </c>
      <c r="D729" t="s">
        <v>84</v>
      </c>
      <c r="E729" t="str">
        <f t="shared" si="154"/>
        <v>Male</v>
      </c>
      <c r="F729">
        <v>60</v>
      </c>
      <c r="G729" t="s">
        <v>127</v>
      </c>
      <c r="H729" t="s">
        <v>128</v>
      </c>
      <c r="I729" t="s">
        <v>65</v>
      </c>
      <c r="J729">
        <v>0</v>
      </c>
      <c r="K729" s="4" t="str" cm="1">
        <f t="array" ref="K729">_xlfn.IFS(J729&lt;=5,"0-5",J729&lt;=10,"6-10",J729&lt;=15,"11-15",J729&lt;=20,"16-20",J729&gt;20,"21+")</f>
        <v>0-5</v>
      </c>
      <c r="L729">
        <v>40</v>
      </c>
      <c r="M729" s="2">
        <f>L729</f>
        <v>40</v>
      </c>
      <c r="N729" s="8">
        <f t="shared" si="155"/>
        <v>40</v>
      </c>
      <c r="O729">
        <v>4.9000000000000004</v>
      </c>
      <c r="P729" t="s">
        <v>66</v>
      </c>
      <c r="Q729" t="s">
        <v>2073</v>
      </c>
      <c r="R729" s="1">
        <v>0.68</v>
      </c>
      <c r="S729" s="3">
        <f t="shared" si="158"/>
        <v>0.68</v>
      </c>
    </row>
    <row r="730" spans="1:19" x14ac:dyDescent="0.3">
      <c r="A730" t="s">
        <v>1527</v>
      </c>
      <c r="B730" t="s">
        <v>1528</v>
      </c>
      <c r="C730" t="str">
        <f t="shared" si="145"/>
        <v>Christine Castro</v>
      </c>
      <c r="D730" t="s">
        <v>69</v>
      </c>
      <c r="E730" t="str">
        <f t="shared" si="154"/>
        <v>Female</v>
      </c>
      <c r="F730">
        <v>53</v>
      </c>
      <c r="G730" t="s">
        <v>104</v>
      </c>
      <c r="H730" t="s">
        <v>105</v>
      </c>
      <c r="I730" t="s">
        <v>65</v>
      </c>
      <c r="J730">
        <v>21</v>
      </c>
      <c r="K730" s="4" t="str" cm="1">
        <f t="array" ref="K730">_xlfn.IFS(J730&lt;=5,"0-5",J730&lt;=10,"6-10",J730&lt;=15,"11-15",J730&lt;=20,"16-20",J730&gt;20,"21+")</f>
        <v>21+</v>
      </c>
      <c r="L730" t="s">
        <v>37</v>
      </c>
      <c r="M730" s="2" t="str">
        <f>SUBSTITUTE(L730,"$","")</f>
        <v>30</v>
      </c>
      <c r="N730" s="8">
        <f t="shared" si="155"/>
        <v>30</v>
      </c>
      <c r="O730">
        <v>4.2</v>
      </c>
      <c r="P730">
        <v>1</v>
      </c>
      <c r="Q730" t="s">
        <v>2073</v>
      </c>
      <c r="R730">
        <v>73</v>
      </c>
      <c r="S730" s="3">
        <f>R730/100</f>
        <v>0.73</v>
      </c>
    </row>
    <row r="731" spans="1:19" x14ac:dyDescent="0.3">
      <c r="A731" t="s">
        <v>1529</v>
      </c>
      <c r="B731" t="s">
        <v>1530</v>
      </c>
      <c r="C731" t="str">
        <f t="shared" ref="C731:C794" si="159">B731</f>
        <v>Jessica Chaney</v>
      </c>
      <c r="D731" t="s">
        <v>69</v>
      </c>
      <c r="E731" t="str">
        <f t="shared" si="154"/>
        <v>Female</v>
      </c>
      <c r="F731">
        <v>20</v>
      </c>
      <c r="G731" t="s">
        <v>171</v>
      </c>
      <c r="H731" t="s">
        <v>64</v>
      </c>
      <c r="I731" t="s">
        <v>9</v>
      </c>
      <c r="J731">
        <v>0</v>
      </c>
      <c r="K731" s="4" t="str" cm="1">
        <f t="array" ref="K731">_xlfn.IFS(J731&lt;=5,"0-5",J731&lt;=10,"6-10",J731&lt;=15,"11-15",J731&lt;=20,"16-20",J731&gt;20,"21+")</f>
        <v>0-5</v>
      </c>
      <c r="L731">
        <v>75</v>
      </c>
      <c r="M731" s="2">
        <f>L731</f>
        <v>75</v>
      </c>
      <c r="N731" s="8">
        <f t="shared" si="155"/>
        <v>75</v>
      </c>
      <c r="O731">
        <v>3.2</v>
      </c>
      <c r="P731">
        <v>1</v>
      </c>
      <c r="Q731" t="s">
        <v>2073</v>
      </c>
      <c r="R731" s="1">
        <v>0.74</v>
      </c>
      <c r="S731" s="3">
        <f t="shared" ref="S731:S743" si="160">R731</f>
        <v>0.74</v>
      </c>
    </row>
    <row r="732" spans="1:19" x14ac:dyDescent="0.3">
      <c r="A732" t="s">
        <v>1531</v>
      </c>
      <c r="B732" t="s">
        <v>1532</v>
      </c>
      <c r="C732" t="str">
        <f t="shared" si="159"/>
        <v>John Gray</v>
      </c>
      <c r="D732" t="s">
        <v>53</v>
      </c>
      <c r="E732" t="str">
        <f t="shared" si="154"/>
        <v>Male</v>
      </c>
      <c r="F732">
        <v>42</v>
      </c>
      <c r="G732" t="s">
        <v>116</v>
      </c>
      <c r="H732" t="s">
        <v>117</v>
      </c>
      <c r="I732" t="s">
        <v>27</v>
      </c>
      <c r="J732">
        <v>7</v>
      </c>
      <c r="K732" s="4" t="str" cm="1">
        <f t="array" ref="K732">_xlfn.IFS(J732&lt;=5,"0-5",J732&lt;=10,"6-10",J732&lt;=15,"11-15",J732&lt;=20,"16-20",J732&gt;20,"21+")</f>
        <v>6-10</v>
      </c>
      <c r="L732" t="s">
        <v>306</v>
      </c>
      <c r="M732" s="2" t="str">
        <f>TRIM(MID(L732,FIND(" ",L732)+1,LEN(L732)))</f>
        <v>20</v>
      </c>
      <c r="N732" s="8">
        <f t="shared" si="155"/>
        <v>20</v>
      </c>
      <c r="P732" t="b">
        <v>0</v>
      </c>
      <c r="Q732" t="s">
        <v>2072</v>
      </c>
      <c r="R732" s="1">
        <v>1</v>
      </c>
      <c r="S732" s="3">
        <f t="shared" si="160"/>
        <v>1</v>
      </c>
    </row>
    <row r="733" spans="1:19" x14ac:dyDescent="0.3">
      <c r="A733" t="s">
        <v>1533</v>
      </c>
      <c r="B733" t="s">
        <v>1534</v>
      </c>
      <c r="C733" t="str">
        <f t="shared" si="159"/>
        <v>Shane Booker</v>
      </c>
      <c r="D733" t="s">
        <v>84</v>
      </c>
      <c r="E733" t="str">
        <f t="shared" si="154"/>
        <v>Male</v>
      </c>
      <c r="F733">
        <v>21</v>
      </c>
      <c r="G733" t="s">
        <v>59</v>
      </c>
      <c r="H733" t="s">
        <v>14</v>
      </c>
      <c r="I733" t="s">
        <v>15</v>
      </c>
      <c r="J733">
        <v>3</v>
      </c>
      <c r="K733" s="4" t="str" cm="1">
        <f t="array" ref="K733">_xlfn.IFS(J733&lt;=5,"0-5",J733&lt;=10,"6-10",J733&lt;=15,"11-15",J733&lt;=20,"16-20",J733&gt;20,"21+")</f>
        <v>0-5</v>
      </c>
      <c r="L733">
        <v>40</v>
      </c>
      <c r="M733" s="2">
        <f>L733</f>
        <v>40</v>
      </c>
      <c r="N733" s="8">
        <f t="shared" si="155"/>
        <v>40</v>
      </c>
      <c r="O733">
        <v>0</v>
      </c>
      <c r="P733">
        <v>0</v>
      </c>
      <c r="Q733" t="s">
        <v>2072</v>
      </c>
      <c r="R733" s="1">
        <v>0.87</v>
      </c>
      <c r="S733" s="3">
        <f t="shared" si="160"/>
        <v>0.87</v>
      </c>
    </row>
    <row r="734" spans="1:19" x14ac:dyDescent="0.3">
      <c r="A734" t="s">
        <v>1535</v>
      </c>
      <c r="B734" t="s">
        <v>1536</v>
      </c>
      <c r="C734" t="str">
        <f t="shared" si="159"/>
        <v>Kyle Hall</v>
      </c>
      <c r="D734" t="s">
        <v>40</v>
      </c>
      <c r="E734" t="str">
        <f t="shared" si="154"/>
        <v>Male</v>
      </c>
      <c r="F734">
        <v>39</v>
      </c>
      <c r="G734" t="s">
        <v>20</v>
      </c>
      <c r="H734" t="s">
        <v>21</v>
      </c>
      <c r="I734" t="s">
        <v>27</v>
      </c>
      <c r="J734">
        <v>21</v>
      </c>
      <c r="K734" s="4" t="str" cm="1">
        <f t="array" ref="K734">_xlfn.IFS(J734&lt;=5,"0-5",J734&lt;=10,"6-10",J734&lt;=15,"11-15",J734&lt;=20,"16-20",J734&gt;20,"21+")</f>
        <v>21+</v>
      </c>
      <c r="L734">
        <v>100</v>
      </c>
      <c r="M734" s="2">
        <f>L734</f>
        <v>100</v>
      </c>
      <c r="N734" s="8">
        <f t="shared" si="155"/>
        <v>100</v>
      </c>
      <c r="O734">
        <v>2.2000000000000002</v>
      </c>
      <c r="P734">
        <v>0</v>
      </c>
      <c r="Q734" t="s">
        <v>2072</v>
      </c>
      <c r="R734" s="1">
        <v>0.79</v>
      </c>
      <c r="S734" s="3">
        <f t="shared" si="160"/>
        <v>0.79</v>
      </c>
    </row>
    <row r="735" spans="1:19" x14ac:dyDescent="0.3">
      <c r="A735" t="s">
        <v>1537</v>
      </c>
      <c r="B735" t="s">
        <v>1538</v>
      </c>
      <c r="C735" t="str">
        <f t="shared" si="159"/>
        <v>Ronald Munoz</v>
      </c>
      <c r="D735" t="s">
        <v>40</v>
      </c>
      <c r="E735" t="str">
        <f t="shared" si="154"/>
        <v>Male</v>
      </c>
      <c r="F735">
        <v>32</v>
      </c>
      <c r="G735" t="s">
        <v>85</v>
      </c>
      <c r="H735" t="s">
        <v>86</v>
      </c>
      <c r="I735" t="s">
        <v>9</v>
      </c>
      <c r="K735" s="4" t="str" cm="1">
        <f t="array" ref="K735">_xlfn.IFS(J735&lt;=5,"0-5",J735&lt;=10,"6-10",J735&lt;=15,"11-15",J735&lt;=20,"16-20",J735&gt;20,"21+")</f>
        <v>0-5</v>
      </c>
      <c r="L735">
        <v>30</v>
      </c>
      <c r="M735" s="2">
        <f>L735</f>
        <v>30</v>
      </c>
      <c r="N735" s="8">
        <f t="shared" si="155"/>
        <v>30</v>
      </c>
      <c r="O735">
        <v>1.5</v>
      </c>
      <c r="P735">
        <v>0</v>
      </c>
      <c r="Q735" t="s">
        <v>2072</v>
      </c>
      <c r="R735" s="1">
        <v>0.68</v>
      </c>
      <c r="S735" s="3">
        <f t="shared" si="160"/>
        <v>0.68</v>
      </c>
    </row>
    <row r="736" spans="1:19" x14ac:dyDescent="0.3">
      <c r="A736" t="s">
        <v>1539</v>
      </c>
      <c r="B736" t="s">
        <v>1540</v>
      </c>
      <c r="C736" t="str">
        <f t="shared" si="159"/>
        <v>Christopher Long</v>
      </c>
      <c r="D736" t="s">
        <v>84</v>
      </c>
      <c r="E736" t="str">
        <f t="shared" si="154"/>
        <v>Male</v>
      </c>
      <c r="F736">
        <v>35</v>
      </c>
      <c r="G736" t="s">
        <v>20</v>
      </c>
      <c r="H736" t="s">
        <v>21</v>
      </c>
      <c r="I736" t="s">
        <v>43</v>
      </c>
      <c r="K736" s="4" t="str" cm="1">
        <f t="array" ref="K736">_xlfn.IFS(J736&lt;=5,"0-5",J736&lt;=10,"6-10",J736&lt;=15,"11-15",J736&lt;=20,"16-20",J736&gt;20,"21+")</f>
        <v>0-5</v>
      </c>
      <c r="L736" t="s">
        <v>16</v>
      </c>
      <c r="M736" s="2" t="str">
        <f>TRIM(MID(L736,FIND(" ",L736)+1,LEN(L736)))</f>
        <v>100</v>
      </c>
      <c r="N736" s="8">
        <f t="shared" si="155"/>
        <v>100</v>
      </c>
      <c r="P736">
        <v>0</v>
      </c>
      <c r="Q736" t="s">
        <v>2072</v>
      </c>
      <c r="R736" s="1">
        <v>0.84</v>
      </c>
      <c r="S736" s="3">
        <f t="shared" si="160"/>
        <v>0.84</v>
      </c>
    </row>
    <row r="737" spans="1:19" x14ac:dyDescent="0.3">
      <c r="A737" t="s">
        <v>1541</v>
      </c>
      <c r="B737" t="s">
        <v>1542</v>
      </c>
      <c r="C737" t="str">
        <f t="shared" si="159"/>
        <v>Sandra Ali</v>
      </c>
      <c r="D737" t="s">
        <v>6</v>
      </c>
      <c r="E737" t="str">
        <f t="shared" si="154"/>
        <v>Female</v>
      </c>
      <c r="F737">
        <v>35</v>
      </c>
      <c r="G737" t="s">
        <v>127</v>
      </c>
      <c r="H737" t="s">
        <v>128</v>
      </c>
      <c r="I737" t="s">
        <v>65</v>
      </c>
      <c r="J737">
        <v>17</v>
      </c>
      <c r="K737" s="4" t="str" cm="1">
        <f t="array" ref="K737">_xlfn.IFS(J737&lt;=5,"0-5",J737&lt;=10,"6-10",J737&lt;=15,"11-15",J737&lt;=20,"16-20",J737&gt;20,"21+")</f>
        <v>16-20</v>
      </c>
      <c r="L737">
        <v>50</v>
      </c>
      <c r="M737" s="2">
        <f>L737</f>
        <v>50</v>
      </c>
      <c r="N737" s="8">
        <f t="shared" si="155"/>
        <v>50</v>
      </c>
      <c r="O737">
        <v>3.1</v>
      </c>
      <c r="P737">
        <v>0</v>
      </c>
      <c r="Q737" t="s">
        <v>2072</v>
      </c>
      <c r="R737" s="1">
        <v>0.71</v>
      </c>
      <c r="S737" s="3">
        <f t="shared" si="160"/>
        <v>0.71</v>
      </c>
    </row>
    <row r="738" spans="1:19" x14ac:dyDescent="0.3">
      <c r="A738" t="s">
        <v>1543</v>
      </c>
      <c r="B738" t="s">
        <v>1544</v>
      </c>
      <c r="C738" t="str">
        <f t="shared" si="159"/>
        <v>Jessica Garza</v>
      </c>
      <c r="D738" t="s">
        <v>12</v>
      </c>
      <c r="E738" t="str">
        <f t="shared" si="154"/>
        <v>Female</v>
      </c>
      <c r="F738">
        <v>23</v>
      </c>
      <c r="G738" t="s">
        <v>63</v>
      </c>
      <c r="H738" t="s">
        <v>64</v>
      </c>
      <c r="I738" t="s">
        <v>65</v>
      </c>
      <c r="J738">
        <v>0</v>
      </c>
      <c r="K738" s="4" t="str" cm="1">
        <f t="array" ref="K738">_xlfn.IFS(J738&lt;=5,"0-5",J738&lt;=10,"6-10",J738&lt;=15,"11-15",J738&lt;=20,"16-20",J738&gt;20,"21+")</f>
        <v>0-5</v>
      </c>
      <c r="L738">
        <v>75</v>
      </c>
      <c r="M738" s="2">
        <f>L738</f>
        <v>75</v>
      </c>
      <c r="N738" s="8">
        <f t="shared" si="155"/>
        <v>75</v>
      </c>
      <c r="O738">
        <v>0</v>
      </c>
      <c r="P738" t="s">
        <v>151</v>
      </c>
      <c r="Q738" t="s">
        <v>2072</v>
      </c>
      <c r="R738" s="1">
        <v>0.92</v>
      </c>
      <c r="S738" s="3">
        <f t="shared" si="160"/>
        <v>0.92</v>
      </c>
    </row>
    <row r="739" spans="1:19" x14ac:dyDescent="0.3">
      <c r="A739" t="s">
        <v>1545</v>
      </c>
      <c r="B739" t="s">
        <v>1546</v>
      </c>
      <c r="C739" t="str">
        <f t="shared" si="159"/>
        <v>Gregory Waters</v>
      </c>
      <c r="D739" t="s">
        <v>84</v>
      </c>
      <c r="E739" t="str">
        <f t="shared" si="154"/>
        <v>Male</v>
      </c>
      <c r="F739">
        <v>26</v>
      </c>
      <c r="G739" t="s">
        <v>34</v>
      </c>
      <c r="H739" t="s">
        <v>35</v>
      </c>
      <c r="I739" t="s">
        <v>36</v>
      </c>
      <c r="J739">
        <v>6</v>
      </c>
      <c r="K739" s="4" t="str" cm="1">
        <f t="array" ref="K739">_xlfn.IFS(J739&lt;=5,"0-5",J739&lt;=10,"6-10",J739&lt;=15,"11-15",J739&lt;=20,"16-20",J739&gt;20,"21+")</f>
        <v>6-10</v>
      </c>
      <c r="L739" t="s">
        <v>16</v>
      </c>
      <c r="M739" s="2" t="str">
        <f>TRIM(MID(L739,FIND(" ",L739)+1,LEN(L739)))</f>
        <v>100</v>
      </c>
      <c r="N739" s="8">
        <f t="shared" si="155"/>
        <v>100</v>
      </c>
      <c r="P739" t="s">
        <v>151</v>
      </c>
      <c r="Q739" t="s">
        <v>2072</v>
      </c>
      <c r="R739" s="1">
        <v>0.69</v>
      </c>
      <c r="S739" s="3">
        <f t="shared" si="160"/>
        <v>0.69</v>
      </c>
    </row>
    <row r="740" spans="1:19" x14ac:dyDescent="0.3">
      <c r="A740" t="s">
        <v>1547</v>
      </c>
      <c r="B740" t="s">
        <v>1548</v>
      </c>
      <c r="C740" t="str">
        <f t="shared" si="159"/>
        <v>Misty Adams</v>
      </c>
      <c r="D740" t="s">
        <v>26</v>
      </c>
      <c r="E740" t="str">
        <f t="shared" si="154"/>
        <v>Female</v>
      </c>
      <c r="F740">
        <v>34</v>
      </c>
      <c r="G740" t="s">
        <v>120</v>
      </c>
      <c r="H740" t="s">
        <v>14</v>
      </c>
      <c r="I740" t="s">
        <v>106</v>
      </c>
      <c r="J740">
        <v>3</v>
      </c>
      <c r="K740" s="4" t="str" cm="1">
        <f t="array" ref="K740">_xlfn.IFS(J740&lt;=5,"0-5",J740&lt;=10,"6-10",J740&lt;=15,"11-15",J740&lt;=20,"16-20",J740&gt;20,"21+")</f>
        <v>0-5</v>
      </c>
      <c r="N740" s="8" t="str">
        <f t="shared" si="155"/>
        <v/>
      </c>
      <c r="O740">
        <v>0</v>
      </c>
      <c r="P740">
        <v>1</v>
      </c>
      <c r="Q740" t="s">
        <v>2073</v>
      </c>
      <c r="R740" s="1">
        <v>0.71</v>
      </c>
      <c r="S740" s="3">
        <f t="shared" si="160"/>
        <v>0.71</v>
      </c>
    </row>
    <row r="741" spans="1:19" x14ac:dyDescent="0.3">
      <c r="A741" t="s">
        <v>1549</v>
      </c>
      <c r="B741" t="s">
        <v>1550</v>
      </c>
      <c r="C741" t="str">
        <f t="shared" si="159"/>
        <v>Megan Brown</v>
      </c>
      <c r="D741" t="s">
        <v>69</v>
      </c>
      <c r="E741" t="str">
        <f t="shared" si="154"/>
        <v>Female</v>
      </c>
      <c r="F741">
        <v>34</v>
      </c>
      <c r="G741" t="s">
        <v>20</v>
      </c>
      <c r="H741" t="s">
        <v>21</v>
      </c>
      <c r="I741" t="s">
        <v>9</v>
      </c>
      <c r="J741">
        <v>3</v>
      </c>
      <c r="K741" s="4" t="str" cm="1">
        <f t="array" ref="K741">_xlfn.IFS(J741&lt;=5,"0-5",J741&lt;=10,"6-10",J741&lt;=15,"11-15",J741&lt;=20,"16-20",J741&gt;20,"21+")</f>
        <v>0-5</v>
      </c>
      <c r="N741" s="8" t="str">
        <f t="shared" si="155"/>
        <v/>
      </c>
      <c r="P741" t="b">
        <v>0</v>
      </c>
      <c r="Q741" t="s">
        <v>2072</v>
      </c>
      <c r="R741" s="1">
        <v>0.77</v>
      </c>
      <c r="S741" s="3">
        <f t="shared" si="160"/>
        <v>0.77</v>
      </c>
    </row>
    <row r="742" spans="1:19" x14ac:dyDescent="0.3">
      <c r="A742" t="s">
        <v>1551</v>
      </c>
      <c r="B742" t="s">
        <v>1552</v>
      </c>
      <c r="C742" t="str">
        <f t="shared" si="159"/>
        <v>Gregory Brown</v>
      </c>
      <c r="D742" t="s">
        <v>40</v>
      </c>
      <c r="E742" t="str">
        <f t="shared" si="154"/>
        <v>Male</v>
      </c>
      <c r="F742">
        <v>57</v>
      </c>
      <c r="G742" t="s">
        <v>7</v>
      </c>
      <c r="H742" t="s">
        <v>8</v>
      </c>
      <c r="I742" t="s">
        <v>27</v>
      </c>
      <c r="J742">
        <v>31</v>
      </c>
      <c r="K742" s="4" t="str" cm="1">
        <f t="array" ref="K742">_xlfn.IFS(J742&lt;=5,"0-5",J742&lt;=10,"6-10",J742&lt;=15,"11-15",J742&lt;=20,"16-20",J742&gt;20,"21+")</f>
        <v>21+</v>
      </c>
      <c r="L742">
        <v>50</v>
      </c>
      <c r="M742" s="2">
        <f>L742</f>
        <v>50</v>
      </c>
      <c r="N742" s="8">
        <f t="shared" si="155"/>
        <v>50</v>
      </c>
      <c r="O742">
        <v>3</v>
      </c>
      <c r="P742" t="b">
        <v>1</v>
      </c>
      <c r="Q742" t="s">
        <v>2073</v>
      </c>
      <c r="R742" s="1">
        <v>0.87</v>
      </c>
      <c r="S742" s="3">
        <f t="shared" si="160"/>
        <v>0.87</v>
      </c>
    </row>
    <row r="743" spans="1:19" x14ac:dyDescent="0.3">
      <c r="A743" t="s">
        <v>1553</v>
      </c>
      <c r="B743" t="s">
        <v>1554</v>
      </c>
      <c r="C743" t="str">
        <f t="shared" si="159"/>
        <v>Scott Alexander MD</v>
      </c>
      <c r="D743" t="s">
        <v>53</v>
      </c>
      <c r="E743" t="str">
        <f t="shared" si="154"/>
        <v>Male</v>
      </c>
      <c r="F743">
        <v>46</v>
      </c>
      <c r="G743" t="s">
        <v>120</v>
      </c>
      <c r="H743" t="s">
        <v>14</v>
      </c>
      <c r="I743" t="s">
        <v>27</v>
      </c>
      <c r="J743">
        <v>5</v>
      </c>
      <c r="K743" s="4" t="str" cm="1">
        <f t="array" ref="K743">_xlfn.IFS(J743&lt;=5,"0-5",J743&lt;=10,"6-10",J743&lt;=15,"11-15",J743&lt;=20,"16-20",J743&gt;20,"21+")</f>
        <v>0-5</v>
      </c>
      <c r="L743" t="s">
        <v>37</v>
      </c>
      <c r="M743" s="2" t="str">
        <f>SUBSTITUTE(L743,"$","")</f>
        <v>30</v>
      </c>
      <c r="N743" s="8">
        <f t="shared" si="155"/>
        <v>30</v>
      </c>
      <c r="O743">
        <v>2.6</v>
      </c>
      <c r="P743" t="s">
        <v>151</v>
      </c>
      <c r="Q743" t="s">
        <v>2072</v>
      </c>
      <c r="R743" s="1">
        <v>0.76</v>
      </c>
      <c r="S743" s="3">
        <f t="shared" si="160"/>
        <v>0.76</v>
      </c>
    </row>
    <row r="744" spans="1:19" x14ac:dyDescent="0.3">
      <c r="A744" t="s">
        <v>1555</v>
      </c>
      <c r="B744" t="s">
        <v>1556</v>
      </c>
      <c r="C744" t="str">
        <f t="shared" si="159"/>
        <v>Eric Nguyen</v>
      </c>
      <c r="D744" t="s">
        <v>19</v>
      </c>
      <c r="E744" t="str">
        <f t="shared" si="154"/>
        <v>Male</v>
      </c>
      <c r="F744">
        <v>55</v>
      </c>
      <c r="G744" t="s">
        <v>85</v>
      </c>
      <c r="H744" t="s">
        <v>86</v>
      </c>
      <c r="I744" t="s">
        <v>36</v>
      </c>
      <c r="J744">
        <v>37</v>
      </c>
      <c r="K744" s="4" t="str" cm="1">
        <f t="array" ref="K744">_xlfn.IFS(J744&lt;=5,"0-5",J744&lt;=10,"6-10",J744&lt;=15,"11-15",J744&lt;=20,"16-20",J744&gt;20,"21+")</f>
        <v>21+</v>
      </c>
      <c r="L744" t="s">
        <v>44</v>
      </c>
      <c r="M744" s="2" t="str">
        <f>TRIM(MID(L744,FIND(" ",L744)+1,LEN(L744)))</f>
        <v>75</v>
      </c>
      <c r="N744" s="8">
        <f t="shared" si="155"/>
        <v>75</v>
      </c>
      <c r="O744">
        <v>4.0999999999999996</v>
      </c>
      <c r="P744" t="s">
        <v>151</v>
      </c>
      <c r="Q744" t="s">
        <v>2072</v>
      </c>
    </row>
    <row r="745" spans="1:19" x14ac:dyDescent="0.3">
      <c r="A745" t="s">
        <v>1557</v>
      </c>
      <c r="B745" t="s">
        <v>1558</v>
      </c>
      <c r="C745" t="str">
        <f t="shared" si="159"/>
        <v>Wendy Boyer</v>
      </c>
      <c r="D745" t="s">
        <v>12</v>
      </c>
      <c r="E745" t="str">
        <f t="shared" si="154"/>
        <v>Female</v>
      </c>
      <c r="F745">
        <v>32</v>
      </c>
      <c r="G745" t="s">
        <v>13</v>
      </c>
      <c r="H745" t="s">
        <v>14</v>
      </c>
      <c r="I745" t="s">
        <v>81</v>
      </c>
      <c r="J745">
        <v>10</v>
      </c>
      <c r="K745" s="4" t="str" cm="1">
        <f t="array" ref="K745">_xlfn.IFS(J745&lt;=5,"0-5",J745&lt;=10,"6-10",J745&lt;=15,"11-15",J745&lt;=20,"16-20",J745&gt;20,"21+")</f>
        <v>6-10</v>
      </c>
      <c r="L745" t="s">
        <v>90</v>
      </c>
      <c r="M745" s="2" t="str">
        <f>TRIM(MID(L745,FIND(" ",L745)+1,LEN(L745)))</f>
        <v>50</v>
      </c>
      <c r="N745" s="8">
        <f t="shared" si="155"/>
        <v>50</v>
      </c>
      <c r="O745">
        <v>1.5</v>
      </c>
      <c r="P745" t="b">
        <v>0</v>
      </c>
      <c r="Q745" t="s">
        <v>2072</v>
      </c>
      <c r="R745" s="1">
        <v>0.65</v>
      </c>
      <c r="S745" s="3">
        <f t="shared" ref="S745:S746" si="161">R745</f>
        <v>0.65</v>
      </c>
    </row>
    <row r="746" spans="1:19" x14ac:dyDescent="0.3">
      <c r="A746" t="s">
        <v>1559</v>
      </c>
      <c r="B746" t="s">
        <v>1560</v>
      </c>
      <c r="C746" t="str">
        <f t="shared" si="159"/>
        <v>Mark Clark</v>
      </c>
      <c r="D746" t="s">
        <v>84</v>
      </c>
      <c r="E746" t="str">
        <f t="shared" si="154"/>
        <v>Male</v>
      </c>
      <c r="F746">
        <v>53</v>
      </c>
      <c r="G746" t="s">
        <v>41</v>
      </c>
      <c r="H746" t="s">
        <v>42</v>
      </c>
      <c r="I746" t="s">
        <v>36</v>
      </c>
      <c r="J746">
        <v>28</v>
      </c>
      <c r="K746" s="4" t="str" cm="1">
        <f t="array" ref="K746">_xlfn.IFS(J746&lt;=5,"0-5",J746&lt;=10,"6-10",J746&lt;=15,"11-15",J746&lt;=20,"16-20",J746&gt;20,"21+")</f>
        <v>21+</v>
      </c>
      <c r="L746" t="s">
        <v>90</v>
      </c>
      <c r="M746" s="2" t="str">
        <f>TRIM(MID(L746,FIND(" ",L746)+1,LEN(L746)))</f>
        <v>50</v>
      </c>
      <c r="N746" s="8">
        <f t="shared" si="155"/>
        <v>50</v>
      </c>
      <c r="O746">
        <v>2.9</v>
      </c>
      <c r="P746" t="s">
        <v>60</v>
      </c>
      <c r="Q746" t="s">
        <v>2073</v>
      </c>
      <c r="R746" s="1">
        <v>0.82</v>
      </c>
      <c r="S746" s="3">
        <f t="shared" si="161"/>
        <v>0.82</v>
      </c>
    </row>
    <row r="747" spans="1:19" x14ac:dyDescent="0.3">
      <c r="A747" t="s">
        <v>1561</v>
      </c>
      <c r="B747" t="s">
        <v>1562</v>
      </c>
      <c r="C747" t="str">
        <f t="shared" si="159"/>
        <v>Carl Kline</v>
      </c>
      <c r="D747" t="s">
        <v>19</v>
      </c>
      <c r="E747" t="str">
        <f t="shared" si="154"/>
        <v>Male</v>
      </c>
      <c r="F747">
        <v>59</v>
      </c>
      <c r="G747" t="s">
        <v>171</v>
      </c>
      <c r="H747" t="s">
        <v>64</v>
      </c>
      <c r="I747" t="s">
        <v>36</v>
      </c>
      <c r="J747">
        <v>0</v>
      </c>
      <c r="K747" s="4" t="str" cm="1">
        <f t="array" ref="K747">_xlfn.IFS(J747&lt;=5,"0-5",J747&lt;=10,"6-10",J747&lt;=15,"11-15",J747&lt;=20,"16-20",J747&gt;20,"21+")</f>
        <v>0-5</v>
      </c>
      <c r="L747">
        <v>100</v>
      </c>
      <c r="M747" s="2">
        <f>L747</f>
        <v>100</v>
      </c>
      <c r="N747" s="8">
        <f t="shared" si="155"/>
        <v>100</v>
      </c>
      <c r="O747">
        <v>0</v>
      </c>
      <c r="P747" t="s">
        <v>66</v>
      </c>
      <c r="Q747" t="s">
        <v>2073</v>
      </c>
      <c r="R747">
        <v>87</v>
      </c>
      <c r="S747" s="3">
        <f>R747/100</f>
        <v>0.87</v>
      </c>
    </row>
    <row r="748" spans="1:19" x14ac:dyDescent="0.3">
      <c r="A748" t="s">
        <v>1563</v>
      </c>
      <c r="B748" t="s">
        <v>1564</v>
      </c>
      <c r="C748" t="str">
        <f t="shared" si="159"/>
        <v>Linda Williams</v>
      </c>
      <c r="D748" t="s">
        <v>26</v>
      </c>
      <c r="E748" t="str">
        <f t="shared" si="154"/>
        <v>Female</v>
      </c>
      <c r="F748">
        <v>44</v>
      </c>
      <c r="G748" t="s">
        <v>34</v>
      </c>
      <c r="H748" t="s">
        <v>35</v>
      </c>
      <c r="I748" t="s">
        <v>106</v>
      </c>
      <c r="J748">
        <v>19</v>
      </c>
      <c r="K748" s="4" t="str" cm="1">
        <f t="array" ref="K748">_xlfn.IFS(J748&lt;=5,"0-5",J748&lt;=10,"6-10",J748&lt;=15,"11-15",J748&lt;=20,"16-20",J748&gt;20,"21+")</f>
        <v>16-20</v>
      </c>
      <c r="L748" t="s">
        <v>28</v>
      </c>
      <c r="M748" s="2" t="str">
        <f>SUBSTITUTE(L748,"$","")</f>
        <v>40</v>
      </c>
      <c r="N748" s="8">
        <f t="shared" si="155"/>
        <v>40</v>
      </c>
      <c r="O748">
        <v>4.9000000000000004</v>
      </c>
      <c r="P748" t="s">
        <v>23</v>
      </c>
      <c r="Q748" t="s">
        <v>2072</v>
      </c>
      <c r="R748" s="1">
        <v>1</v>
      </c>
      <c r="S748" s="3">
        <f>R748</f>
        <v>1</v>
      </c>
    </row>
    <row r="749" spans="1:19" x14ac:dyDescent="0.3">
      <c r="A749" t="s">
        <v>1565</v>
      </c>
      <c r="B749" t="s">
        <v>1566</v>
      </c>
      <c r="C749" t="str">
        <f t="shared" si="159"/>
        <v>Jason Edwards</v>
      </c>
      <c r="D749" t="s">
        <v>89</v>
      </c>
      <c r="E749" t="str">
        <f t="shared" si="154"/>
        <v>Male</v>
      </c>
      <c r="F749">
        <v>35</v>
      </c>
      <c r="G749" t="s">
        <v>131</v>
      </c>
      <c r="H749" t="s">
        <v>132</v>
      </c>
      <c r="I749" t="s">
        <v>9</v>
      </c>
      <c r="J749">
        <v>9</v>
      </c>
      <c r="K749" s="4" t="str" cm="1">
        <f t="array" ref="K749">_xlfn.IFS(J749&lt;=5,"0-5",J749&lt;=10,"6-10",J749&lt;=15,"11-15",J749&lt;=20,"16-20",J749&gt;20,"21+")</f>
        <v>6-10</v>
      </c>
      <c r="L749" t="s">
        <v>90</v>
      </c>
      <c r="M749" s="2" t="str">
        <f>TRIM(MID(L749,FIND(" ",L749)+1,LEN(L749)))</f>
        <v>50</v>
      </c>
      <c r="N749" s="8">
        <f t="shared" si="155"/>
        <v>50</v>
      </c>
      <c r="O749">
        <v>3</v>
      </c>
      <c r="P749" t="s">
        <v>23</v>
      </c>
      <c r="Q749" t="s">
        <v>2072</v>
      </c>
      <c r="R749">
        <v>71</v>
      </c>
      <c r="S749" s="3">
        <f t="shared" ref="S749:S751" si="162">R749/100</f>
        <v>0.71</v>
      </c>
    </row>
    <row r="750" spans="1:19" x14ac:dyDescent="0.3">
      <c r="A750" t="s">
        <v>1567</v>
      </c>
      <c r="B750" t="s">
        <v>1568</v>
      </c>
      <c r="C750" t="str">
        <f t="shared" si="159"/>
        <v>Madison Mcintosh</v>
      </c>
      <c r="D750" t="s">
        <v>6</v>
      </c>
      <c r="E750" t="str">
        <f t="shared" si="154"/>
        <v>Female</v>
      </c>
      <c r="F750">
        <v>42</v>
      </c>
      <c r="G750" t="s">
        <v>167</v>
      </c>
      <c r="H750" t="s">
        <v>168</v>
      </c>
      <c r="I750" t="s">
        <v>106</v>
      </c>
      <c r="J750">
        <v>5</v>
      </c>
      <c r="K750" s="4" t="str" cm="1">
        <f t="array" ref="K750">_xlfn.IFS(J750&lt;=5,"0-5",J750&lt;=10,"6-10",J750&lt;=15,"11-15",J750&lt;=20,"16-20",J750&gt;20,"21+")</f>
        <v>0-5</v>
      </c>
      <c r="L750">
        <v>30</v>
      </c>
      <c r="M750" s="2">
        <f>L750</f>
        <v>30</v>
      </c>
      <c r="N750" s="8">
        <f t="shared" si="155"/>
        <v>30</v>
      </c>
      <c r="O750">
        <v>4.9000000000000004</v>
      </c>
      <c r="P750">
        <v>1</v>
      </c>
      <c r="Q750" t="s">
        <v>2073</v>
      </c>
      <c r="R750">
        <v>87</v>
      </c>
      <c r="S750" s="3">
        <f t="shared" si="162"/>
        <v>0.87</v>
      </c>
    </row>
    <row r="751" spans="1:19" x14ac:dyDescent="0.3">
      <c r="A751" t="s">
        <v>1569</v>
      </c>
      <c r="B751" t="s">
        <v>1570</v>
      </c>
      <c r="C751" t="str">
        <f t="shared" si="159"/>
        <v>Desiree Winters</v>
      </c>
      <c r="D751" t="s">
        <v>6</v>
      </c>
      <c r="E751" t="str">
        <f t="shared" si="154"/>
        <v>Female</v>
      </c>
      <c r="F751">
        <v>58</v>
      </c>
      <c r="G751" t="s">
        <v>104</v>
      </c>
      <c r="H751" t="s">
        <v>105</v>
      </c>
      <c r="I751" t="s">
        <v>9</v>
      </c>
      <c r="J751">
        <v>0</v>
      </c>
      <c r="K751" s="4" t="str" cm="1">
        <f t="array" ref="K751">_xlfn.IFS(J751&lt;=5,"0-5",J751&lt;=10,"6-10",J751&lt;=15,"11-15",J751&lt;=20,"16-20",J751&gt;20,"21+")</f>
        <v>0-5</v>
      </c>
      <c r="L751" t="s">
        <v>101</v>
      </c>
      <c r="M751" s="2" t="str">
        <f>TRIM(MID(L751,FIND(" ",L751)+1,LEN(L751)))</f>
        <v>30</v>
      </c>
      <c r="N751" s="8">
        <f t="shared" si="155"/>
        <v>30</v>
      </c>
      <c r="O751">
        <v>4.5999999999999996</v>
      </c>
      <c r="P751">
        <v>0</v>
      </c>
      <c r="Q751" t="s">
        <v>2072</v>
      </c>
      <c r="R751">
        <v>70</v>
      </c>
      <c r="S751" s="3">
        <f t="shared" si="162"/>
        <v>0.7</v>
      </c>
    </row>
    <row r="752" spans="1:19" x14ac:dyDescent="0.3">
      <c r="A752" t="s">
        <v>1571</v>
      </c>
      <c r="B752" t="s">
        <v>1572</v>
      </c>
      <c r="C752" t="str">
        <f t="shared" si="159"/>
        <v>Ryan Taylor</v>
      </c>
      <c r="D752" t="s">
        <v>53</v>
      </c>
      <c r="E752" t="str">
        <f t="shared" si="154"/>
        <v>Male</v>
      </c>
      <c r="F752">
        <v>41</v>
      </c>
      <c r="G752" t="s">
        <v>34</v>
      </c>
      <c r="H752" t="s">
        <v>35</v>
      </c>
      <c r="I752" t="s">
        <v>36</v>
      </c>
      <c r="J752">
        <v>21</v>
      </c>
      <c r="K752" s="4" t="str" cm="1">
        <f t="array" ref="K752">_xlfn.IFS(J752&lt;=5,"0-5",J752&lt;=10,"6-10",J752&lt;=15,"11-15",J752&lt;=20,"16-20",J752&gt;20,"21+")</f>
        <v>21+</v>
      </c>
      <c r="L752" t="s">
        <v>16</v>
      </c>
      <c r="M752" s="2" t="str">
        <f>TRIM(MID(L752,FIND(" ",L752)+1,LEN(L752)))</f>
        <v>100</v>
      </c>
      <c r="N752" s="8">
        <f t="shared" si="155"/>
        <v>100</v>
      </c>
      <c r="O752">
        <v>2.2000000000000002</v>
      </c>
      <c r="P752">
        <v>1</v>
      </c>
      <c r="Q752" t="s">
        <v>2073</v>
      </c>
      <c r="R752" s="1">
        <v>0.83</v>
      </c>
      <c r="S752" s="3">
        <f t="shared" ref="S752:S757" si="163">R752</f>
        <v>0.83</v>
      </c>
    </row>
    <row r="753" spans="1:19" x14ac:dyDescent="0.3">
      <c r="A753" t="s">
        <v>1573</v>
      </c>
      <c r="B753" t="s">
        <v>1574</v>
      </c>
      <c r="C753" t="str">
        <f t="shared" si="159"/>
        <v>Patricia Scott</v>
      </c>
      <c r="D753" t="s">
        <v>31</v>
      </c>
      <c r="E753" t="str">
        <f t="shared" si="154"/>
        <v>Female</v>
      </c>
      <c r="G753" t="s">
        <v>63</v>
      </c>
      <c r="H753" t="s">
        <v>64</v>
      </c>
      <c r="I753" t="s">
        <v>27</v>
      </c>
      <c r="J753">
        <v>0</v>
      </c>
      <c r="K753" s="4" t="str" cm="1">
        <f t="array" ref="K753">_xlfn.IFS(J753&lt;=5,"0-5",J753&lt;=10,"6-10",J753&lt;=15,"11-15",J753&lt;=20,"16-20",J753&gt;20,"21+")</f>
        <v>0-5</v>
      </c>
      <c r="L753">
        <v>40</v>
      </c>
      <c r="M753" s="2">
        <f>L753</f>
        <v>40</v>
      </c>
      <c r="N753" s="8">
        <f t="shared" si="155"/>
        <v>40</v>
      </c>
      <c r="P753" t="s">
        <v>66</v>
      </c>
      <c r="Q753" t="s">
        <v>2073</v>
      </c>
      <c r="R753" s="1">
        <v>0.74</v>
      </c>
      <c r="S753" s="3">
        <f t="shared" si="163"/>
        <v>0.74</v>
      </c>
    </row>
    <row r="754" spans="1:19" x14ac:dyDescent="0.3">
      <c r="A754" t="s">
        <v>1575</v>
      </c>
      <c r="B754" t="s">
        <v>1576</v>
      </c>
      <c r="C754" t="str">
        <f t="shared" si="159"/>
        <v>Erin Jimenez</v>
      </c>
      <c r="D754" t="s">
        <v>12</v>
      </c>
      <c r="E754" t="str">
        <f t="shared" si="154"/>
        <v>Female</v>
      </c>
      <c r="F754">
        <v>23</v>
      </c>
      <c r="G754" t="s">
        <v>120</v>
      </c>
      <c r="H754" t="s">
        <v>14</v>
      </c>
      <c r="I754" t="s">
        <v>9</v>
      </c>
      <c r="J754">
        <v>0</v>
      </c>
      <c r="K754" s="4" t="str" cm="1">
        <f t="array" ref="K754">_xlfn.IFS(J754&lt;=5,"0-5",J754&lt;=10,"6-10",J754&lt;=15,"11-15",J754&lt;=20,"16-20",J754&gt;20,"21+")</f>
        <v>0-5</v>
      </c>
      <c r="L754">
        <v>30</v>
      </c>
      <c r="M754" s="2">
        <f>L754</f>
        <v>30</v>
      </c>
      <c r="N754" s="8">
        <f t="shared" si="155"/>
        <v>30</v>
      </c>
      <c r="O754">
        <v>1.1000000000000001</v>
      </c>
      <c r="P754" t="s">
        <v>60</v>
      </c>
      <c r="Q754" t="s">
        <v>2073</v>
      </c>
      <c r="R754" s="1">
        <v>0.86</v>
      </c>
      <c r="S754" s="3">
        <f t="shared" si="163"/>
        <v>0.86</v>
      </c>
    </row>
    <row r="755" spans="1:19" x14ac:dyDescent="0.3">
      <c r="A755" t="s">
        <v>1577</v>
      </c>
      <c r="B755" t="s">
        <v>1578</v>
      </c>
      <c r="C755" t="str">
        <f t="shared" si="159"/>
        <v>Anthony Krause</v>
      </c>
      <c r="D755" t="s">
        <v>84</v>
      </c>
      <c r="E755" t="str">
        <f t="shared" si="154"/>
        <v>Male</v>
      </c>
      <c r="F755">
        <v>51</v>
      </c>
      <c r="G755" t="s">
        <v>167</v>
      </c>
      <c r="H755" t="s">
        <v>168</v>
      </c>
      <c r="I755" t="s">
        <v>9</v>
      </c>
      <c r="J755">
        <v>17</v>
      </c>
      <c r="K755" s="4" t="str" cm="1">
        <f t="array" ref="K755">_xlfn.IFS(J755&lt;=5,"0-5",J755&lt;=10,"6-10",J755&lt;=15,"11-15",J755&lt;=20,"16-20",J755&gt;20,"21+")</f>
        <v>16-20</v>
      </c>
      <c r="L755">
        <v>40</v>
      </c>
      <c r="M755" s="2">
        <f>L755</f>
        <v>40</v>
      </c>
      <c r="N755" s="8">
        <f t="shared" si="155"/>
        <v>40</v>
      </c>
      <c r="O755">
        <v>4.5</v>
      </c>
      <c r="P755">
        <v>1</v>
      </c>
      <c r="Q755" t="s">
        <v>2073</v>
      </c>
      <c r="R755" s="1">
        <v>0.72</v>
      </c>
      <c r="S755" s="3">
        <f t="shared" si="163"/>
        <v>0.72</v>
      </c>
    </row>
    <row r="756" spans="1:19" x14ac:dyDescent="0.3">
      <c r="A756" t="s">
        <v>1579</v>
      </c>
      <c r="B756" t="s">
        <v>1580</v>
      </c>
      <c r="C756" t="str">
        <f t="shared" si="159"/>
        <v>Diane Dean</v>
      </c>
      <c r="D756" t="s">
        <v>12</v>
      </c>
      <c r="E756" t="str">
        <f t="shared" si="154"/>
        <v>Female</v>
      </c>
      <c r="F756">
        <v>42</v>
      </c>
      <c r="G756" t="s">
        <v>127</v>
      </c>
      <c r="H756" t="s">
        <v>128</v>
      </c>
      <c r="I756" t="s">
        <v>36</v>
      </c>
      <c r="J756">
        <v>21</v>
      </c>
      <c r="K756" s="4" t="str" cm="1">
        <f t="array" ref="K756">_xlfn.IFS(J756&lt;=5,"0-5",J756&lt;=10,"6-10",J756&lt;=15,"11-15",J756&lt;=20,"16-20",J756&gt;20,"21+")</f>
        <v>21+</v>
      </c>
      <c r="N756" s="8" t="str">
        <f t="shared" si="155"/>
        <v/>
      </c>
      <c r="O756">
        <v>2.5</v>
      </c>
      <c r="P756" t="b">
        <v>1</v>
      </c>
      <c r="Q756" t="s">
        <v>2073</v>
      </c>
      <c r="R756" s="1">
        <v>0.73</v>
      </c>
      <c r="S756" s="3">
        <f t="shared" si="163"/>
        <v>0.73</v>
      </c>
    </row>
    <row r="757" spans="1:19" x14ac:dyDescent="0.3">
      <c r="A757" t="s">
        <v>1581</v>
      </c>
      <c r="B757" t="s">
        <v>1582</v>
      </c>
      <c r="C757" t="str">
        <f t="shared" si="159"/>
        <v>Stuart Mckinney</v>
      </c>
      <c r="D757" t="s">
        <v>53</v>
      </c>
      <c r="E757" t="str">
        <f t="shared" si="154"/>
        <v>Male</v>
      </c>
      <c r="F757">
        <v>26</v>
      </c>
      <c r="G757" t="s">
        <v>77</v>
      </c>
      <c r="H757" t="s">
        <v>78</v>
      </c>
      <c r="I757" t="s">
        <v>43</v>
      </c>
      <c r="J757">
        <v>7</v>
      </c>
      <c r="K757" s="4" t="str" cm="1">
        <f t="array" ref="K757">_xlfn.IFS(J757&lt;=5,"0-5",J757&lt;=10,"6-10",J757&lt;=15,"11-15",J757&lt;=20,"16-20",J757&gt;20,"21+")</f>
        <v>6-10</v>
      </c>
      <c r="L757" t="s">
        <v>44</v>
      </c>
      <c r="M757" s="2" t="str">
        <f>TRIM(MID(L757,FIND(" ",L757)+1,LEN(L757)))</f>
        <v>75</v>
      </c>
      <c r="N757" s="8">
        <f t="shared" si="155"/>
        <v>75</v>
      </c>
      <c r="O757">
        <v>2.9</v>
      </c>
      <c r="P757">
        <v>0</v>
      </c>
      <c r="Q757" t="s">
        <v>2072</v>
      </c>
      <c r="R757" s="1">
        <v>0.78</v>
      </c>
      <c r="S757" s="3">
        <f t="shared" si="163"/>
        <v>0.78</v>
      </c>
    </row>
    <row r="758" spans="1:19" x14ac:dyDescent="0.3">
      <c r="A758" t="s">
        <v>1583</v>
      </c>
      <c r="B758" t="s">
        <v>1584</v>
      </c>
      <c r="C758" t="str">
        <f t="shared" si="159"/>
        <v>Kellie Le</v>
      </c>
      <c r="D758" t="s">
        <v>6</v>
      </c>
      <c r="E758" t="str">
        <f t="shared" si="154"/>
        <v>Female</v>
      </c>
      <c r="F758">
        <v>49</v>
      </c>
      <c r="G758" t="s">
        <v>41</v>
      </c>
      <c r="H758" t="s">
        <v>42</v>
      </c>
      <c r="I758" t="s">
        <v>36</v>
      </c>
      <c r="J758">
        <v>22</v>
      </c>
      <c r="K758" s="4" t="str" cm="1">
        <f t="array" ref="K758">_xlfn.IFS(J758&lt;=5,"0-5",J758&lt;=10,"6-10",J758&lt;=15,"11-15",J758&lt;=20,"16-20",J758&gt;20,"21+")</f>
        <v>21+</v>
      </c>
      <c r="L758">
        <v>75</v>
      </c>
      <c r="M758" s="2">
        <f>L758</f>
        <v>75</v>
      </c>
      <c r="N758" s="8">
        <f t="shared" si="155"/>
        <v>75</v>
      </c>
      <c r="O758">
        <v>0</v>
      </c>
      <c r="P758" t="b">
        <v>1</v>
      </c>
      <c r="Q758" t="s">
        <v>2073</v>
      </c>
    </row>
    <row r="759" spans="1:19" x14ac:dyDescent="0.3">
      <c r="A759" t="s">
        <v>1585</v>
      </c>
      <c r="B759" t="s">
        <v>1586</v>
      </c>
      <c r="C759" t="str">
        <f t="shared" si="159"/>
        <v>Lauren Henry</v>
      </c>
      <c r="D759" t="s">
        <v>31</v>
      </c>
      <c r="E759" t="str">
        <f t="shared" si="154"/>
        <v>Female</v>
      </c>
      <c r="F759">
        <v>37</v>
      </c>
      <c r="G759" t="s">
        <v>7</v>
      </c>
      <c r="H759" t="s">
        <v>8</v>
      </c>
      <c r="I759" t="s">
        <v>81</v>
      </c>
      <c r="K759" s="4" t="str" cm="1">
        <f t="array" ref="K759">_xlfn.IFS(J759&lt;=5,"0-5",J759&lt;=10,"6-10",J759&lt;=15,"11-15",J759&lt;=20,"16-20",J759&gt;20,"21+")</f>
        <v>0-5</v>
      </c>
      <c r="L759" t="s">
        <v>44</v>
      </c>
      <c r="M759" s="2" t="str">
        <f>TRIM(MID(L759,FIND(" ",L759)+1,LEN(L759)))</f>
        <v>75</v>
      </c>
      <c r="N759" s="8">
        <f t="shared" si="155"/>
        <v>75</v>
      </c>
      <c r="O759">
        <v>3.5</v>
      </c>
      <c r="P759" t="s">
        <v>23</v>
      </c>
      <c r="Q759" t="s">
        <v>2072</v>
      </c>
      <c r="R759" s="1">
        <v>0.75</v>
      </c>
      <c r="S759" s="3">
        <f t="shared" ref="S759:S769" si="164">R759</f>
        <v>0.75</v>
      </c>
    </row>
    <row r="760" spans="1:19" x14ac:dyDescent="0.3">
      <c r="A760" t="s">
        <v>1587</v>
      </c>
      <c r="B760" t="s">
        <v>1588</v>
      </c>
      <c r="C760" t="str">
        <f t="shared" si="159"/>
        <v>Brandon Fox</v>
      </c>
      <c r="D760" t="s">
        <v>84</v>
      </c>
      <c r="E760" t="str">
        <f t="shared" si="154"/>
        <v>Male</v>
      </c>
      <c r="F760">
        <v>31</v>
      </c>
      <c r="G760" t="s">
        <v>13</v>
      </c>
      <c r="H760" t="s">
        <v>14</v>
      </c>
      <c r="I760" t="s">
        <v>36</v>
      </c>
      <c r="J760">
        <v>1</v>
      </c>
      <c r="K760" s="4" t="str" cm="1">
        <f t="array" ref="K760">_xlfn.IFS(J760&lt;=5,"0-5",J760&lt;=10,"6-10",J760&lt;=15,"11-15",J760&lt;=20,"16-20",J760&gt;20,"21+")</f>
        <v>0-5</v>
      </c>
      <c r="L760">
        <v>40</v>
      </c>
      <c r="M760" s="2">
        <f>L760</f>
        <v>40</v>
      </c>
      <c r="N760" s="8">
        <f t="shared" si="155"/>
        <v>40</v>
      </c>
      <c r="O760">
        <v>4.5</v>
      </c>
      <c r="P760">
        <v>0</v>
      </c>
      <c r="Q760" t="s">
        <v>2072</v>
      </c>
      <c r="R760" s="1">
        <v>0.96</v>
      </c>
      <c r="S760" s="3">
        <f t="shared" si="164"/>
        <v>0.96</v>
      </c>
    </row>
    <row r="761" spans="1:19" x14ac:dyDescent="0.3">
      <c r="A761" t="s">
        <v>1589</v>
      </c>
      <c r="B761" t="s">
        <v>1590</v>
      </c>
      <c r="C761" t="str">
        <f t="shared" si="159"/>
        <v>Richard Smith</v>
      </c>
      <c r="D761" t="s">
        <v>53</v>
      </c>
      <c r="E761" t="str">
        <f t="shared" si="154"/>
        <v>Male</v>
      </c>
      <c r="F761">
        <v>51</v>
      </c>
      <c r="G761" t="s">
        <v>104</v>
      </c>
      <c r="H761" t="s">
        <v>105</v>
      </c>
      <c r="I761" t="s">
        <v>15</v>
      </c>
      <c r="J761">
        <v>5</v>
      </c>
      <c r="K761" s="4" t="str" cm="1">
        <f t="array" ref="K761">_xlfn.IFS(J761&lt;=5,"0-5",J761&lt;=10,"6-10",J761&lt;=15,"11-15",J761&lt;=20,"16-20",J761&gt;20,"21+")</f>
        <v>0-5</v>
      </c>
      <c r="L761" t="s">
        <v>47</v>
      </c>
      <c r="M761" s="2" t="str">
        <f>TRIM(MID(L761,FIND(" ",L761)+1,LEN(L761)))</f>
        <v>40</v>
      </c>
      <c r="N761" s="8">
        <f t="shared" si="155"/>
        <v>40</v>
      </c>
      <c r="O761">
        <v>1.7</v>
      </c>
      <c r="P761" t="s">
        <v>60</v>
      </c>
      <c r="Q761" t="s">
        <v>2073</v>
      </c>
      <c r="R761" s="1">
        <v>0.61</v>
      </c>
      <c r="S761" s="3">
        <f t="shared" si="164"/>
        <v>0.61</v>
      </c>
    </row>
    <row r="762" spans="1:19" x14ac:dyDescent="0.3">
      <c r="A762" t="s">
        <v>1591</v>
      </c>
      <c r="B762" t="s">
        <v>1592</v>
      </c>
      <c r="C762" t="str">
        <f t="shared" si="159"/>
        <v>John White</v>
      </c>
      <c r="D762" t="s">
        <v>40</v>
      </c>
      <c r="E762" t="str">
        <f t="shared" si="154"/>
        <v>Male</v>
      </c>
      <c r="F762">
        <v>60</v>
      </c>
      <c r="G762" t="s">
        <v>167</v>
      </c>
      <c r="H762" t="s">
        <v>168</v>
      </c>
      <c r="I762" t="s">
        <v>81</v>
      </c>
      <c r="J762">
        <v>40</v>
      </c>
      <c r="K762" s="4" t="str" cm="1">
        <f t="array" ref="K762">_xlfn.IFS(J762&lt;=5,"0-5",J762&lt;=10,"6-10",J762&lt;=15,"11-15",J762&lt;=20,"16-20",J762&gt;20,"21+")</f>
        <v>21+</v>
      </c>
      <c r="L762">
        <v>50</v>
      </c>
      <c r="M762" s="2">
        <f>L762</f>
        <v>50</v>
      </c>
      <c r="N762" s="8">
        <f t="shared" si="155"/>
        <v>50</v>
      </c>
      <c r="O762">
        <v>4.5999999999999996</v>
      </c>
      <c r="P762" t="b">
        <v>1</v>
      </c>
      <c r="Q762" t="s">
        <v>2073</v>
      </c>
      <c r="R762" s="1">
        <v>1</v>
      </c>
      <c r="S762" s="3">
        <f t="shared" si="164"/>
        <v>1</v>
      </c>
    </row>
    <row r="763" spans="1:19" x14ac:dyDescent="0.3">
      <c r="A763" t="s">
        <v>1593</v>
      </c>
      <c r="B763" t="s">
        <v>1594</v>
      </c>
      <c r="C763" t="str">
        <f t="shared" si="159"/>
        <v>Gilbert Mcintyre</v>
      </c>
      <c r="D763" t="s">
        <v>84</v>
      </c>
      <c r="E763" t="str">
        <f t="shared" si="154"/>
        <v>Male</v>
      </c>
      <c r="F763">
        <v>51</v>
      </c>
      <c r="G763" t="s">
        <v>120</v>
      </c>
      <c r="H763" t="s">
        <v>14</v>
      </c>
      <c r="I763" t="s">
        <v>9</v>
      </c>
      <c r="J763">
        <v>19</v>
      </c>
      <c r="K763" s="4" t="str" cm="1">
        <f t="array" ref="K763">_xlfn.IFS(J763&lt;=5,"0-5",J763&lt;=10,"6-10",J763&lt;=15,"11-15",J763&lt;=20,"16-20",J763&gt;20,"21+")</f>
        <v>16-20</v>
      </c>
      <c r="L763">
        <v>50</v>
      </c>
      <c r="M763" s="2">
        <f>L763</f>
        <v>50</v>
      </c>
      <c r="N763" s="8">
        <f t="shared" si="155"/>
        <v>50</v>
      </c>
      <c r="P763" t="s">
        <v>66</v>
      </c>
      <c r="Q763" t="s">
        <v>2073</v>
      </c>
      <c r="R763" s="1">
        <v>0.82</v>
      </c>
      <c r="S763" s="3">
        <f t="shared" si="164"/>
        <v>0.82</v>
      </c>
    </row>
    <row r="764" spans="1:19" x14ac:dyDescent="0.3">
      <c r="A764" t="s">
        <v>1595</v>
      </c>
      <c r="B764" t="s">
        <v>1596</v>
      </c>
      <c r="C764" t="str">
        <f t="shared" si="159"/>
        <v>Christopher Sparks</v>
      </c>
      <c r="D764" t="s">
        <v>40</v>
      </c>
      <c r="E764" t="str">
        <f t="shared" si="154"/>
        <v>Male</v>
      </c>
      <c r="F764">
        <v>37</v>
      </c>
      <c r="G764" t="s">
        <v>20</v>
      </c>
      <c r="H764" t="s">
        <v>21</v>
      </c>
      <c r="I764" t="s">
        <v>22</v>
      </c>
      <c r="J764">
        <v>12</v>
      </c>
      <c r="K764" s="4" t="str" cm="1">
        <f t="array" ref="K764">_xlfn.IFS(J764&lt;=5,"0-5",J764&lt;=10,"6-10",J764&lt;=15,"11-15",J764&lt;=20,"16-20",J764&gt;20,"21+")</f>
        <v>11-15</v>
      </c>
      <c r="N764" s="8" t="str">
        <f t="shared" si="155"/>
        <v/>
      </c>
      <c r="O764">
        <v>4.9000000000000004</v>
      </c>
      <c r="P764">
        <v>1</v>
      </c>
      <c r="Q764" t="s">
        <v>2073</v>
      </c>
      <c r="R764" s="1">
        <v>0.8</v>
      </c>
      <c r="S764" s="3">
        <f t="shared" si="164"/>
        <v>0.8</v>
      </c>
    </row>
    <row r="765" spans="1:19" x14ac:dyDescent="0.3">
      <c r="A765" t="s">
        <v>1597</v>
      </c>
      <c r="B765" t="s">
        <v>1598</v>
      </c>
      <c r="C765" t="str">
        <f t="shared" si="159"/>
        <v>Aaron Hicks</v>
      </c>
      <c r="D765" t="s">
        <v>19</v>
      </c>
      <c r="E765" t="str">
        <f t="shared" si="154"/>
        <v>Male</v>
      </c>
      <c r="F765">
        <v>52</v>
      </c>
      <c r="G765" t="s">
        <v>85</v>
      </c>
      <c r="H765" t="s">
        <v>86</v>
      </c>
      <c r="I765" t="s">
        <v>9</v>
      </c>
      <c r="J765">
        <v>7</v>
      </c>
      <c r="K765" s="4" t="str" cm="1">
        <f t="array" ref="K765">_xlfn.IFS(J765&lt;=5,"0-5",J765&lt;=10,"6-10",J765&lt;=15,"11-15",J765&lt;=20,"16-20",J765&gt;20,"21+")</f>
        <v>6-10</v>
      </c>
      <c r="L765">
        <v>40</v>
      </c>
      <c r="M765" s="2">
        <f>L765</f>
        <v>40</v>
      </c>
      <c r="N765" s="8">
        <f t="shared" si="155"/>
        <v>40</v>
      </c>
      <c r="O765">
        <v>2.2000000000000002</v>
      </c>
      <c r="R765" s="1">
        <v>0.96</v>
      </c>
      <c r="S765" s="3">
        <f t="shared" si="164"/>
        <v>0.96</v>
      </c>
    </row>
    <row r="766" spans="1:19" x14ac:dyDescent="0.3">
      <c r="A766" t="s">
        <v>1599</v>
      </c>
      <c r="B766" t="s">
        <v>1600</v>
      </c>
      <c r="C766" t="str">
        <f t="shared" si="159"/>
        <v>Jose Patterson</v>
      </c>
      <c r="D766" t="s">
        <v>40</v>
      </c>
      <c r="E766" t="str">
        <f t="shared" si="154"/>
        <v>Male</v>
      </c>
      <c r="F766">
        <v>27</v>
      </c>
      <c r="G766" t="s">
        <v>41</v>
      </c>
      <c r="H766" t="s">
        <v>42</v>
      </c>
      <c r="I766" t="s">
        <v>9</v>
      </c>
      <c r="J766">
        <v>4</v>
      </c>
      <c r="K766" s="4" t="str" cm="1">
        <f t="array" ref="K766">_xlfn.IFS(J766&lt;=5,"0-5",J766&lt;=10,"6-10",J766&lt;=15,"11-15",J766&lt;=20,"16-20",J766&gt;20,"21+")</f>
        <v>0-5</v>
      </c>
      <c r="L766">
        <v>20</v>
      </c>
      <c r="M766" s="2">
        <f>L766</f>
        <v>20</v>
      </c>
      <c r="N766" s="8">
        <f t="shared" si="155"/>
        <v>20</v>
      </c>
      <c r="P766">
        <v>0</v>
      </c>
      <c r="Q766" t="s">
        <v>2072</v>
      </c>
      <c r="R766" s="1">
        <v>0.63</v>
      </c>
      <c r="S766" s="3">
        <f t="shared" si="164"/>
        <v>0.63</v>
      </c>
    </row>
    <row r="767" spans="1:19" x14ac:dyDescent="0.3">
      <c r="A767" t="s">
        <v>1601</v>
      </c>
      <c r="B767" t="s">
        <v>1602</v>
      </c>
      <c r="C767" t="str">
        <f t="shared" si="159"/>
        <v>Bryan Long</v>
      </c>
      <c r="D767" t="s">
        <v>40</v>
      </c>
      <c r="E767" t="str">
        <f t="shared" si="154"/>
        <v>Male</v>
      </c>
      <c r="F767">
        <v>48</v>
      </c>
      <c r="G767" t="s">
        <v>13</v>
      </c>
      <c r="H767" t="s">
        <v>14</v>
      </c>
      <c r="I767" t="s">
        <v>22</v>
      </c>
      <c r="J767">
        <v>24</v>
      </c>
      <c r="K767" s="4" t="str" cm="1">
        <f t="array" ref="K767">_xlfn.IFS(J767&lt;=5,"0-5",J767&lt;=10,"6-10",J767&lt;=15,"11-15",J767&lt;=20,"16-20",J767&gt;20,"21+")</f>
        <v>21+</v>
      </c>
      <c r="L767" t="s">
        <v>28</v>
      </c>
      <c r="M767" s="2" t="str">
        <f>SUBSTITUTE(L767,"$","")</f>
        <v>40</v>
      </c>
      <c r="N767" s="8">
        <f t="shared" si="155"/>
        <v>40</v>
      </c>
      <c r="O767">
        <v>2.2000000000000002</v>
      </c>
      <c r="P767">
        <v>0</v>
      </c>
      <c r="Q767" t="s">
        <v>2072</v>
      </c>
      <c r="R767" s="1">
        <v>0.67</v>
      </c>
      <c r="S767" s="3">
        <f t="shared" si="164"/>
        <v>0.67</v>
      </c>
    </row>
    <row r="768" spans="1:19" x14ac:dyDescent="0.3">
      <c r="A768" t="s">
        <v>1603</v>
      </c>
      <c r="B768" t="s">
        <v>1604</v>
      </c>
      <c r="C768" t="str">
        <f t="shared" si="159"/>
        <v>Tammy Gomez</v>
      </c>
      <c r="D768" t="s">
        <v>26</v>
      </c>
      <c r="E768" t="str">
        <f t="shared" si="154"/>
        <v>Female</v>
      </c>
      <c r="F768">
        <v>22</v>
      </c>
      <c r="G768" t="s">
        <v>77</v>
      </c>
      <c r="H768" t="s">
        <v>78</v>
      </c>
      <c r="I768" t="s">
        <v>43</v>
      </c>
      <c r="J768">
        <v>1</v>
      </c>
      <c r="K768" s="4" t="str" cm="1">
        <f t="array" ref="K768">_xlfn.IFS(J768&lt;=5,"0-5",J768&lt;=10,"6-10",J768&lt;=15,"11-15",J768&lt;=20,"16-20",J768&gt;20,"21+")</f>
        <v>0-5</v>
      </c>
      <c r="L768" t="s">
        <v>101</v>
      </c>
      <c r="M768" s="2" t="str">
        <f>TRIM(MID(L768,FIND(" ",L768)+1,LEN(L768)))</f>
        <v>30</v>
      </c>
      <c r="N768" s="8">
        <f t="shared" si="155"/>
        <v>30</v>
      </c>
      <c r="O768">
        <v>3.3</v>
      </c>
      <c r="P768">
        <v>1</v>
      </c>
      <c r="Q768" t="s">
        <v>2073</v>
      </c>
      <c r="R768" s="1">
        <v>0.61</v>
      </c>
      <c r="S768" s="3">
        <f t="shared" si="164"/>
        <v>0.61</v>
      </c>
    </row>
    <row r="769" spans="1:19" x14ac:dyDescent="0.3">
      <c r="A769" t="s">
        <v>1605</v>
      </c>
      <c r="B769" t="s">
        <v>1606</v>
      </c>
      <c r="C769" t="str">
        <f t="shared" si="159"/>
        <v>Diana Raymond</v>
      </c>
      <c r="D769" t="s">
        <v>12</v>
      </c>
      <c r="E769" t="str">
        <f t="shared" si="154"/>
        <v>Female</v>
      </c>
      <c r="F769">
        <v>48</v>
      </c>
      <c r="G769" t="s">
        <v>20</v>
      </c>
      <c r="H769" t="s">
        <v>21</v>
      </c>
      <c r="I769" t="s">
        <v>15</v>
      </c>
      <c r="J769">
        <v>28</v>
      </c>
      <c r="K769" s="4" t="str" cm="1">
        <f t="array" ref="K769">_xlfn.IFS(J769&lt;=5,"0-5",J769&lt;=10,"6-10",J769&lt;=15,"11-15",J769&lt;=20,"16-20",J769&gt;20,"21+")</f>
        <v>21+</v>
      </c>
      <c r="L769" t="s">
        <v>101</v>
      </c>
      <c r="M769" s="2" t="str">
        <f>TRIM(MID(L769,FIND(" ",L769)+1,LEN(L769)))</f>
        <v>30</v>
      </c>
      <c r="N769" s="8">
        <f t="shared" si="155"/>
        <v>30</v>
      </c>
      <c r="O769">
        <v>4.9000000000000004</v>
      </c>
      <c r="P769">
        <v>0</v>
      </c>
      <c r="Q769" t="s">
        <v>2072</v>
      </c>
      <c r="R769" s="1">
        <v>0.77</v>
      </c>
      <c r="S769" s="3">
        <f t="shared" si="164"/>
        <v>0.77</v>
      </c>
    </row>
    <row r="770" spans="1:19" x14ac:dyDescent="0.3">
      <c r="A770" t="s">
        <v>1607</v>
      </c>
      <c r="B770" t="s">
        <v>1608</v>
      </c>
      <c r="C770" t="str">
        <f t="shared" si="159"/>
        <v>Jessica Armstrong</v>
      </c>
      <c r="D770" t="s">
        <v>26</v>
      </c>
      <c r="E770" t="str">
        <f t="shared" ref="E770:E833" si="165">IF(LOWER(LEFT(D770,1))="f","Female","Male")</f>
        <v>Female</v>
      </c>
      <c r="F770">
        <v>54</v>
      </c>
      <c r="G770" t="s">
        <v>50</v>
      </c>
      <c r="H770" t="s">
        <v>14</v>
      </c>
      <c r="I770" t="s">
        <v>15</v>
      </c>
      <c r="J770">
        <v>19</v>
      </c>
      <c r="K770" s="4" t="str" cm="1">
        <f t="array" ref="K770">_xlfn.IFS(J770&lt;=5,"0-5",J770&lt;=10,"6-10",J770&lt;=15,"11-15",J770&lt;=20,"16-20",J770&gt;20,"21+")</f>
        <v>16-20</v>
      </c>
      <c r="L770">
        <v>75</v>
      </c>
      <c r="M770" s="2">
        <f>L770</f>
        <v>75</v>
      </c>
      <c r="N770" s="8">
        <f t="shared" si="155"/>
        <v>75</v>
      </c>
      <c r="O770">
        <v>0</v>
      </c>
    </row>
    <row r="771" spans="1:19" x14ac:dyDescent="0.3">
      <c r="A771" t="s">
        <v>1609</v>
      </c>
      <c r="B771" t="s">
        <v>1610</v>
      </c>
      <c r="C771" t="str">
        <f t="shared" si="159"/>
        <v>Amanda Martin</v>
      </c>
      <c r="D771" t="s">
        <v>69</v>
      </c>
      <c r="E771" t="str">
        <f t="shared" si="165"/>
        <v>Female</v>
      </c>
      <c r="F771">
        <v>52</v>
      </c>
      <c r="G771" t="s">
        <v>104</v>
      </c>
      <c r="H771" t="s">
        <v>105</v>
      </c>
      <c r="I771" t="s">
        <v>43</v>
      </c>
      <c r="J771">
        <v>4</v>
      </c>
      <c r="K771" s="4" t="str" cm="1">
        <f t="array" ref="K771">_xlfn.IFS(J771&lt;=5,"0-5",J771&lt;=10,"6-10",J771&lt;=15,"11-15",J771&lt;=20,"16-20",J771&gt;20,"21+")</f>
        <v>0-5</v>
      </c>
      <c r="L771">
        <v>50</v>
      </c>
      <c r="M771" s="2">
        <f>L771</f>
        <v>50</v>
      </c>
      <c r="N771" s="8">
        <f t="shared" ref="N771:N834" si="166">IF(M771="", "", VALUE(M771))</f>
        <v>50</v>
      </c>
      <c r="P771" t="s">
        <v>23</v>
      </c>
      <c r="Q771" t="s">
        <v>2072</v>
      </c>
      <c r="R771" s="1">
        <v>0.84</v>
      </c>
      <c r="S771" s="3">
        <f t="shared" ref="S771:S782" si="167">R771</f>
        <v>0.84</v>
      </c>
    </row>
    <row r="772" spans="1:19" x14ac:dyDescent="0.3">
      <c r="A772" t="s">
        <v>1611</v>
      </c>
      <c r="B772" t="s">
        <v>1612</v>
      </c>
      <c r="C772" t="str">
        <f t="shared" si="159"/>
        <v>Anne Hamilton</v>
      </c>
      <c r="D772" t="s">
        <v>31</v>
      </c>
      <c r="E772" t="str">
        <f t="shared" si="165"/>
        <v>Female</v>
      </c>
      <c r="F772">
        <v>39</v>
      </c>
      <c r="G772" t="s">
        <v>54</v>
      </c>
      <c r="H772" t="s">
        <v>55</v>
      </c>
      <c r="I772" t="s">
        <v>27</v>
      </c>
      <c r="J772">
        <v>20</v>
      </c>
      <c r="K772" s="4" t="str" cm="1">
        <f t="array" ref="K772">_xlfn.IFS(J772&lt;=5,"0-5",J772&lt;=10,"6-10",J772&lt;=15,"11-15",J772&lt;=20,"16-20",J772&gt;20,"21+")</f>
        <v>16-20</v>
      </c>
      <c r="L772" t="s">
        <v>16</v>
      </c>
      <c r="M772" s="2" t="str">
        <f>TRIM(MID(L772,FIND(" ",L772)+1,LEN(L772)))</f>
        <v>100</v>
      </c>
      <c r="N772" s="8">
        <f t="shared" si="166"/>
        <v>100</v>
      </c>
      <c r="P772" t="s">
        <v>66</v>
      </c>
      <c r="Q772" t="s">
        <v>2073</v>
      </c>
      <c r="R772" s="1">
        <v>0.89</v>
      </c>
      <c r="S772" s="3">
        <f t="shared" si="167"/>
        <v>0.89</v>
      </c>
    </row>
    <row r="773" spans="1:19" x14ac:dyDescent="0.3">
      <c r="A773" t="s">
        <v>1613</v>
      </c>
      <c r="B773" t="s">
        <v>1614</v>
      </c>
      <c r="C773" t="str">
        <f t="shared" si="159"/>
        <v>Heather Curtis</v>
      </c>
      <c r="D773" t="s">
        <v>6</v>
      </c>
      <c r="E773" t="str">
        <f t="shared" si="165"/>
        <v>Female</v>
      </c>
      <c r="F773">
        <v>54</v>
      </c>
      <c r="G773" t="s">
        <v>116</v>
      </c>
      <c r="H773" t="s">
        <v>117</v>
      </c>
      <c r="I773" t="s">
        <v>15</v>
      </c>
      <c r="J773">
        <v>19</v>
      </c>
      <c r="K773" s="4" t="str" cm="1">
        <f t="array" ref="K773">_xlfn.IFS(J773&lt;=5,"0-5",J773&lt;=10,"6-10",J773&lt;=15,"11-15",J773&lt;=20,"16-20",J773&gt;20,"21+")</f>
        <v>16-20</v>
      </c>
      <c r="L773" t="s">
        <v>101</v>
      </c>
      <c r="M773" s="2" t="str">
        <f>TRIM(MID(L773,FIND(" ",L773)+1,LEN(L773)))</f>
        <v>30</v>
      </c>
      <c r="N773" s="8">
        <f t="shared" si="166"/>
        <v>30</v>
      </c>
      <c r="O773">
        <v>4</v>
      </c>
      <c r="R773" s="1">
        <v>0.9</v>
      </c>
      <c r="S773" s="3">
        <f t="shared" si="167"/>
        <v>0.9</v>
      </c>
    </row>
    <row r="774" spans="1:19" x14ac:dyDescent="0.3">
      <c r="A774" t="s">
        <v>1615</v>
      </c>
      <c r="B774" t="s">
        <v>1616</v>
      </c>
      <c r="C774" t="str">
        <f t="shared" si="159"/>
        <v>Tiffany Moses</v>
      </c>
      <c r="D774" t="s">
        <v>69</v>
      </c>
      <c r="E774" t="str">
        <f t="shared" si="165"/>
        <v>Female</v>
      </c>
      <c r="F774">
        <v>22</v>
      </c>
      <c r="G774" t="s">
        <v>50</v>
      </c>
      <c r="H774" t="s">
        <v>14</v>
      </c>
      <c r="I774" t="s">
        <v>70</v>
      </c>
      <c r="J774">
        <v>1</v>
      </c>
      <c r="K774" s="4" t="str" cm="1">
        <f t="array" ref="K774">_xlfn.IFS(J774&lt;=5,"0-5",J774&lt;=10,"6-10",J774&lt;=15,"11-15",J774&lt;=20,"16-20",J774&gt;20,"21+")</f>
        <v>0-5</v>
      </c>
      <c r="L774">
        <v>20</v>
      </c>
      <c r="M774" s="2">
        <f>L774</f>
        <v>20</v>
      </c>
      <c r="N774" s="8">
        <f t="shared" si="166"/>
        <v>20</v>
      </c>
      <c r="O774">
        <v>4.8</v>
      </c>
      <c r="P774" t="b">
        <v>0</v>
      </c>
      <c r="Q774" t="s">
        <v>2072</v>
      </c>
      <c r="R774" s="1">
        <v>0.87</v>
      </c>
      <c r="S774" s="3">
        <f t="shared" si="167"/>
        <v>0.87</v>
      </c>
    </row>
    <row r="775" spans="1:19" x14ac:dyDescent="0.3">
      <c r="A775" t="s">
        <v>1617</v>
      </c>
      <c r="B775" t="s">
        <v>1618</v>
      </c>
      <c r="C775" t="str">
        <f t="shared" si="159"/>
        <v>Jacqueline Moon</v>
      </c>
      <c r="D775" t="s">
        <v>12</v>
      </c>
      <c r="E775" t="str">
        <f t="shared" si="165"/>
        <v>Female</v>
      </c>
      <c r="F775">
        <v>29</v>
      </c>
      <c r="G775" t="s">
        <v>145</v>
      </c>
      <c r="H775" t="s">
        <v>146</v>
      </c>
      <c r="I775" t="s">
        <v>15</v>
      </c>
      <c r="J775">
        <v>8</v>
      </c>
      <c r="K775" s="4" t="str" cm="1">
        <f t="array" ref="K775">_xlfn.IFS(J775&lt;=5,"0-5",J775&lt;=10,"6-10",J775&lt;=15,"11-15",J775&lt;=20,"16-20",J775&gt;20,"21+")</f>
        <v>6-10</v>
      </c>
      <c r="L775">
        <v>50</v>
      </c>
      <c r="M775" s="2">
        <f>L775</f>
        <v>50</v>
      </c>
      <c r="N775" s="8">
        <f t="shared" si="166"/>
        <v>50</v>
      </c>
      <c r="O775">
        <v>0</v>
      </c>
      <c r="P775">
        <v>0</v>
      </c>
      <c r="Q775" t="s">
        <v>2072</v>
      </c>
      <c r="R775" s="1">
        <v>0.77</v>
      </c>
      <c r="S775" s="3">
        <f t="shared" si="167"/>
        <v>0.77</v>
      </c>
    </row>
    <row r="776" spans="1:19" x14ac:dyDescent="0.3">
      <c r="A776" t="s">
        <v>1619</v>
      </c>
      <c r="B776" t="s">
        <v>1620</v>
      </c>
      <c r="C776" t="str">
        <f t="shared" si="159"/>
        <v>James Campbell</v>
      </c>
      <c r="D776" t="s">
        <v>84</v>
      </c>
      <c r="E776" t="str">
        <f t="shared" si="165"/>
        <v>Male</v>
      </c>
      <c r="F776">
        <v>23</v>
      </c>
      <c r="G776" t="s">
        <v>182</v>
      </c>
      <c r="H776" t="s">
        <v>64</v>
      </c>
      <c r="I776" t="s">
        <v>81</v>
      </c>
      <c r="J776">
        <v>3</v>
      </c>
      <c r="K776" s="4" t="str" cm="1">
        <f t="array" ref="K776">_xlfn.IFS(J776&lt;=5,"0-5",J776&lt;=10,"6-10",J776&lt;=15,"11-15",J776&lt;=20,"16-20",J776&gt;20,"21+")</f>
        <v>0-5</v>
      </c>
      <c r="L776" t="s">
        <v>101</v>
      </c>
      <c r="M776" s="2" t="str">
        <f>TRIM(MID(L776,FIND(" ",L776)+1,LEN(L776)))</f>
        <v>30</v>
      </c>
      <c r="N776" s="8">
        <f t="shared" si="166"/>
        <v>30</v>
      </c>
      <c r="O776">
        <v>1.6</v>
      </c>
      <c r="P776" t="s">
        <v>66</v>
      </c>
      <c r="Q776" t="s">
        <v>2073</v>
      </c>
      <c r="R776" s="1">
        <v>0.72</v>
      </c>
      <c r="S776" s="3">
        <f t="shared" si="167"/>
        <v>0.72</v>
      </c>
    </row>
    <row r="777" spans="1:19" x14ac:dyDescent="0.3">
      <c r="A777" t="s">
        <v>1621</v>
      </c>
      <c r="B777" t="s">
        <v>1622</v>
      </c>
      <c r="C777" t="str">
        <f t="shared" si="159"/>
        <v>Melissa Vasquez</v>
      </c>
      <c r="D777" t="s">
        <v>26</v>
      </c>
      <c r="E777" t="str">
        <f t="shared" si="165"/>
        <v>Female</v>
      </c>
      <c r="F777">
        <v>58</v>
      </c>
      <c r="G777" t="s">
        <v>171</v>
      </c>
      <c r="H777" t="s">
        <v>64</v>
      </c>
      <c r="I777" t="s">
        <v>81</v>
      </c>
      <c r="J777">
        <v>30</v>
      </c>
      <c r="K777" s="4" t="str" cm="1">
        <f t="array" ref="K777">_xlfn.IFS(J777&lt;=5,"0-5",J777&lt;=10,"6-10",J777&lt;=15,"11-15",J777&lt;=20,"16-20",J777&gt;20,"21+")</f>
        <v>21+</v>
      </c>
      <c r="L777">
        <v>50</v>
      </c>
      <c r="M777" s="2">
        <f>L777</f>
        <v>50</v>
      </c>
      <c r="N777" s="8">
        <f t="shared" si="166"/>
        <v>50</v>
      </c>
      <c r="O777">
        <v>1.3</v>
      </c>
      <c r="P777" t="s">
        <v>60</v>
      </c>
      <c r="Q777" t="s">
        <v>2073</v>
      </c>
      <c r="R777" s="1">
        <v>0.87</v>
      </c>
      <c r="S777" s="3">
        <f t="shared" si="167"/>
        <v>0.87</v>
      </c>
    </row>
    <row r="778" spans="1:19" x14ac:dyDescent="0.3">
      <c r="A778" t="s">
        <v>1623</v>
      </c>
      <c r="B778" t="s">
        <v>1624</v>
      </c>
      <c r="C778" t="str">
        <f t="shared" si="159"/>
        <v>Katherine Carlson</v>
      </c>
      <c r="D778" t="s">
        <v>6</v>
      </c>
      <c r="E778" t="str">
        <f t="shared" si="165"/>
        <v>Female</v>
      </c>
      <c r="F778">
        <v>56</v>
      </c>
      <c r="G778" t="s">
        <v>167</v>
      </c>
      <c r="H778" t="s">
        <v>168</v>
      </c>
      <c r="I778" t="s">
        <v>9</v>
      </c>
      <c r="J778">
        <v>3</v>
      </c>
      <c r="K778" s="4" t="str" cm="1">
        <f t="array" ref="K778">_xlfn.IFS(J778&lt;=5,"0-5",J778&lt;=10,"6-10",J778&lt;=15,"11-15",J778&lt;=20,"16-20",J778&gt;20,"21+")</f>
        <v>0-5</v>
      </c>
      <c r="L778">
        <v>40</v>
      </c>
      <c r="M778" s="2">
        <f>L778</f>
        <v>40</v>
      </c>
      <c r="N778" s="8">
        <f t="shared" si="166"/>
        <v>40</v>
      </c>
      <c r="O778">
        <v>4.0999999999999996</v>
      </c>
      <c r="P778" t="b">
        <v>1</v>
      </c>
      <c r="Q778" t="s">
        <v>2073</v>
      </c>
      <c r="R778" s="1">
        <v>0.89</v>
      </c>
      <c r="S778" s="3">
        <f t="shared" si="167"/>
        <v>0.89</v>
      </c>
    </row>
    <row r="779" spans="1:19" x14ac:dyDescent="0.3">
      <c r="A779" t="s">
        <v>1625</v>
      </c>
      <c r="B779" t="s">
        <v>1626</v>
      </c>
      <c r="C779" t="str">
        <f t="shared" si="159"/>
        <v>Adam Clay</v>
      </c>
      <c r="D779" t="s">
        <v>84</v>
      </c>
      <c r="E779" t="str">
        <f t="shared" si="165"/>
        <v>Male</v>
      </c>
      <c r="F779">
        <v>48</v>
      </c>
      <c r="G779" t="s">
        <v>54</v>
      </c>
      <c r="H779" t="s">
        <v>55</v>
      </c>
      <c r="I779" t="s">
        <v>27</v>
      </c>
      <c r="J779">
        <v>19</v>
      </c>
      <c r="K779" s="4" t="str" cm="1">
        <f t="array" ref="K779">_xlfn.IFS(J779&lt;=5,"0-5",J779&lt;=10,"6-10",J779&lt;=15,"11-15",J779&lt;=20,"16-20",J779&gt;20,"21+")</f>
        <v>16-20</v>
      </c>
      <c r="L779">
        <v>40</v>
      </c>
      <c r="M779" s="2">
        <f>L779</f>
        <v>40</v>
      </c>
      <c r="N779" s="8">
        <f t="shared" si="166"/>
        <v>40</v>
      </c>
      <c r="O779">
        <v>1.5</v>
      </c>
      <c r="P779">
        <v>0</v>
      </c>
      <c r="Q779" t="s">
        <v>2072</v>
      </c>
      <c r="R779" s="1">
        <v>0.87</v>
      </c>
      <c r="S779" s="3">
        <f t="shared" si="167"/>
        <v>0.87</v>
      </c>
    </row>
    <row r="780" spans="1:19" x14ac:dyDescent="0.3">
      <c r="A780" t="s">
        <v>1627</v>
      </c>
      <c r="B780" t="s">
        <v>1628</v>
      </c>
      <c r="C780" t="str">
        <f t="shared" si="159"/>
        <v>Amy Combs</v>
      </c>
      <c r="D780" t="s">
        <v>69</v>
      </c>
      <c r="E780" t="str">
        <f t="shared" si="165"/>
        <v>Female</v>
      </c>
      <c r="F780">
        <v>31</v>
      </c>
      <c r="G780" t="s">
        <v>116</v>
      </c>
      <c r="H780" t="s">
        <v>117</v>
      </c>
      <c r="I780" t="s">
        <v>15</v>
      </c>
      <c r="J780">
        <v>11</v>
      </c>
      <c r="K780" s="4" t="str" cm="1">
        <f t="array" ref="K780">_xlfn.IFS(J780&lt;=5,"0-5",J780&lt;=10,"6-10",J780&lt;=15,"11-15",J780&lt;=20,"16-20",J780&gt;20,"21+")</f>
        <v>11-15</v>
      </c>
      <c r="L780" t="s">
        <v>47</v>
      </c>
      <c r="M780" s="2" t="str">
        <f>TRIM(MID(L780,FIND(" ",L780)+1,LEN(L780)))</f>
        <v>40</v>
      </c>
      <c r="N780" s="8">
        <f t="shared" si="166"/>
        <v>40</v>
      </c>
      <c r="O780">
        <v>4.3</v>
      </c>
      <c r="P780" t="s">
        <v>66</v>
      </c>
      <c r="Q780" t="s">
        <v>2073</v>
      </c>
      <c r="R780" s="1">
        <v>0.76</v>
      </c>
      <c r="S780" s="3">
        <f t="shared" si="167"/>
        <v>0.76</v>
      </c>
    </row>
    <row r="781" spans="1:19" x14ac:dyDescent="0.3">
      <c r="A781" t="s">
        <v>1629</v>
      </c>
      <c r="B781" t="s">
        <v>1630</v>
      </c>
      <c r="C781" t="str">
        <f t="shared" si="159"/>
        <v>Anthony Case</v>
      </c>
      <c r="D781" t="s">
        <v>84</v>
      </c>
      <c r="E781" t="str">
        <f t="shared" si="165"/>
        <v>Male</v>
      </c>
      <c r="F781">
        <v>44</v>
      </c>
      <c r="G781" t="s">
        <v>13</v>
      </c>
      <c r="H781" t="s">
        <v>14</v>
      </c>
      <c r="I781" t="s">
        <v>106</v>
      </c>
      <c r="J781">
        <v>26</v>
      </c>
      <c r="K781" s="4" t="str" cm="1">
        <f t="array" ref="K781">_xlfn.IFS(J781&lt;=5,"0-5",J781&lt;=10,"6-10",J781&lt;=15,"11-15",J781&lt;=20,"16-20",J781&gt;20,"21+")</f>
        <v>21+</v>
      </c>
      <c r="L781">
        <v>50</v>
      </c>
      <c r="M781" s="2">
        <f>L781</f>
        <v>50</v>
      </c>
      <c r="N781" s="8">
        <f t="shared" si="166"/>
        <v>50</v>
      </c>
      <c r="O781">
        <v>1.6</v>
      </c>
      <c r="R781" s="1">
        <v>1</v>
      </c>
      <c r="S781" s="3">
        <f t="shared" si="167"/>
        <v>1</v>
      </c>
    </row>
    <row r="782" spans="1:19" x14ac:dyDescent="0.3">
      <c r="A782" t="s">
        <v>1631</v>
      </c>
      <c r="B782" t="s">
        <v>1632</v>
      </c>
      <c r="C782" t="str">
        <f t="shared" si="159"/>
        <v>Kimberly Brown</v>
      </c>
      <c r="D782" t="s">
        <v>26</v>
      </c>
      <c r="E782" t="str">
        <f t="shared" si="165"/>
        <v>Female</v>
      </c>
      <c r="F782">
        <v>42</v>
      </c>
      <c r="G782" t="s">
        <v>131</v>
      </c>
      <c r="H782" t="s">
        <v>132</v>
      </c>
      <c r="I782" t="s">
        <v>15</v>
      </c>
      <c r="J782">
        <v>10</v>
      </c>
      <c r="K782" s="4" t="str" cm="1">
        <f t="array" ref="K782">_xlfn.IFS(J782&lt;=5,"0-5",J782&lt;=10,"6-10",J782&lt;=15,"11-15",J782&lt;=20,"16-20",J782&gt;20,"21+")</f>
        <v>6-10</v>
      </c>
      <c r="L782">
        <v>100</v>
      </c>
      <c r="M782" s="2">
        <f>L782</f>
        <v>100</v>
      </c>
      <c r="N782" s="8">
        <f t="shared" si="166"/>
        <v>100</v>
      </c>
      <c r="O782">
        <v>3.7</v>
      </c>
      <c r="P782" t="s">
        <v>66</v>
      </c>
      <c r="Q782" t="s">
        <v>2073</v>
      </c>
      <c r="R782" s="1">
        <v>0.94</v>
      </c>
      <c r="S782" s="3">
        <f t="shared" si="167"/>
        <v>0.94</v>
      </c>
    </row>
    <row r="783" spans="1:19" x14ac:dyDescent="0.3">
      <c r="A783" t="s">
        <v>1633</v>
      </c>
      <c r="B783" t="s">
        <v>1634</v>
      </c>
      <c r="C783" t="str">
        <f t="shared" si="159"/>
        <v>Joshua Holloway</v>
      </c>
      <c r="D783" t="s">
        <v>89</v>
      </c>
      <c r="E783" t="str">
        <f t="shared" si="165"/>
        <v>Male</v>
      </c>
      <c r="F783">
        <v>59</v>
      </c>
      <c r="G783" t="s">
        <v>50</v>
      </c>
      <c r="H783" t="s">
        <v>14</v>
      </c>
      <c r="I783" t="s">
        <v>70</v>
      </c>
      <c r="J783">
        <v>17</v>
      </c>
      <c r="K783" s="4" t="str" cm="1">
        <f t="array" ref="K783">_xlfn.IFS(J783&lt;=5,"0-5",J783&lt;=10,"6-10",J783&lt;=15,"11-15",J783&lt;=20,"16-20",J783&gt;20,"21+")</f>
        <v>16-20</v>
      </c>
      <c r="L783">
        <v>50</v>
      </c>
      <c r="M783" s="2">
        <f>L783</f>
        <v>50</v>
      </c>
      <c r="N783" s="8">
        <f t="shared" si="166"/>
        <v>50</v>
      </c>
      <c r="O783">
        <v>1.4</v>
      </c>
      <c r="P783" t="s">
        <v>60</v>
      </c>
      <c r="Q783" t="s">
        <v>2073</v>
      </c>
    </row>
    <row r="784" spans="1:19" x14ac:dyDescent="0.3">
      <c r="A784" t="s">
        <v>1635</v>
      </c>
      <c r="B784" t="s">
        <v>1636</v>
      </c>
      <c r="C784" t="str">
        <f t="shared" si="159"/>
        <v>Cynthia Walton</v>
      </c>
      <c r="D784" t="s">
        <v>26</v>
      </c>
      <c r="E784" t="str">
        <f t="shared" si="165"/>
        <v>Female</v>
      </c>
      <c r="G784" t="s">
        <v>63</v>
      </c>
      <c r="H784" t="s">
        <v>64</v>
      </c>
      <c r="I784" t="s">
        <v>9</v>
      </c>
      <c r="J784">
        <v>9</v>
      </c>
      <c r="K784" s="4" t="str" cm="1">
        <f t="array" ref="K784">_xlfn.IFS(J784&lt;=5,"0-5",J784&lt;=10,"6-10",J784&lt;=15,"11-15",J784&lt;=20,"16-20",J784&gt;20,"21+")</f>
        <v>6-10</v>
      </c>
      <c r="L784" t="s">
        <v>221</v>
      </c>
      <c r="M784" s="2" t="str">
        <f>SUBSTITUTE(L784,"$","")</f>
        <v>100</v>
      </c>
      <c r="N784" s="8">
        <f t="shared" si="166"/>
        <v>100</v>
      </c>
      <c r="O784">
        <v>4.5</v>
      </c>
      <c r="P784" t="s">
        <v>66</v>
      </c>
      <c r="Q784" t="s">
        <v>2073</v>
      </c>
      <c r="R784">
        <v>83</v>
      </c>
      <c r="S784" s="3">
        <f>R784/100</f>
        <v>0.83</v>
      </c>
    </row>
    <row r="785" spans="1:19" x14ac:dyDescent="0.3">
      <c r="A785" t="s">
        <v>1637</v>
      </c>
      <c r="B785" t="s">
        <v>1638</v>
      </c>
      <c r="C785" t="str">
        <f t="shared" si="159"/>
        <v>Shawn Delgado</v>
      </c>
      <c r="D785" t="s">
        <v>84</v>
      </c>
      <c r="E785" t="str">
        <f t="shared" si="165"/>
        <v>Male</v>
      </c>
      <c r="F785">
        <v>21</v>
      </c>
      <c r="G785" t="s">
        <v>167</v>
      </c>
      <c r="H785" t="s">
        <v>168</v>
      </c>
      <c r="I785" t="s">
        <v>43</v>
      </c>
      <c r="J785">
        <v>0</v>
      </c>
      <c r="K785" s="4" t="str" cm="1">
        <f t="array" ref="K785">_xlfn.IFS(J785&lt;=5,"0-5",J785&lt;=10,"6-10",J785&lt;=15,"11-15",J785&lt;=20,"16-20",J785&gt;20,"21+")</f>
        <v>0-5</v>
      </c>
      <c r="L785" t="s">
        <v>47</v>
      </c>
      <c r="M785" s="2" t="str">
        <f>TRIM(MID(L785,FIND(" ",L785)+1,LEN(L785)))</f>
        <v>40</v>
      </c>
      <c r="N785" s="8">
        <f t="shared" si="166"/>
        <v>40</v>
      </c>
      <c r="O785">
        <v>3.7</v>
      </c>
      <c r="P785">
        <v>0</v>
      </c>
      <c r="Q785" t="s">
        <v>2072</v>
      </c>
      <c r="R785" s="1">
        <v>0.74</v>
      </c>
      <c r="S785" s="3">
        <f>R785</f>
        <v>0.74</v>
      </c>
    </row>
    <row r="786" spans="1:19" x14ac:dyDescent="0.3">
      <c r="A786" t="s">
        <v>1639</v>
      </c>
      <c r="B786" t="s">
        <v>1640</v>
      </c>
      <c r="C786" t="str">
        <f t="shared" si="159"/>
        <v>Jeremy Smith</v>
      </c>
      <c r="D786" t="s">
        <v>89</v>
      </c>
      <c r="E786" t="str">
        <f t="shared" si="165"/>
        <v>Male</v>
      </c>
      <c r="F786">
        <v>53</v>
      </c>
      <c r="G786" t="s">
        <v>59</v>
      </c>
      <c r="H786" t="s">
        <v>14</v>
      </c>
      <c r="I786" t="s">
        <v>81</v>
      </c>
      <c r="J786">
        <v>5</v>
      </c>
      <c r="K786" s="4" t="str" cm="1">
        <f t="array" ref="K786">_xlfn.IFS(J786&lt;=5,"0-5",J786&lt;=10,"6-10",J786&lt;=15,"11-15",J786&lt;=20,"16-20",J786&gt;20,"21+")</f>
        <v>0-5</v>
      </c>
      <c r="L786">
        <v>75</v>
      </c>
      <c r="M786" s="2">
        <f>L786</f>
        <v>75</v>
      </c>
      <c r="N786" s="8">
        <f t="shared" si="166"/>
        <v>75</v>
      </c>
      <c r="O786">
        <v>1.1000000000000001</v>
      </c>
      <c r="P786">
        <v>0</v>
      </c>
      <c r="Q786" t="s">
        <v>2072</v>
      </c>
      <c r="R786">
        <v>92</v>
      </c>
      <c r="S786" s="3">
        <f>R786/100</f>
        <v>0.92</v>
      </c>
    </row>
    <row r="787" spans="1:19" x14ac:dyDescent="0.3">
      <c r="A787" t="s">
        <v>1641</v>
      </c>
      <c r="B787" t="s">
        <v>1642</v>
      </c>
      <c r="C787" t="str">
        <f t="shared" si="159"/>
        <v>Marc Ortiz</v>
      </c>
      <c r="D787" t="s">
        <v>84</v>
      </c>
      <c r="E787" t="str">
        <f t="shared" si="165"/>
        <v>Male</v>
      </c>
      <c r="F787">
        <v>35</v>
      </c>
      <c r="G787" t="s">
        <v>63</v>
      </c>
      <c r="H787" t="s">
        <v>64</v>
      </c>
      <c r="I787" t="s">
        <v>15</v>
      </c>
      <c r="J787">
        <v>15</v>
      </c>
      <c r="K787" s="4" t="str" cm="1">
        <f t="array" ref="K787">_xlfn.IFS(J787&lt;=5,"0-5",J787&lt;=10,"6-10",J787&lt;=15,"11-15",J787&lt;=20,"16-20",J787&gt;20,"21+")</f>
        <v>11-15</v>
      </c>
      <c r="N787" s="8" t="str">
        <f t="shared" si="166"/>
        <v/>
      </c>
      <c r="O787">
        <v>3.7</v>
      </c>
      <c r="P787" t="b">
        <v>0</v>
      </c>
      <c r="Q787" t="s">
        <v>2072</v>
      </c>
      <c r="R787" s="1">
        <v>0.66</v>
      </c>
      <c r="S787" s="3">
        <f t="shared" ref="S787:S789" si="168">R787</f>
        <v>0.66</v>
      </c>
    </row>
    <row r="788" spans="1:19" x14ac:dyDescent="0.3">
      <c r="A788" t="s">
        <v>1643</v>
      </c>
      <c r="B788" t="s">
        <v>1644</v>
      </c>
      <c r="C788" t="str">
        <f t="shared" si="159"/>
        <v>Michelle Gregory</v>
      </c>
      <c r="D788" t="s">
        <v>69</v>
      </c>
      <c r="E788" t="str">
        <f t="shared" si="165"/>
        <v>Female</v>
      </c>
      <c r="F788">
        <v>25</v>
      </c>
      <c r="G788" t="s">
        <v>99</v>
      </c>
      <c r="H788" t="s">
        <v>100</v>
      </c>
      <c r="I788" t="s">
        <v>106</v>
      </c>
      <c r="J788">
        <v>3</v>
      </c>
      <c r="K788" s="4" t="str" cm="1">
        <f t="array" ref="K788">_xlfn.IFS(J788&lt;=5,"0-5",J788&lt;=10,"6-10",J788&lt;=15,"11-15",J788&lt;=20,"16-20",J788&gt;20,"21+")</f>
        <v>0-5</v>
      </c>
      <c r="L788" t="s">
        <v>56</v>
      </c>
      <c r="M788" s="2" t="str">
        <f>SUBSTITUTE(L788,"$","")</f>
        <v>50</v>
      </c>
      <c r="N788" s="8">
        <f t="shared" si="166"/>
        <v>50</v>
      </c>
      <c r="O788">
        <v>3.2</v>
      </c>
      <c r="P788" t="b">
        <v>1</v>
      </c>
      <c r="Q788" t="s">
        <v>2073</v>
      </c>
      <c r="R788" s="1">
        <v>0.74</v>
      </c>
      <c r="S788" s="3">
        <f t="shared" si="168"/>
        <v>0.74</v>
      </c>
    </row>
    <row r="789" spans="1:19" x14ac:dyDescent="0.3">
      <c r="A789" t="s">
        <v>1645</v>
      </c>
      <c r="B789" t="s">
        <v>1646</v>
      </c>
      <c r="C789" t="str">
        <f t="shared" si="159"/>
        <v>Melanie Gay</v>
      </c>
      <c r="D789" t="s">
        <v>31</v>
      </c>
      <c r="E789" t="str">
        <f t="shared" si="165"/>
        <v>Female</v>
      </c>
      <c r="F789">
        <v>23</v>
      </c>
      <c r="G789" t="s">
        <v>7</v>
      </c>
      <c r="H789" t="s">
        <v>8</v>
      </c>
      <c r="I789" t="s">
        <v>65</v>
      </c>
      <c r="J789">
        <v>1</v>
      </c>
      <c r="K789" s="4" t="str" cm="1">
        <f t="array" ref="K789">_xlfn.IFS(J789&lt;=5,"0-5",J789&lt;=10,"6-10",J789&lt;=15,"11-15",J789&lt;=20,"16-20",J789&gt;20,"21+")</f>
        <v>0-5</v>
      </c>
      <c r="L789">
        <v>30</v>
      </c>
      <c r="M789" s="2">
        <f>L789</f>
        <v>30</v>
      </c>
      <c r="N789" s="8">
        <f t="shared" si="166"/>
        <v>30</v>
      </c>
      <c r="O789">
        <v>5</v>
      </c>
      <c r="P789" t="s">
        <v>23</v>
      </c>
      <c r="Q789" t="s">
        <v>2072</v>
      </c>
      <c r="R789" s="1">
        <v>0.97</v>
      </c>
      <c r="S789" s="3">
        <f t="shared" si="168"/>
        <v>0.97</v>
      </c>
    </row>
    <row r="790" spans="1:19" x14ac:dyDescent="0.3">
      <c r="A790" t="s">
        <v>1647</v>
      </c>
      <c r="B790" t="s">
        <v>1648</v>
      </c>
      <c r="C790" t="str">
        <f t="shared" si="159"/>
        <v>Brittany Lambert</v>
      </c>
      <c r="D790" t="s">
        <v>26</v>
      </c>
      <c r="E790" t="str">
        <f t="shared" si="165"/>
        <v>Female</v>
      </c>
      <c r="F790">
        <v>56</v>
      </c>
      <c r="G790" t="s">
        <v>131</v>
      </c>
      <c r="H790" t="s">
        <v>132</v>
      </c>
      <c r="I790" t="s">
        <v>22</v>
      </c>
      <c r="J790">
        <v>13</v>
      </c>
      <c r="K790" s="4" t="str" cm="1">
        <f t="array" ref="K790">_xlfn.IFS(J790&lt;=5,"0-5",J790&lt;=10,"6-10",J790&lt;=15,"11-15",J790&lt;=20,"16-20",J790&gt;20,"21+")</f>
        <v>11-15</v>
      </c>
      <c r="L790">
        <v>30</v>
      </c>
      <c r="M790" s="2">
        <f>L790</f>
        <v>30</v>
      </c>
      <c r="N790" s="8">
        <f t="shared" si="166"/>
        <v>30</v>
      </c>
      <c r="O790">
        <v>0</v>
      </c>
      <c r="R790">
        <v>77</v>
      </c>
      <c r="S790" s="3">
        <f>R790/100</f>
        <v>0.77</v>
      </c>
    </row>
    <row r="791" spans="1:19" x14ac:dyDescent="0.3">
      <c r="A791" t="s">
        <v>1649</v>
      </c>
      <c r="B791" t="s">
        <v>1650</v>
      </c>
      <c r="C791" t="str">
        <f t="shared" si="159"/>
        <v>Mary Hernandez</v>
      </c>
      <c r="D791" t="s">
        <v>31</v>
      </c>
      <c r="E791" t="str">
        <f t="shared" si="165"/>
        <v>Female</v>
      </c>
      <c r="F791">
        <v>31</v>
      </c>
      <c r="G791" t="s">
        <v>171</v>
      </c>
      <c r="H791" t="s">
        <v>64</v>
      </c>
      <c r="I791" t="s">
        <v>65</v>
      </c>
      <c r="J791">
        <v>6</v>
      </c>
      <c r="K791" s="4" t="str" cm="1">
        <f t="array" ref="K791">_xlfn.IFS(J791&lt;=5,"0-5",J791&lt;=10,"6-10",J791&lt;=15,"11-15",J791&lt;=20,"16-20",J791&gt;20,"21+")</f>
        <v>6-10</v>
      </c>
      <c r="N791" s="8" t="str">
        <f t="shared" si="166"/>
        <v/>
      </c>
      <c r="O791">
        <v>3.5</v>
      </c>
      <c r="P791" t="s">
        <v>151</v>
      </c>
      <c r="Q791" t="s">
        <v>2072</v>
      </c>
      <c r="R791" s="1">
        <v>0.86</v>
      </c>
      <c r="S791" s="3">
        <f t="shared" ref="S791:S795" si="169">R791</f>
        <v>0.86</v>
      </c>
    </row>
    <row r="792" spans="1:19" x14ac:dyDescent="0.3">
      <c r="A792" t="s">
        <v>1651</v>
      </c>
      <c r="B792" t="s">
        <v>1652</v>
      </c>
      <c r="C792" t="str">
        <f t="shared" si="159"/>
        <v>Jonathan Jones</v>
      </c>
      <c r="D792" t="s">
        <v>84</v>
      </c>
      <c r="E792" t="str">
        <f t="shared" si="165"/>
        <v>Male</v>
      </c>
      <c r="F792">
        <v>24</v>
      </c>
      <c r="G792" t="s">
        <v>50</v>
      </c>
      <c r="H792" t="s">
        <v>14</v>
      </c>
      <c r="I792" t="s">
        <v>70</v>
      </c>
      <c r="J792">
        <v>4</v>
      </c>
      <c r="K792" s="4" t="str" cm="1">
        <f t="array" ref="K792">_xlfn.IFS(J792&lt;=5,"0-5",J792&lt;=10,"6-10",J792&lt;=15,"11-15",J792&lt;=20,"16-20",J792&gt;20,"21+")</f>
        <v>0-5</v>
      </c>
      <c r="L792">
        <v>50</v>
      </c>
      <c r="M792" s="2">
        <f>L792</f>
        <v>50</v>
      </c>
      <c r="N792" s="8">
        <f t="shared" si="166"/>
        <v>50</v>
      </c>
      <c r="O792">
        <v>3.1</v>
      </c>
      <c r="P792" t="b">
        <v>0</v>
      </c>
      <c r="Q792" t="s">
        <v>2072</v>
      </c>
      <c r="R792" s="1">
        <v>0.95</v>
      </c>
      <c r="S792" s="3">
        <f t="shared" si="169"/>
        <v>0.95</v>
      </c>
    </row>
    <row r="793" spans="1:19" x14ac:dyDescent="0.3">
      <c r="A793" t="s">
        <v>1653</v>
      </c>
      <c r="B793" t="s">
        <v>1654</v>
      </c>
      <c r="C793" t="str">
        <f t="shared" si="159"/>
        <v>Gina Williams</v>
      </c>
      <c r="D793" t="s">
        <v>12</v>
      </c>
      <c r="E793" t="str">
        <f t="shared" si="165"/>
        <v>Female</v>
      </c>
      <c r="F793">
        <v>35</v>
      </c>
      <c r="G793" t="s">
        <v>99</v>
      </c>
      <c r="H793" t="s">
        <v>100</v>
      </c>
      <c r="I793" t="s">
        <v>70</v>
      </c>
      <c r="J793">
        <v>7</v>
      </c>
      <c r="K793" s="4" t="str" cm="1">
        <f t="array" ref="K793">_xlfn.IFS(J793&lt;=5,"0-5",J793&lt;=10,"6-10",J793&lt;=15,"11-15",J793&lt;=20,"16-20",J793&gt;20,"21+")</f>
        <v>6-10</v>
      </c>
      <c r="N793" s="8" t="str">
        <f t="shared" si="166"/>
        <v/>
      </c>
      <c r="O793">
        <v>3.9</v>
      </c>
      <c r="P793">
        <v>0</v>
      </c>
      <c r="Q793" t="s">
        <v>2072</v>
      </c>
      <c r="R793" s="1">
        <v>0.72</v>
      </c>
      <c r="S793" s="3">
        <f t="shared" si="169"/>
        <v>0.72</v>
      </c>
    </row>
    <row r="794" spans="1:19" x14ac:dyDescent="0.3">
      <c r="A794" t="s">
        <v>1655</v>
      </c>
      <c r="B794" t="s">
        <v>1656</v>
      </c>
      <c r="C794" t="str">
        <f t="shared" si="159"/>
        <v>Kelly Lawson</v>
      </c>
      <c r="D794" t="s">
        <v>12</v>
      </c>
      <c r="E794" t="str">
        <f t="shared" si="165"/>
        <v>Female</v>
      </c>
      <c r="F794">
        <v>20</v>
      </c>
      <c r="G794" t="s">
        <v>182</v>
      </c>
      <c r="H794" t="s">
        <v>64</v>
      </c>
      <c r="I794" t="s">
        <v>36</v>
      </c>
      <c r="J794">
        <v>1</v>
      </c>
      <c r="K794" s="4" t="str" cm="1">
        <f t="array" ref="K794">_xlfn.IFS(J794&lt;=5,"0-5",J794&lt;=10,"6-10",J794&lt;=15,"11-15",J794&lt;=20,"16-20",J794&gt;20,"21+")</f>
        <v>0-5</v>
      </c>
      <c r="N794" s="8" t="str">
        <f t="shared" si="166"/>
        <v/>
      </c>
      <c r="O794">
        <v>3.5</v>
      </c>
      <c r="P794">
        <v>0</v>
      </c>
      <c r="Q794" t="s">
        <v>2072</v>
      </c>
      <c r="R794" s="1">
        <v>0.71</v>
      </c>
      <c r="S794" s="3">
        <f t="shared" si="169"/>
        <v>0.71</v>
      </c>
    </row>
    <row r="795" spans="1:19" x14ac:dyDescent="0.3">
      <c r="A795" t="s">
        <v>1657</v>
      </c>
      <c r="B795" t="s">
        <v>1658</v>
      </c>
      <c r="C795" t="str">
        <f t="shared" ref="C795:C809" si="170">B795</f>
        <v>Keith Smith</v>
      </c>
      <c r="D795" t="s">
        <v>89</v>
      </c>
      <c r="E795" t="str">
        <f t="shared" si="165"/>
        <v>Male</v>
      </c>
      <c r="F795">
        <v>26</v>
      </c>
      <c r="G795" t="s">
        <v>13</v>
      </c>
      <c r="H795" t="s">
        <v>14</v>
      </c>
      <c r="I795" t="s">
        <v>43</v>
      </c>
      <c r="J795">
        <v>5</v>
      </c>
      <c r="K795" s="4" t="str" cm="1">
        <f t="array" ref="K795">_xlfn.IFS(J795&lt;=5,"0-5",J795&lt;=10,"6-10",J795&lt;=15,"11-15",J795&lt;=20,"16-20",J795&gt;20,"21+")</f>
        <v>0-5</v>
      </c>
      <c r="L795" t="s">
        <v>221</v>
      </c>
      <c r="M795" s="2" t="str">
        <f>SUBSTITUTE(L795,"$","")</f>
        <v>100</v>
      </c>
      <c r="N795" s="8">
        <f t="shared" si="166"/>
        <v>100</v>
      </c>
      <c r="O795">
        <v>2.5</v>
      </c>
      <c r="P795" t="b">
        <v>1</v>
      </c>
      <c r="Q795" t="s">
        <v>2073</v>
      </c>
      <c r="R795" s="1">
        <v>0.93</v>
      </c>
      <c r="S795" s="3">
        <f t="shared" si="169"/>
        <v>0.93</v>
      </c>
    </row>
    <row r="796" spans="1:19" x14ac:dyDescent="0.3">
      <c r="A796" t="s">
        <v>1659</v>
      </c>
      <c r="B796" t="s">
        <v>1660</v>
      </c>
      <c r="C796" t="str">
        <f t="shared" si="170"/>
        <v>Christopher Hunter</v>
      </c>
      <c r="D796" t="s">
        <v>84</v>
      </c>
      <c r="E796" t="str">
        <f t="shared" si="165"/>
        <v>Male</v>
      </c>
      <c r="F796">
        <v>54</v>
      </c>
      <c r="G796" t="s">
        <v>59</v>
      </c>
      <c r="H796" t="s">
        <v>14</v>
      </c>
      <c r="I796" t="s">
        <v>81</v>
      </c>
      <c r="J796">
        <v>29</v>
      </c>
      <c r="K796" s="4" t="str" cm="1">
        <f t="array" ref="K796">_xlfn.IFS(J796&lt;=5,"0-5",J796&lt;=10,"6-10",J796&lt;=15,"11-15",J796&lt;=20,"16-20",J796&gt;20,"21+")</f>
        <v>21+</v>
      </c>
      <c r="L796" t="s">
        <v>47</v>
      </c>
      <c r="M796" s="2" t="str">
        <f>TRIM(MID(L796,FIND(" ",L796)+1,LEN(L796)))</f>
        <v>40</v>
      </c>
      <c r="N796" s="8">
        <f t="shared" si="166"/>
        <v>40</v>
      </c>
      <c r="O796">
        <v>3.1</v>
      </c>
      <c r="P796">
        <v>1</v>
      </c>
      <c r="Q796" t="s">
        <v>2073</v>
      </c>
    </row>
    <row r="797" spans="1:19" x14ac:dyDescent="0.3">
      <c r="A797" t="s">
        <v>1661</v>
      </c>
      <c r="B797" t="s">
        <v>1662</v>
      </c>
      <c r="C797" t="str">
        <f t="shared" si="170"/>
        <v>Dwayne Parks</v>
      </c>
      <c r="D797" t="s">
        <v>40</v>
      </c>
      <c r="E797" t="str">
        <f t="shared" si="165"/>
        <v>Male</v>
      </c>
      <c r="F797">
        <v>53</v>
      </c>
      <c r="G797" t="s">
        <v>116</v>
      </c>
      <c r="H797" t="s">
        <v>117</v>
      </c>
      <c r="I797" t="s">
        <v>70</v>
      </c>
      <c r="J797">
        <v>12</v>
      </c>
      <c r="K797" s="4" t="str" cm="1">
        <f t="array" ref="K797">_xlfn.IFS(J797&lt;=5,"0-5",J797&lt;=10,"6-10",J797&lt;=15,"11-15",J797&lt;=20,"16-20",J797&gt;20,"21+")</f>
        <v>11-15</v>
      </c>
      <c r="L797">
        <v>100</v>
      </c>
      <c r="M797" s="2">
        <f>L797</f>
        <v>100</v>
      </c>
      <c r="N797" s="8">
        <f t="shared" si="166"/>
        <v>100</v>
      </c>
      <c r="O797">
        <v>4.7</v>
      </c>
      <c r="P797">
        <v>1</v>
      </c>
      <c r="Q797" t="s">
        <v>2073</v>
      </c>
      <c r="R797" s="1">
        <v>0.87</v>
      </c>
      <c r="S797" s="3">
        <f>R797</f>
        <v>0.87</v>
      </c>
    </row>
    <row r="798" spans="1:19" x14ac:dyDescent="0.3">
      <c r="A798" t="s">
        <v>1663</v>
      </c>
      <c r="B798" t="s">
        <v>1664</v>
      </c>
      <c r="C798" t="str">
        <f t="shared" si="170"/>
        <v>Mary Hall</v>
      </c>
      <c r="D798" t="s">
        <v>69</v>
      </c>
      <c r="E798" t="str">
        <f t="shared" si="165"/>
        <v>Female</v>
      </c>
      <c r="F798">
        <v>33</v>
      </c>
      <c r="G798" t="s">
        <v>120</v>
      </c>
      <c r="H798" t="s">
        <v>14</v>
      </c>
      <c r="I798" t="s">
        <v>81</v>
      </c>
      <c r="J798">
        <v>4</v>
      </c>
      <c r="K798" s="4" t="str" cm="1">
        <f t="array" ref="K798">_xlfn.IFS(J798&lt;=5,"0-5",J798&lt;=10,"6-10",J798&lt;=15,"11-15",J798&lt;=20,"16-20",J798&gt;20,"21+")</f>
        <v>0-5</v>
      </c>
      <c r="N798" s="8" t="str">
        <f t="shared" si="166"/>
        <v/>
      </c>
      <c r="O798">
        <v>1.9</v>
      </c>
      <c r="P798" t="b">
        <v>0</v>
      </c>
      <c r="Q798" t="s">
        <v>2072</v>
      </c>
      <c r="R798">
        <v>73</v>
      </c>
      <c r="S798" s="3">
        <f>R798/100</f>
        <v>0.73</v>
      </c>
    </row>
    <row r="799" spans="1:19" x14ac:dyDescent="0.3">
      <c r="A799" t="s">
        <v>1665</v>
      </c>
      <c r="B799" t="s">
        <v>1666</v>
      </c>
      <c r="C799" t="str">
        <f t="shared" si="170"/>
        <v>Jake Gilmore</v>
      </c>
      <c r="D799" t="s">
        <v>40</v>
      </c>
      <c r="E799" t="str">
        <f t="shared" si="165"/>
        <v>Male</v>
      </c>
      <c r="F799">
        <v>43</v>
      </c>
      <c r="G799" t="s">
        <v>34</v>
      </c>
      <c r="H799" t="s">
        <v>35</v>
      </c>
      <c r="I799" t="s">
        <v>27</v>
      </c>
      <c r="J799">
        <v>12</v>
      </c>
      <c r="K799" s="4" t="str" cm="1">
        <f t="array" ref="K799">_xlfn.IFS(J799&lt;=5,"0-5",J799&lt;=10,"6-10",J799&lt;=15,"11-15",J799&lt;=20,"16-20",J799&gt;20,"21+")</f>
        <v>11-15</v>
      </c>
      <c r="N799" s="8" t="str">
        <f t="shared" si="166"/>
        <v/>
      </c>
      <c r="O799">
        <v>1.6</v>
      </c>
      <c r="P799">
        <v>1</v>
      </c>
      <c r="Q799" t="s">
        <v>2073</v>
      </c>
      <c r="R799" s="1">
        <v>0.74</v>
      </c>
      <c r="S799" s="3">
        <f t="shared" ref="S799:S802" si="171">R799</f>
        <v>0.74</v>
      </c>
    </row>
    <row r="800" spans="1:19" x14ac:dyDescent="0.3">
      <c r="A800" t="s">
        <v>1667</v>
      </c>
      <c r="B800" t="s">
        <v>1668</v>
      </c>
      <c r="C800" t="str">
        <f t="shared" si="170"/>
        <v>Mark Lopez</v>
      </c>
      <c r="D800" t="s">
        <v>84</v>
      </c>
      <c r="E800" t="str">
        <f t="shared" si="165"/>
        <v>Male</v>
      </c>
      <c r="F800">
        <v>37</v>
      </c>
      <c r="G800" t="s">
        <v>120</v>
      </c>
      <c r="H800" t="s">
        <v>14</v>
      </c>
      <c r="I800" t="s">
        <v>81</v>
      </c>
      <c r="J800">
        <v>3</v>
      </c>
      <c r="K800" s="4" t="str" cm="1">
        <f t="array" ref="K800">_xlfn.IFS(J800&lt;=5,"0-5",J800&lt;=10,"6-10",J800&lt;=15,"11-15",J800&lt;=20,"16-20",J800&gt;20,"21+")</f>
        <v>0-5</v>
      </c>
      <c r="L800">
        <v>20</v>
      </c>
      <c r="M800" s="2">
        <f>L800</f>
        <v>20</v>
      </c>
      <c r="N800" s="8">
        <f t="shared" si="166"/>
        <v>20</v>
      </c>
      <c r="O800">
        <v>2.5</v>
      </c>
      <c r="P800" t="s">
        <v>23</v>
      </c>
      <c r="Q800" t="s">
        <v>2072</v>
      </c>
      <c r="R800" s="1">
        <v>0.62</v>
      </c>
      <c r="S800" s="3">
        <f t="shared" si="171"/>
        <v>0.62</v>
      </c>
    </row>
    <row r="801" spans="1:19" x14ac:dyDescent="0.3">
      <c r="A801" t="s">
        <v>1669</v>
      </c>
      <c r="B801" t="s">
        <v>1670</v>
      </c>
      <c r="C801" t="str">
        <f t="shared" si="170"/>
        <v>Dana Rice</v>
      </c>
      <c r="D801" t="s">
        <v>31</v>
      </c>
      <c r="E801" t="str">
        <f t="shared" si="165"/>
        <v>Female</v>
      </c>
      <c r="F801">
        <v>58</v>
      </c>
      <c r="G801" t="s">
        <v>127</v>
      </c>
      <c r="H801" t="s">
        <v>128</v>
      </c>
      <c r="I801" t="s">
        <v>43</v>
      </c>
      <c r="J801">
        <v>15</v>
      </c>
      <c r="K801" s="4" t="str" cm="1">
        <f t="array" ref="K801">_xlfn.IFS(J801&lt;=5,"0-5",J801&lt;=10,"6-10",J801&lt;=15,"11-15",J801&lt;=20,"16-20",J801&gt;20,"21+")</f>
        <v>11-15</v>
      </c>
      <c r="L801">
        <v>20</v>
      </c>
      <c r="M801" s="2">
        <f>L801</f>
        <v>20</v>
      </c>
      <c r="N801" s="8">
        <f t="shared" si="166"/>
        <v>20</v>
      </c>
      <c r="O801">
        <v>3.5</v>
      </c>
      <c r="R801" s="1">
        <v>0.98</v>
      </c>
      <c r="S801" s="3">
        <f t="shared" si="171"/>
        <v>0.98</v>
      </c>
    </row>
    <row r="802" spans="1:19" x14ac:dyDescent="0.3">
      <c r="A802" t="s">
        <v>1671</v>
      </c>
      <c r="B802" t="s">
        <v>1672</v>
      </c>
      <c r="C802" t="str">
        <f t="shared" si="170"/>
        <v>Beth Young</v>
      </c>
      <c r="D802" t="s">
        <v>12</v>
      </c>
      <c r="E802" t="str">
        <f t="shared" si="165"/>
        <v>Female</v>
      </c>
      <c r="F802">
        <v>39</v>
      </c>
      <c r="G802" t="s">
        <v>182</v>
      </c>
      <c r="H802" t="s">
        <v>64</v>
      </c>
      <c r="I802" t="s">
        <v>15</v>
      </c>
      <c r="J802">
        <v>15</v>
      </c>
      <c r="K802" s="4" t="str" cm="1">
        <f t="array" ref="K802">_xlfn.IFS(J802&lt;=5,"0-5",J802&lt;=10,"6-10",J802&lt;=15,"11-15",J802&lt;=20,"16-20",J802&gt;20,"21+")</f>
        <v>11-15</v>
      </c>
      <c r="L802">
        <v>50</v>
      </c>
      <c r="M802" s="2">
        <f>L802</f>
        <v>50</v>
      </c>
      <c r="N802" s="8">
        <f t="shared" si="166"/>
        <v>50</v>
      </c>
      <c r="P802">
        <v>0</v>
      </c>
      <c r="Q802" t="s">
        <v>2072</v>
      </c>
      <c r="R802" s="1">
        <v>0.8</v>
      </c>
      <c r="S802" s="3">
        <f t="shared" si="171"/>
        <v>0.8</v>
      </c>
    </row>
    <row r="803" spans="1:19" x14ac:dyDescent="0.3">
      <c r="A803" t="s">
        <v>1673</v>
      </c>
      <c r="B803" t="s">
        <v>1674</v>
      </c>
      <c r="C803" t="str">
        <f t="shared" si="170"/>
        <v>Ryan Powell</v>
      </c>
      <c r="D803" t="s">
        <v>19</v>
      </c>
      <c r="E803" t="str">
        <f t="shared" si="165"/>
        <v>Male</v>
      </c>
      <c r="F803">
        <v>43</v>
      </c>
      <c r="G803" t="s">
        <v>54</v>
      </c>
      <c r="H803" t="s">
        <v>55</v>
      </c>
      <c r="I803" t="s">
        <v>22</v>
      </c>
      <c r="J803">
        <v>13</v>
      </c>
      <c r="K803" s="4" t="str" cm="1">
        <f t="array" ref="K803">_xlfn.IFS(J803&lt;=5,"0-5",J803&lt;=10,"6-10",J803&lt;=15,"11-15",J803&lt;=20,"16-20",J803&gt;20,"21+")</f>
        <v>11-15</v>
      </c>
      <c r="L803" t="s">
        <v>306</v>
      </c>
      <c r="M803" s="2" t="str">
        <f>TRIM(MID(L803,FIND(" ",L803)+1,LEN(L803)))</f>
        <v>20</v>
      </c>
      <c r="N803" s="8">
        <f t="shared" si="166"/>
        <v>20</v>
      </c>
      <c r="O803">
        <v>1.2</v>
      </c>
      <c r="P803" t="s">
        <v>66</v>
      </c>
      <c r="Q803" t="s">
        <v>2073</v>
      </c>
      <c r="R803">
        <v>69</v>
      </c>
      <c r="S803" s="3">
        <f t="shared" ref="S803:S804" si="172">R803/100</f>
        <v>0.69</v>
      </c>
    </row>
    <row r="804" spans="1:19" x14ac:dyDescent="0.3">
      <c r="A804" t="s">
        <v>1675</v>
      </c>
      <c r="B804" t="s">
        <v>1676</v>
      </c>
      <c r="C804" t="str">
        <f t="shared" si="170"/>
        <v>Amanda Fowler</v>
      </c>
      <c r="D804" t="s">
        <v>69</v>
      </c>
      <c r="E804" t="str">
        <f t="shared" si="165"/>
        <v>Female</v>
      </c>
      <c r="F804">
        <v>40</v>
      </c>
      <c r="G804" t="s">
        <v>182</v>
      </c>
      <c r="H804" t="s">
        <v>64</v>
      </c>
      <c r="I804" t="s">
        <v>9</v>
      </c>
      <c r="J804">
        <v>20</v>
      </c>
      <c r="K804" s="4" t="str" cm="1">
        <f t="array" ref="K804">_xlfn.IFS(J804&lt;=5,"0-5",J804&lt;=10,"6-10",J804&lt;=15,"11-15",J804&lt;=20,"16-20",J804&gt;20,"21+")</f>
        <v>16-20</v>
      </c>
      <c r="L804" t="s">
        <v>101</v>
      </c>
      <c r="M804" s="2" t="str">
        <f>TRIM(MID(L804,FIND(" ",L804)+1,LEN(L804)))</f>
        <v>30</v>
      </c>
      <c r="N804" s="8">
        <f t="shared" si="166"/>
        <v>30</v>
      </c>
      <c r="P804" t="b">
        <v>0</v>
      </c>
      <c r="Q804" t="s">
        <v>2072</v>
      </c>
      <c r="R804">
        <v>90</v>
      </c>
      <c r="S804" s="3">
        <f t="shared" si="172"/>
        <v>0.9</v>
      </c>
    </row>
    <row r="805" spans="1:19" x14ac:dyDescent="0.3">
      <c r="A805" t="s">
        <v>1677</v>
      </c>
      <c r="B805" t="s">
        <v>1678</v>
      </c>
      <c r="C805" t="str">
        <f t="shared" si="170"/>
        <v>Lindsay Rivera</v>
      </c>
      <c r="D805" t="s">
        <v>6</v>
      </c>
      <c r="E805" t="str">
        <f t="shared" si="165"/>
        <v>Female</v>
      </c>
      <c r="F805">
        <v>51</v>
      </c>
      <c r="G805" t="s">
        <v>59</v>
      </c>
      <c r="H805" t="s">
        <v>14</v>
      </c>
      <c r="I805" t="s">
        <v>106</v>
      </c>
      <c r="J805">
        <v>30</v>
      </c>
      <c r="K805" s="4" t="str" cm="1">
        <f t="array" ref="K805">_xlfn.IFS(J805&lt;=5,"0-5",J805&lt;=10,"6-10",J805&lt;=15,"11-15",J805&lt;=20,"16-20",J805&gt;20,"21+")</f>
        <v>21+</v>
      </c>
      <c r="L805">
        <v>75</v>
      </c>
      <c r="M805" s="2">
        <f>L805</f>
        <v>75</v>
      </c>
      <c r="N805" s="8">
        <f t="shared" si="166"/>
        <v>75</v>
      </c>
      <c r="P805" t="b">
        <v>1</v>
      </c>
      <c r="Q805" t="s">
        <v>2073</v>
      </c>
      <c r="R805" s="1">
        <v>0.74</v>
      </c>
      <c r="S805" s="3">
        <f t="shared" ref="S805:S808" si="173">R805</f>
        <v>0.74</v>
      </c>
    </row>
    <row r="806" spans="1:19" x14ac:dyDescent="0.3">
      <c r="A806" t="s">
        <v>1679</v>
      </c>
      <c r="B806" t="s">
        <v>1680</v>
      </c>
      <c r="C806" t="str">
        <f t="shared" si="170"/>
        <v>Mark Ward</v>
      </c>
      <c r="D806" t="s">
        <v>19</v>
      </c>
      <c r="E806" t="str">
        <f t="shared" si="165"/>
        <v>Male</v>
      </c>
      <c r="F806">
        <v>23</v>
      </c>
      <c r="G806" t="s">
        <v>20</v>
      </c>
      <c r="H806" t="s">
        <v>21</v>
      </c>
      <c r="I806" t="s">
        <v>36</v>
      </c>
      <c r="J806">
        <v>4</v>
      </c>
      <c r="K806" s="4" t="str" cm="1">
        <f t="array" ref="K806">_xlfn.IFS(J806&lt;=5,"0-5",J806&lt;=10,"6-10",J806&lt;=15,"11-15",J806&lt;=20,"16-20",J806&gt;20,"21+")</f>
        <v>0-5</v>
      </c>
      <c r="L806">
        <v>50</v>
      </c>
      <c r="M806" s="2">
        <f>L806</f>
        <v>50</v>
      </c>
      <c r="N806" s="8">
        <f t="shared" si="166"/>
        <v>50</v>
      </c>
      <c r="O806">
        <v>4.5</v>
      </c>
      <c r="P806" t="s">
        <v>23</v>
      </c>
      <c r="Q806" t="s">
        <v>2072</v>
      </c>
      <c r="R806" s="1">
        <v>0.98</v>
      </c>
      <c r="S806" s="3">
        <f t="shared" si="173"/>
        <v>0.98</v>
      </c>
    </row>
    <row r="807" spans="1:19" x14ac:dyDescent="0.3">
      <c r="A807" t="s">
        <v>1681</v>
      </c>
      <c r="B807" t="s">
        <v>1682</v>
      </c>
      <c r="C807" t="str">
        <f t="shared" si="170"/>
        <v>Amanda Smith</v>
      </c>
      <c r="D807" t="s">
        <v>6</v>
      </c>
      <c r="E807" t="str">
        <f t="shared" si="165"/>
        <v>Female</v>
      </c>
      <c r="F807">
        <v>31</v>
      </c>
      <c r="G807" t="s">
        <v>41</v>
      </c>
      <c r="H807" t="s">
        <v>42</v>
      </c>
      <c r="I807" t="s">
        <v>22</v>
      </c>
      <c r="K807" s="4" t="str" cm="1">
        <f t="array" ref="K807">_xlfn.IFS(J807&lt;=5,"0-5",J807&lt;=10,"6-10",J807&lt;=15,"11-15",J807&lt;=20,"16-20",J807&gt;20,"21+")</f>
        <v>0-5</v>
      </c>
      <c r="L807" t="s">
        <v>306</v>
      </c>
      <c r="M807" s="2" t="str">
        <f>TRIM(MID(L807,FIND(" ",L807)+1,LEN(L807)))</f>
        <v>20</v>
      </c>
      <c r="N807" s="8">
        <f t="shared" si="166"/>
        <v>20</v>
      </c>
      <c r="P807" t="s">
        <v>66</v>
      </c>
      <c r="Q807" t="s">
        <v>2073</v>
      </c>
      <c r="R807" s="1">
        <v>0.84</v>
      </c>
      <c r="S807" s="3">
        <f t="shared" si="173"/>
        <v>0.84</v>
      </c>
    </row>
    <row r="808" spans="1:19" x14ac:dyDescent="0.3">
      <c r="A808" t="s">
        <v>1683</v>
      </c>
      <c r="B808" t="s">
        <v>1684</v>
      </c>
      <c r="C808" t="str">
        <f t="shared" si="170"/>
        <v>Emily Brown</v>
      </c>
      <c r="D808" t="s">
        <v>12</v>
      </c>
      <c r="E808" t="str">
        <f t="shared" si="165"/>
        <v>Female</v>
      </c>
      <c r="F808">
        <v>44</v>
      </c>
      <c r="G808" t="s">
        <v>116</v>
      </c>
      <c r="H808" t="s">
        <v>117</v>
      </c>
      <c r="I808" t="s">
        <v>27</v>
      </c>
      <c r="J808">
        <v>3</v>
      </c>
      <c r="K808" s="4" t="str" cm="1">
        <f t="array" ref="K808">_xlfn.IFS(J808&lt;=5,"0-5",J808&lt;=10,"6-10",J808&lt;=15,"11-15",J808&lt;=20,"16-20",J808&gt;20,"21+")</f>
        <v>0-5</v>
      </c>
      <c r="L808" t="s">
        <v>113</v>
      </c>
      <c r="M808" s="2" t="str">
        <f>SUBSTITUTE(L808,"$","")</f>
        <v>20</v>
      </c>
      <c r="N808" s="8">
        <f t="shared" si="166"/>
        <v>20</v>
      </c>
      <c r="O808">
        <v>5</v>
      </c>
      <c r="P808" t="s">
        <v>60</v>
      </c>
      <c r="Q808" t="s">
        <v>2073</v>
      </c>
      <c r="R808" s="1">
        <v>0.75</v>
      </c>
      <c r="S808" s="3">
        <f t="shared" si="173"/>
        <v>0.75</v>
      </c>
    </row>
    <row r="809" spans="1:19" x14ac:dyDescent="0.3">
      <c r="A809" t="s">
        <v>1685</v>
      </c>
      <c r="B809" t="s">
        <v>1686</v>
      </c>
      <c r="C809" t="str">
        <f t="shared" si="170"/>
        <v>Dwayne Cardenas</v>
      </c>
      <c r="D809" t="s">
        <v>89</v>
      </c>
      <c r="E809" t="str">
        <f t="shared" si="165"/>
        <v>Male</v>
      </c>
      <c r="F809">
        <v>56</v>
      </c>
      <c r="G809" t="s">
        <v>20</v>
      </c>
      <c r="H809" t="s">
        <v>21</v>
      </c>
      <c r="I809" t="s">
        <v>15</v>
      </c>
      <c r="J809">
        <v>23</v>
      </c>
      <c r="K809" s="4" t="str" cm="1">
        <f t="array" ref="K809">_xlfn.IFS(J809&lt;=5,"0-5",J809&lt;=10,"6-10",J809&lt;=15,"11-15",J809&lt;=20,"16-20",J809&gt;20,"21+")</f>
        <v>21+</v>
      </c>
      <c r="L809">
        <v>75</v>
      </c>
      <c r="M809" s="2">
        <f>L809</f>
        <v>75</v>
      </c>
      <c r="N809" s="8">
        <f t="shared" si="166"/>
        <v>75</v>
      </c>
      <c r="O809">
        <v>3.9</v>
      </c>
      <c r="P809">
        <v>1</v>
      </c>
      <c r="Q809" t="s">
        <v>2073</v>
      </c>
    </row>
    <row r="810" spans="1:19" x14ac:dyDescent="0.3">
      <c r="A810" t="s">
        <v>1687</v>
      </c>
      <c r="B810" t="s">
        <v>1688</v>
      </c>
      <c r="C810" t="str">
        <f>TRIM(MID(B810,FIND(" ",B810)+1,LEN(B810)))</f>
        <v>Rhonda Hernandez</v>
      </c>
      <c r="D810" t="s">
        <v>12</v>
      </c>
      <c r="E810" t="str">
        <f t="shared" si="165"/>
        <v>Female</v>
      </c>
      <c r="F810">
        <v>48</v>
      </c>
      <c r="G810" t="s">
        <v>13</v>
      </c>
      <c r="H810" t="s">
        <v>14</v>
      </c>
      <c r="I810" t="s">
        <v>70</v>
      </c>
      <c r="J810">
        <v>5</v>
      </c>
      <c r="K810" s="4" t="str" cm="1">
        <f t="array" ref="K810">_xlfn.IFS(J810&lt;=5,"0-5",J810&lt;=10,"6-10",J810&lt;=15,"11-15",J810&lt;=20,"16-20",J810&gt;20,"21+")</f>
        <v>0-5</v>
      </c>
      <c r="L810" t="s">
        <v>221</v>
      </c>
      <c r="M810" s="2" t="str">
        <f>SUBSTITUTE(L810,"$","")</f>
        <v>100</v>
      </c>
      <c r="N810" s="8">
        <f t="shared" si="166"/>
        <v>100</v>
      </c>
      <c r="O810">
        <v>1.8</v>
      </c>
      <c r="P810" t="b">
        <v>1</v>
      </c>
      <c r="Q810" t="s">
        <v>2073</v>
      </c>
      <c r="R810" s="1">
        <v>0.97</v>
      </c>
      <c r="S810" s="3">
        <f>R810</f>
        <v>0.97</v>
      </c>
    </row>
    <row r="811" spans="1:19" x14ac:dyDescent="0.3">
      <c r="A811" t="s">
        <v>1689</v>
      </c>
      <c r="B811" t="s">
        <v>1690</v>
      </c>
      <c r="C811" t="str">
        <f t="shared" ref="C811:C874" si="174">B811</f>
        <v>Melody Barker</v>
      </c>
      <c r="D811" t="s">
        <v>6</v>
      </c>
      <c r="E811" t="str">
        <f t="shared" si="165"/>
        <v>Female</v>
      </c>
      <c r="F811">
        <v>46</v>
      </c>
      <c r="G811" t="s">
        <v>116</v>
      </c>
      <c r="H811" t="s">
        <v>117</v>
      </c>
      <c r="I811" t="s">
        <v>27</v>
      </c>
      <c r="J811">
        <v>28</v>
      </c>
      <c r="K811" s="4" t="str" cm="1">
        <f t="array" ref="K811">_xlfn.IFS(J811&lt;=5,"0-5",J811&lt;=10,"6-10",J811&lt;=15,"11-15",J811&lt;=20,"16-20",J811&gt;20,"21+")</f>
        <v>21+</v>
      </c>
      <c r="L811">
        <v>30</v>
      </c>
      <c r="M811" s="2">
        <f>L811</f>
        <v>30</v>
      </c>
      <c r="N811" s="8">
        <f t="shared" si="166"/>
        <v>30</v>
      </c>
      <c r="O811">
        <v>4.2</v>
      </c>
      <c r="P811" t="b">
        <v>1</v>
      </c>
      <c r="Q811" t="s">
        <v>2073</v>
      </c>
    </row>
    <row r="812" spans="1:19" x14ac:dyDescent="0.3">
      <c r="A812" t="s">
        <v>1691</v>
      </c>
      <c r="B812" t="s">
        <v>1692</v>
      </c>
      <c r="C812" t="str">
        <f t="shared" si="174"/>
        <v>Russell Carpenter</v>
      </c>
      <c r="D812" t="s">
        <v>84</v>
      </c>
      <c r="E812" t="str">
        <f t="shared" si="165"/>
        <v>Male</v>
      </c>
      <c r="F812">
        <v>21</v>
      </c>
      <c r="G812" t="s">
        <v>131</v>
      </c>
      <c r="H812" t="s">
        <v>132</v>
      </c>
      <c r="I812" t="s">
        <v>36</v>
      </c>
      <c r="J812">
        <v>0</v>
      </c>
      <c r="K812" s="4" t="str" cm="1">
        <f t="array" ref="K812">_xlfn.IFS(J812&lt;=5,"0-5",J812&lt;=10,"6-10",J812&lt;=15,"11-15",J812&lt;=20,"16-20",J812&gt;20,"21+")</f>
        <v>0-5</v>
      </c>
      <c r="L812">
        <v>20</v>
      </c>
      <c r="M812" s="2">
        <f>L812</f>
        <v>20</v>
      </c>
      <c r="N812" s="8">
        <f t="shared" si="166"/>
        <v>20</v>
      </c>
      <c r="O812">
        <v>2.6</v>
      </c>
      <c r="P812" t="s">
        <v>151</v>
      </c>
      <c r="Q812" t="s">
        <v>2072</v>
      </c>
      <c r="R812" s="1">
        <v>0.64</v>
      </c>
      <c r="S812" s="3">
        <f t="shared" ref="S812:S819" si="175">R812</f>
        <v>0.64</v>
      </c>
    </row>
    <row r="813" spans="1:19" x14ac:dyDescent="0.3">
      <c r="A813" t="s">
        <v>1693</v>
      </c>
      <c r="B813" t="s">
        <v>1694</v>
      </c>
      <c r="C813" t="str">
        <f t="shared" si="174"/>
        <v>Richard Hill</v>
      </c>
      <c r="D813" t="s">
        <v>40</v>
      </c>
      <c r="E813" t="str">
        <f t="shared" si="165"/>
        <v>Male</v>
      </c>
      <c r="F813">
        <v>52</v>
      </c>
      <c r="G813" t="s">
        <v>116</v>
      </c>
      <c r="H813" t="s">
        <v>117</v>
      </c>
      <c r="I813" t="s">
        <v>43</v>
      </c>
      <c r="J813">
        <v>30</v>
      </c>
      <c r="K813" s="4" t="str" cm="1">
        <f t="array" ref="K813">_xlfn.IFS(J813&lt;=5,"0-5",J813&lt;=10,"6-10",J813&lt;=15,"11-15",J813&lt;=20,"16-20",J813&gt;20,"21+")</f>
        <v>21+</v>
      </c>
      <c r="L813">
        <v>30</v>
      </c>
      <c r="M813" s="2">
        <f>L813</f>
        <v>30</v>
      </c>
      <c r="N813" s="8">
        <f t="shared" si="166"/>
        <v>30</v>
      </c>
      <c r="O813">
        <v>2</v>
      </c>
      <c r="P813">
        <v>1</v>
      </c>
      <c r="Q813" t="s">
        <v>2073</v>
      </c>
      <c r="R813" s="1">
        <v>0.68</v>
      </c>
      <c r="S813" s="3">
        <f t="shared" si="175"/>
        <v>0.68</v>
      </c>
    </row>
    <row r="814" spans="1:19" x14ac:dyDescent="0.3">
      <c r="A814" t="s">
        <v>1695</v>
      </c>
      <c r="B814" t="s">
        <v>1696</v>
      </c>
      <c r="C814" t="str">
        <f t="shared" si="174"/>
        <v>Lindsay Potts</v>
      </c>
      <c r="D814" t="s">
        <v>6</v>
      </c>
      <c r="E814" t="str">
        <f t="shared" si="165"/>
        <v>Female</v>
      </c>
      <c r="F814">
        <v>39</v>
      </c>
      <c r="G814" t="s">
        <v>116</v>
      </c>
      <c r="H814" t="s">
        <v>117</v>
      </c>
      <c r="I814" t="s">
        <v>22</v>
      </c>
      <c r="J814">
        <v>20</v>
      </c>
      <c r="K814" s="4" t="str" cm="1">
        <f t="array" ref="K814">_xlfn.IFS(J814&lt;=5,"0-5",J814&lt;=10,"6-10",J814&lt;=15,"11-15",J814&lt;=20,"16-20",J814&gt;20,"21+")</f>
        <v>16-20</v>
      </c>
      <c r="L814" t="s">
        <v>162</v>
      </c>
      <c r="M814" s="2" t="str">
        <f>SUBSTITUTE(L814,"$","")</f>
        <v>75</v>
      </c>
      <c r="N814" s="8">
        <f t="shared" si="166"/>
        <v>75</v>
      </c>
      <c r="O814">
        <v>2.7</v>
      </c>
      <c r="P814">
        <v>1</v>
      </c>
      <c r="Q814" t="s">
        <v>2073</v>
      </c>
      <c r="R814" s="1">
        <v>0.67</v>
      </c>
      <c r="S814" s="3">
        <f t="shared" si="175"/>
        <v>0.67</v>
      </c>
    </row>
    <row r="815" spans="1:19" x14ac:dyDescent="0.3">
      <c r="A815" t="s">
        <v>1697</v>
      </c>
      <c r="B815" t="s">
        <v>1698</v>
      </c>
      <c r="C815" t="str">
        <f t="shared" si="174"/>
        <v>Michelle Campbell</v>
      </c>
      <c r="D815" t="s">
        <v>6</v>
      </c>
      <c r="E815" t="str">
        <f t="shared" si="165"/>
        <v>Female</v>
      </c>
      <c r="F815">
        <v>31</v>
      </c>
      <c r="G815" t="s">
        <v>13</v>
      </c>
      <c r="H815" t="s">
        <v>14</v>
      </c>
      <c r="I815" t="s">
        <v>15</v>
      </c>
      <c r="J815">
        <v>0</v>
      </c>
      <c r="K815" s="4" t="str" cm="1">
        <f t="array" ref="K815">_xlfn.IFS(J815&lt;=5,"0-5",J815&lt;=10,"6-10",J815&lt;=15,"11-15",J815&lt;=20,"16-20",J815&gt;20,"21+")</f>
        <v>0-5</v>
      </c>
      <c r="L815">
        <v>30</v>
      </c>
      <c r="M815" s="2">
        <f>L815</f>
        <v>30</v>
      </c>
      <c r="N815" s="8">
        <f t="shared" si="166"/>
        <v>30</v>
      </c>
      <c r="O815">
        <v>2.2999999999999998</v>
      </c>
      <c r="P815" t="s">
        <v>151</v>
      </c>
      <c r="Q815" t="s">
        <v>2072</v>
      </c>
      <c r="R815" s="1">
        <v>0.79</v>
      </c>
      <c r="S815" s="3">
        <f t="shared" si="175"/>
        <v>0.79</v>
      </c>
    </row>
    <row r="816" spans="1:19" x14ac:dyDescent="0.3">
      <c r="A816" t="s">
        <v>1699</v>
      </c>
      <c r="B816" t="s">
        <v>1700</v>
      </c>
      <c r="C816" t="str">
        <f t="shared" si="174"/>
        <v>Alan Williams</v>
      </c>
      <c r="D816" t="s">
        <v>40</v>
      </c>
      <c r="E816" t="str">
        <f t="shared" si="165"/>
        <v>Male</v>
      </c>
      <c r="F816">
        <v>22</v>
      </c>
      <c r="G816" t="s">
        <v>104</v>
      </c>
      <c r="H816" t="s">
        <v>105</v>
      </c>
      <c r="I816" t="s">
        <v>65</v>
      </c>
      <c r="J816">
        <v>4</v>
      </c>
      <c r="K816" s="4" t="str" cm="1">
        <f t="array" ref="K816">_xlfn.IFS(J816&lt;=5,"0-5",J816&lt;=10,"6-10",J816&lt;=15,"11-15",J816&lt;=20,"16-20",J816&gt;20,"21+")</f>
        <v>0-5</v>
      </c>
      <c r="L816" t="s">
        <v>28</v>
      </c>
      <c r="M816" s="2" t="str">
        <f>SUBSTITUTE(L816,"$","")</f>
        <v>40</v>
      </c>
      <c r="N816" s="8">
        <f t="shared" si="166"/>
        <v>40</v>
      </c>
      <c r="O816">
        <v>3.8</v>
      </c>
      <c r="P816" t="b">
        <v>1</v>
      </c>
      <c r="Q816" t="s">
        <v>2073</v>
      </c>
      <c r="R816" s="1">
        <v>1</v>
      </c>
      <c r="S816" s="3">
        <f t="shared" si="175"/>
        <v>1</v>
      </c>
    </row>
    <row r="817" spans="1:19" x14ac:dyDescent="0.3">
      <c r="A817" t="s">
        <v>1701</v>
      </c>
      <c r="B817" t="s">
        <v>1702</v>
      </c>
      <c r="C817" t="str">
        <f t="shared" si="174"/>
        <v>Robin Hinton</v>
      </c>
      <c r="D817" t="s">
        <v>6</v>
      </c>
      <c r="E817" t="str">
        <f t="shared" si="165"/>
        <v>Female</v>
      </c>
      <c r="F817">
        <v>38</v>
      </c>
      <c r="G817" t="s">
        <v>59</v>
      </c>
      <c r="H817" t="s">
        <v>14</v>
      </c>
      <c r="I817" t="s">
        <v>65</v>
      </c>
      <c r="J817">
        <v>10</v>
      </c>
      <c r="K817" s="4" t="str" cm="1">
        <f t="array" ref="K817">_xlfn.IFS(J817&lt;=5,"0-5",J817&lt;=10,"6-10",J817&lt;=15,"11-15",J817&lt;=20,"16-20",J817&gt;20,"21+")</f>
        <v>6-10</v>
      </c>
      <c r="L817">
        <v>40</v>
      </c>
      <c r="M817" s="2">
        <f>L817</f>
        <v>40</v>
      </c>
      <c r="N817" s="8">
        <f t="shared" si="166"/>
        <v>40</v>
      </c>
      <c r="P817" t="s">
        <v>23</v>
      </c>
      <c r="Q817" t="s">
        <v>2072</v>
      </c>
      <c r="R817" s="1">
        <v>0.66</v>
      </c>
      <c r="S817" s="3">
        <f t="shared" si="175"/>
        <v>0.66</v>
      </c>
    </row>
    <row r="818" spans="1:19" x14ac:dyDescent="0.3">
      <c r="A818" t="s">
        <v>1703</v>
      </c>
      <c r="B818" t="s">
        <v>1704</v>
      </c>
      <c r="C818" t="str">
        <f t="shared" si="174"/>
        <v>Brian Holland</v>
      </c>
      <c r="D818" t="s">
        <v>89</v>
      </c>
      <c r="E818" t="str">
        <f t="shared" si="165"/>
        <v>Male</v>
      </c>
      <c r="F818">
        <v>44</v>
      </c>
      <c r="G818" t="s">
        <v>63</v>
      </c>
      <c r="H818" t="s">
        <v>64</v>
      </c>
      <c r="I818" t="s">
        <v>22</v>
      </c>
      <c r="J818">
        <v>24</v>
      </c>
      <c r="K818" s="4" t="str" cm="1">
        <f t="array" ref="K818">_xlfn.IFS(J818&lt;=5,"0-5",J818&lt;=10,"6-10",J818&lt;=15,"11-15",J818&lt;=20,"16-20",J818&gt;20,"21+")</f>
        <v>21+</v>
      </c>
      <c r="L818" t="s">
        <v>44</v>
      </c>
      <c r="M818" s="2" t="str">
        <f>TRIM(MID(L818,FIND(" ",L818)+1,LEN(L818)))</f>
        <v>75</v>
      </c>
      <c r="N818" s="8">
        <f t="shared" si="166"/>
        <v>75</v>
      </c>
      <c r="O818">
        <v>4.5999999999999996</v>
      </c>
      <c r="P818" t="s">
        <v>151</v>
      </c>
      <c r="Q818" t="s">
        <v>2072</v>
      </c>
      <c r="R818" s="1">
        <v>0.97</v>
      </c>
      <c r="S818" s="3">
        <f t="shared" si="175"/>
        <v>0.97</v>
      </c>
    </row>
    <row r="819" spans="1:19" x14ac:dyDescent="0.3">
      <c r="A819" t="s">
        <v>1705</v>
      </c>
      <c r="B819" t="s">
        <v>1706</v>
      </c>
      <c r="C819" t="str">
        <f t="shared" si="174"/>
        <v>Adam Stone</v>
      </c>
      <c r="D819" t="s">
        <v>84</v>
      </c>
      <c r="E819" t="str">
        <f t="shared" si="165"/>
        <v>Male</v>
      </c>
      <c r="F819">
        <v>53</v>
      </c>
      <c r="G819" t="s">
        <v>41</v>
      </c>
      <c r="H819" t="s">
        <v>42</v>
      </c>
      <c r="I819" t="s">
        <v>106</v>
      </c>
      <c r="J819">
        <v>21</v>
      </c>
      <c r="K819" s="4" t="str" cm="1">
        <f t="array" ref="K819">_xlfn.IFS(J819&lt;=5,"0-5",J819&lt;=10,"6-10",J819&lt;=15,"11-15",J819&lt;=20,"16-20",J819&gt;20,"21+")</f>
        <v>21+</v>
      </c>
      <c r="L819">
        <v>100</v>
      </c>
      <c r="M819" s="2">
        <f>L819</f>
        <v>100</v>
      </c>
      <c r="N819" s="8">
        <f t="shared" si="166"/>
        <v>100</v>
      </c>
      <c r="O819">
        <v>3.4</v>
      </c>
      <c r="P819">
        <v>0</v>
      </c>
      <c r="Q819" t="s">
        <v>2072</v>
      </c>
      <c r="R819" s="1">
        <v>0.62</v>
      </c>
      <c r="S819" s="3">
        <f t="shared" si="175"/>
        <v>0.62</v>
      </c>
    </row>
    <row r="820" spans="1:19" x14ac:dyDescent="0.3">
      <c r="A820" t="s">
        <v>1707</v>
      </c>
      <c r="B820" t="s">
        <v>1708</v>
      </c>
      <c r="C820" t="str">
        <f t="shared" si="174"/>
        <v>Curtis Lambert</v>
      </c>
      <c r="D820" t="s">
        <v>89</v>
      </c>
      <c r="E820" t="str">
        <f t="shared" si="165"/>
        <v>Male</v>
      </c>
      <c r="F820">
        <v>22</v>
      </c>
      <c r="G820" t="s">
        <v>167</v>
      </c>
      <c r="H820" t="s">
        <v>168</v>
      </c>
      <c r="I820" t="s">
        <v>43</v>
      </c>
      <c r="J820">
        <v>2</v>
      </c>
      <c r="K820" s="4" t="str" cm="1">
        <f t="array" ref="K820">_xlfn.IFS(J820&lt;=5,"0-5",J820&lt;=10,"6-10",J820&lt;=15,"11-15",J820&lt;=20,"16-20",J820&gt;20,"21+")</f>
        <v>0-5</v>
      </c>
      <c r="L820" t="s">
        <v>306</v>
      </c>
      <c r="M820" s="2" t="str">
        <f>TRIM(MID(L820,FIND(" ",L820)+1,LEN(L820)))</f>
        <v>20</v>
      </c>
      <c r="N820" s="8">
        <f t="shared" si="166"/>
        <v>20</v>
      </c>
      <c r="P820" t="s">
        <v>151</v>
      </c>
      <c r="Q820" t="s">
        <v>2072</v>
      </c>
    </row>
    <row r="821" spans="1:19" x14ac:dyDescent="0.3">
      <c r="A821" t="s">
        <v>1709</v>
      </c>
      <c r="B821" t="s">
        <v>1710</v>
      </c>
      <c r="C821" t="str">
        <f t="shared" si="174"/>
        <v>Alexandra Sims</v>
      </c>
      <c r="D821" t="s">
        <v>69</v>
      </c>
      <c r="E821" t="str">
        <f t="shared" si="165"/>
        <v>Female</v>
      </c>
      <c r="F821">
        <v>40</v>
      </c>
      <c r="G821" t="s">
        <v>85</v>
      </c>
      <c r="H821" t="s">
        <v>86</v>
      </c>
      <c r="I821" t="s">
        <v>9</v>
      </c>
      <c r="J821">
        <v>14</v>
      </c>
      <c r="K821" s="4" t="str" cm="1">
        <f t="array" ref="K821">_xlfn.IFS(J821&lt;=5,"0-5",J821&lt;=10,"6-10",J821&lt;=15,"11-15",J821&lt;=20,"16-20",J821&gt;20,"21+")</f>
        <v>11-15</v>
      </c>
      <c r="L821">
        <v>75</v>
      </c>
      <c r="M821" s="2">
        <f>L821</f>
        <v>75</v>
      </c>
      <c r="N821" s="8">
        <f t="shared" si="166"/>
        <v>75</v>
      </c>
      <c r="O821">
        <v>0</v>
      </c>
      <c r="P821">
        <v>1</v>
      </c>
      <c r="Q821" t="s">
        <v>2073</v>
      </c>
      <c r="R821" s="1">
        <v>0.79</v>
      </c>
      <c r="S821" s="3">
        <f t="shared" ref="S821:S824" si="176">R821</f>
        <v>0.79</v>
      </c>
    </row>
    <row r="822" spans="1:19" x14ac:dyDescent="0.3">
      <c r="A822" t="s">
        <v>1711</v>
      </c>
      <c r="B822" t="s">
        <v>1712</v>
      </c>
      <c r="C822" t="str">
        <f t="shared" si="174"/>
        <v>Brenda Spencer</v>
      </c>
      <c r="D822" t="s">
        <v>31</v>
      </c>
      <c r="E822" t="str">
        <f t="shared" si="165"/>
        <v>Female</v>
      </c>
      <c r="F822">
        <v>49</v>
      </c>
      <c r="G822" t="s">
        <v>167</v>
      </c>
      <c r="H822" t="s">
        <v>168</v>
      </c>
      <c r="I822" t="s">
        <v>15</v>
      </c>
      <c r="J822">
        <v>15</v>
      </c>
      <c r="K822" s="4" t="str" cm="1">
        <f t="array" ref="K822">_xlfn.IFS(J822&lt;=5,"0-5",J822&lt;=10,"6-10",J822&lt;=15,"11-15",J822&lt;=20,"16-20",J822&gt;20,"21+")</f>
        <v>11-15</v>
      </c>
      <c r="L822">
        <v>40</v>
      </c>
      <c r="M822" s="2">
        <f>L822</f>
        <v>40</v>
      </c>
      <c r="N822" s="8">
        <f t="shared" si="166"/>
        <v>40</v>
      </c>
      <c r="O822">
        <v>3.9</v>
      </c>
      <c r="P822" t="b">
        <v>0</v>
      </c>
      <c r="Q822" t="s">
        <v>2072</v>
      </c>
      <c r="R822" s="1">
        <v>0.86</v>
      </c>
      <c r="S822" s="3">
        <f t="shared" si="176"/>
        <v>0.86</v>
      </c>
    </row>
    <row r="823" spans="1:19" x14ac:dyDescent="0.3">
      <c r="A823" t="s">
        <v>1713</v>
      </c>
      <c r="B823" t="s">
        <v>1714</v>
      </c>
      <c r="C823" t="str">
        <f t="shared" si="174"/>
        <v>Joshua Bush</v>
      </c>
      <c r="D823" t="s">
        <v>53</v>
      </c>
      <c r="E823" t="str">
        <f t="shared" si="165"/>
        <v>Male</v>
      </c>
      <c r="F823">
        <v>30</v>
      </c>
      <c r="G823" t="s">
        <v>13</v>
      </c>
      <c r="H823" t="s">
        <v>14</v>
      </c>
      <c r="I823" t="s">
        <v>65</v>
      </c>
      <c r="J823">
        <v>11</v>
      </c>
      <c r="K823" s="4" t="str" cm="1">
        <f t="array" ref="K823">_xlfn.IFS(J823&lt;=5,"0-5",J823&lt;=10,"6-10",J823&lt;=15,"11-15",J823&lt;=20,"16-20",J823&gt;20,"21+")</f>
        <v>11-15</v>
      </c>
      <c r="L823" t="s">
        <v>37</v>
      </c>
      <c r="M823" s="2" t="str">
        <f>SUBSTITUTE(L823,"$","")</f>
        <v>30</v>
      </c>
      <c r="N823" s="8">
        <f t="shared" si="166"/>
        <v>30</v>
      </c>
      <c r="O823">
        <v>4.2</v>
      </c>
      <c r="P823">
        <v>0</v>
      </c>
      <c r="Q823" t="s">
        <v>2072</v>
      </c>
      <c r="R823" s="1">
        <v>0.65</v>
      </c>
      <c r="S823" s="3">
        <f t="shared" si="176"/>
        <v>0.65</v>
      </c>
    </row>
    <row r="824" spans="1:19" x14ac:dyDescent="0.3">
      <c r="A824" t="s">
        <v>1715</v>
      </c>
      <c r="B824" t="s">
        <v>1716</v>
      </c>
      <c r="C824" t="str">
        <f t="shared" si="174"/>
        <v>Erin Martin</v>
      </c>
      <c r="D824" t="s">
        <v>31</v>
      </c>
      <c r="E824" t="str">
        <f t="shared" si="165"/>
        <v>Female</v>
      </c>
      <c r="F824">
        <v>37</v>
      </c>
      <c r="G824" t="s">
        <v>77</v>
      </c>
      <c r="H824" t="s">
        <v>78</v>
      </c>
      <c r="I824" t="s">
        <v>36</v>
      </c>
      <c r="J824">
        <v>6</v>
      </c>
      <c r="K824" s="4" t="str" cm="1">
        <f t="array" ref="K824">_xlfn.IFS(J824&lt;=5,"0-5",J824&lt;=10,"6-10",J824&lt;=15,"11-15",J824&lt;=20,"16-20",J824&gt;20,"21+")</f>
        <v>6-10</v>
      </c>
      <c r="L824">
        <v>20</v>
      </c>
      <c r="M824" s="2">
        <f>L824</f>
        <v>20</v>
      </c>
      <c r="N824" s="8">
        <f t="shared" si="166"/>
        <v>20</v>
      </c>
      <c r="R824" s="1">
        <v>0.99</v>
      </c>
      <c r="S824" s="3">
        <f t="shared" si="176"/>
        <v>0.99</v>
      </c>
    </row>
    <row r="825" spans="1:19" x14ac:dyDescent="0.3">
      <c r="A825" t="s">
        <v>1717</v>
      </c>
      <c r="B825" t="s">
        <v>1718</v>
      </c>
      <c r="C825" t="str">
        <f t="shared" si="174"/>
        <v>Alexander Hogan</v>
      </c>
      <c r="D825" t="s">
        <v>19</v>
      </c>
      <c r="E825" t="str">
        <f t="shared" si="165"/>
        <v>Male</v>
      </c>
      <c r="F825">
        <v>21</v>
      </c>
      <c r="G825" t="s">
        <v>131</v>
      </c>
      <c r="H825" t="s">
        <v>132</v>
      </c>
      <c r="I825" t="s">
        <v>22</v>
      </c>
      <c r="J825">
        <v>2</v>
      </c>
      <c r="K825" s="4" t="str" cm="1">
        <f t="array" ref="K825">_xlfn.IFS(J825&lt;=5,"0-5",J825&lt;=10,"6-10",J825&lt;=15,"11-15",J825&lt;=20,"16-20",J825&gt;20,"21+")</f>
        <v>0-5</v>
      </c>
      <c r="L825">
        <v>100</v>
      </c>
      <c r="M825" s="2">
        <f>L825</f>
        <v>100</v>
      </c>
      <c r="N825" s="8">
        <f t="shared" si="166"/>
        <v>100</v>
      </c>
      <c r="O825">
        <v>3.6</v>
      </c>
      <c r="P825" t="b">
        <v>0</v>
      </c>
      <c r="Q825" t="s">
        <v>2072</v>
      </c>
      <c r="R825">
        <v>85</v>
      </c>
      <c r="S825" s="3">
        <f>R825/100</f>
        <v>0.85</v>
      </c>
    </row>
    <row r="826" spans="1:19" x14ac:dyDescent="0.3">
      <c r="A826" t="s">
        <v>1719</v>
      </c>
      <c r="B826" t="s">
        <v>1720</v>
      </c>
      <c r="C826" t="str">
        <f t="shared" si="174"/>
        <v>William Harris</v>
      </c>
      <c r="D826" t="s">
        <v>89</v>
      </c>
      <c r="E826" t="str">
        <f t="shared" si="165"/>
        <v>Male</v>
      </c>
      <c r="F826">
        <v>20</v>
      </c>
      <c r="G826" t="s">
        <v>104</v>
      </c>
      <c r="H826" t="s">
        <v>105</v>
      </c>
      <c r="I826" t="s">
        <v>36</v>
      </c>
      <c r="J826">
        <v>1</v>
      </c>
      <c r="K826" s="4" t="str" cm="1">
        <f t="array" ref="K826">_xlfn.IFS(J826&lt;=5,"0-5",J826&lt;=10,"6-10",J826&lt;=15,"11-15",J826&lt;=20,"16-20",J826&gt;20,"21+")</f>
        <v>0-5</v>
      </c>
      <c r="L826" t="s">
        <v>90</v>
      </c>
      <c r="M826" s="2" t="str">
        <f>TRIM(MID(L826,FIND(" ",L826)+1,LEN(L826)))</f>
        <v>50</v>
      </c>
      <c r="N826" s="8">
        <f t="shared" si="166"/>
        <v>50</v>
      </c>
      <c r="P826" t="s">
        <v>60</v>
      </c>
      <c r="Q826" t="s">
        <v>2073</v>
      </c>
      <c r="R826" s="1">
        <v>0.81</v>
      </c>
      <c r="S826" s="3">
        <f t="shared" ref="S826:S829" si="177">R826</f>
        <v>0.81</v>
      </c>
    </row>
    <row r="827" spans="1:19" x14ac:dyDescent="0.3">
      <c r="A827" t="s">
        <v>1721</v>
      </c>
      <c r="B827" t="s">
        <v>1722</v>
      </c>
      <c r="C827" t="str">
        <f t="shared" si="174"/>
        <v>Michael Mcmahon</v>
      </c>
      <c r="D827" t="s">
        <v>19</v>
      </c>
      <c r="E827" t="str">
        <f t="shared" si="165"/>
        <v>Male</v>
      </c>
      <c r="F827">
        <v>20</v>
      </c>
      <c r="G827" t="s">
        <v>167</v>
      </c>
      <c r="H827" t="s">
        <v>168</v>
      </c>
      <c r="I827" t="s">
        <v>43</v>
      </c>
      <c r="J827">
        <v>2</v>
      </c>
      <c r="K827" s="4" t="str" cm="1">
        <f t="array" ref="K827">_xlfn.IFS(J827&lt;=5,"0-5",J827&lt;=10,"6-10",J827&lt;=15,"11-15",J827&lt;=20,"16-20",J827&gt;20,"21+")</f>
        <v>0-5</v>
      </c>
      <c r="L827" t="s">
        <v>28</v>
      </c>
      <c r="M827" s="2" t="str">
        <f>SUBSTITUTE(L827,"$","")</f>
        <v>40</v>
      </c>
      <c r="N827" s="8">
        <f t="shared" si="166"/>
        <v>40</v>
      </c>
      <c r="O827">
        <v>2.1</v>
      </c>
      <c r="P827" t="s">
        <v>23</v>
      </c>
      <c r="Q827" t="s">
        <v>2072</v>
      </c>
      <c r="R827" s="1">
        <v>0.64</v>
      </c>
      <c r="S827" s="3">
        <f t="shared" si="177"/>
        <v>0.64</v>
      </c>
    </row>
    <row r="828" spans="1:19" x14ac:dyDescent="0.3">
      <c r="A828" t="s">
        <v>1723</v>
      </c>
      <c r="B828" t="s">
        <v>1724</v>
      </c>
      <c r="C828" t="str">
        <f t="shared" si="174"/>
        <v>Michael Watson</v>
      </c>
      <c r="D828" t="s">
        <v>53</v>
      </c>
      <c r="E828" t="str">
        <f t="shared" si="165"/>
        <v>Male</v>
      </c>
      <c r="F828">
        <v>20</v>
      </c>
      <c r="G828" t="s">
        <v>63</v>
      </c>
      <c r="H828" t="s">
        <v>64</v>
      </c>
      <c r="I828" t="s">
        <v>106</v>
      </c>
      <c r="J828">
        <v>2</v>
      </c>
      <c r="K828" s="4" t="str" cm="1">
        <f t="array" ref="K828">_xlfn.IFS(J828&lt;=5,"0-5",J828&lt;=10,"6-10",J828&lt;=15,"11-15",J828&lt;=20,"16-20",J828&gt;20,"21+")</f>
        <v>0-5</v>
      </c>
      <c r="L828">
        <v>20</v>
      </c>
      <c r="M828" s="2">
        <f>L828</f>
        <v>20</v>
      </c>
      <c r="N828" s="8">
        <f t="shared" si="166"/>
        <v>20</v>
      </c>
      <c r="O828">
        <v>3.9</v>
      </c>
      <c r="P828" t="b">
        <v>0</v>
      </c>
      <c r="Q828" t="s">
        <v>2072</v>
      </c>
      <c r="R828" s="1">
        <v>0.84</v>
      </c>
      <c r="S828" s="3">
        <f t="shared" si="177"/>
        <v>0.84</v>
      </c>
    </row>
    <row r="829" spans="1:19" x14ac:dyDescent="0.3">
      <c r="A829" t="s">
        <v>1725</v>
      </c>
      <c r="B829" t="s">
        <v>1726</v>
      </c>
      <c r="C829" t="str">
        <f t="shared" si="174"/>
        <v>Lori Perez</v>
      </c>
      <c r="D829" t="s">
        <v>6</v>
      </c>
      <c r="E829" t="str">
        <f t="shared" si="165"/>
        <v>Female</v>
      </c>
      <c r="F829">
        <v>26</v>
      </c>
      <c r="G829" t="s">
        <v>116</v>
      </c>
      <c r="H829" t="s">
        <v>117</v>
      </c>
      <c r="I829" t="s">
        <v>106</v>
      </c>
      <c r="J829">
        <v>2</v>
      </c>
      <c r="K829" s="4" t="str" cm="1">
        <f t="array" ref="K829">_xlfn.IFS(J829&lt;=5,"0-5",J829&lt;=10,"6-10",J829&lt;=15,"11-15",J829&lt;=20,"16-20",J829&gt;20,"21+")</f>
        <v>0-5</v>
      </c>
      <c r="L829">
        <v>40</v>
      </c>
      <c r="M829" s="2">
        <f>L829</f>
        <v>40</v>
      </c>
      <c r="N829" s="8">
        <f t="shared" si="166"/>
        <v>40</v>
      </c>
      <c r="O829">
        <v>0</v>
      </c>
      <c r="R829" s="1">
        <v>0.66</v>
      </c>
      <c r="S829" s="3">
        <f t="shared" si="177"/>
        <v>0.66</v>
      </c>
    </row>
    <row r="830" spans="1:19" x14ac:dyDescent="0.3">
      <c r="A830" t="s">
        <v>1727</v>
      </c>
      <c r="B830" t="s">
        <v>1728</v>
      </c>
      <c r="C830" t="str">
        <f t="shared" si="174"/>
        <v>Lindsay Le</v>
      </c>
      <c r="D830" t="s">
        <v>31</v>
      </c>
      <c r="E830" t="str">
        <f t="shared" si="165"/>
        <v>Female</v>
      </c>
      <c r="F830">
        <v>50</v>
      </c>
      <c r="G830" t="s">
        <v>104</v>
      </c>
      <c r="H830" t="s">
        <v>105</v>
      </c>
      <c r="I830" t="s">
        <v>27</v>
      </c>
      <c r="J830">
        <v>12</v>
      </c>
      <c r="K830" s="4" t="str" cm="1">
        <f t="array" ref="K830">_xlfn.IFS(J830&lt;=5,"0-5",J830&lt;=10,"6-10",J830&lt;=15,"11-15",J830&lt;=20,"16-20",J830&gt;20,"21+")</f>
        <v>11-15</v>
      </c>
      <c r="L830" t="s">
        <v>162</v>
      </c>
      <c r="M830" s="2" t="str">
        <f>SUBSTITUTE(L830,"$","")</f>
        <v>75</v>
      </c>
      <c r="N830" s="8">
        <f t="shared" si="166"/>
        <v>75</v>
      </c>
      <c r="O830">
        <v>0</v>
      </c>
      <c r="P830" t="b">
        <v>0</v>
      </c>
      <c r="Q830" t="s">
        <v>2072</v>
      </c>
      <c r="R830">
        <v>75</v>
      </c>
      <c r="S830" s="3">
        <f>R830/100</f>
        <v>0.75</v>
      </c>
    </row>
    <row r="831" spans="1:19" x14ac:dyDescent="0.3">
      <c r="A831" t="s">
        <v>1729</v>
      </c>
      <c r="B831" t="s">
        <v>1730</v>
      </c>
      <c r="C831" t="str">
        <f t="shared" si="174"/>
        <v>Scott Long</v>
      </c>
      <c r="D831" t="s">
        <v>89</v>
      </c>
      <c r="E831" t="str">
        <f t="shared" si="165"/>
        <v>Male</v>
      </c>
      <c r="F831">
        <v>50</v>
      </c>
      <c r="G831" t="s">
        <v>182</v>
      </c>
      <c r="H831" t="s">
        <v>64</v>
      </c>
      <c r="I831" t="s">
        <v>36</v>
      </c>
      <c r="J831">
        <v>28</v>
      </c>
      <c r="K831" s="4" t="str" cm="1">
        <f t="array" ref="K831">_xlfn.IFS(J831&lt;=5,"0-5",J831&lt;=10,"6-10",J831&lt;=15,"11-15",J831&lt;=20,"16-20",J831&gt;20,"21+")</f>
        <v>21+</v>
      </c>
      <c r="L831">
        <v>30</v>
      </c>
      <c r="M831" s="2">
        <f>L831</f>
        <v>30</v>
      </c>
      <c r="N831" s="8">
        <f t="shared" si="166"/>
        <v>30</v>
      </c>
      <c r="O831">
        <v>1.8</v>
      </c>
    </row>
    <row r="832" spans="1:19" x14ac:dyDescent="0.3">
      <c r="A832" t="s">
        <v>1731</v>
      </c>
      <c r="B832" t="s">
        <v>1732</v>
      </c>
      <c r="C832" t="str">
        <f t="shared" si="174"/>
        <v>Diana Ferguson</v>
      </c>
      <c r="D832" t="s">
        <v>69</v>
      </c>
      <c r="E832" t="str">
        <f t="shared" si="165"/>
        <v>Female</v>
      </c>
      <c r="F832">
        <v>54</v>
      </c>
      <c r="G832" t="s">
        <v>41</v>
      </c>
      <c r="H832" t="s">
        <v>42</v>
      </c>
      <c r="I832" t="s">
        <v>36</v>
      </c>
      <c r="J832">
        <v>4</v>
      </c>
      <c r="K832" s="4" t="str" cm="1">
        <f t="array" ref="K832">_xlfn.IFS(J832&lt;=5,"0-5",J832&lt;=10,"6-10",J832&lt;=15,"11-15",J832&lt;=20,"16-20",J832&gt;20,"21+")</f>
        <v>0-5</v>
      </c>
      <c r="L832">
        <v>20</v>
      </c>
      <c r="M832" s="2">
        <f>L832</f>
        <v>20</v>
      </c>
      <c r="N832" s="8">
        <f t="shared" si="166"/>
        <v>20</v>
      </c>
      <c r="O832">
        <v>1.1000000000000001</v>
      </c>
      <c r="P832">
        <v>1</v>
      </c>
      <c r="Q832" t="s">
        <v>2073</v>
      </c>
      <c r="R832" s="1">
        <v>0.63</v>
      </c>
      <c r="S832" s="3">
        <f t="shared" ref="S832:S834" si="178">R832</f>
        <v>0.63</v>
      </c>
    </row>
    <row r="833" spans="1:19" x14ac:dyDescent="0.3">
      <c r="A833" t="s">
        <v>1733</v>
      </c>
      <c r="B833" t="s">
        <v>1734</v>
      </c>
      <c r="C833" t="str">
        <f t="shared" si="174"/>
        <v>Joseph Miller</v>
      </c>
      <c r="D833" t="s">
        <v>19</v>
      </c>
      <c r="E833" t="str">
        <f t="shared" si="165"/>
        <v>Male</v>
      </c>
      <c r="F833">
        <v>54</v>
      </c>
      <c r="G833" t="s">
        <v>182</v>
      </c>
      <c r="H833" t="s">
        <v>64</v>
      </c>
      <c r="I833" t="s">
        <v>9</v>
      </c>
      <c r="J833">
        <v>3</v>
      </c>
      <c r="K833" s="4" t="str" cm="1">
        <f t="array" ref="K833">_xlfn.IFS(J833&lt;=5,"0-5",J833&lt;=10,"6-10",J833&lt;=15,"11-15",J833&lt;=20,"16-20",J833&gt;20,"21+")</f>
        <v>0-5</v>
      </c>
      <c r="L833">
        <v>20</v>
      </c>
      <c r="M833" s="2">
        <f>L833</f>
        <v>20</v>
      </c>
      <c r="N833" s="8">
        <f t="shared" si="166"/>
        <v>20</v>
      </c>
      <c r="O833">
        <v>1.6</v>
      </c>
      <c r="P833" t="s">
        <v>66</v>
      </c>
      <c r="Q833" t="s">
        <v>2073</v>
      </c>
      <c r="R833" s="1">
        <v>0.7</v>
      </c>
      <c r="S833" s="3">
        <f t="shared" si="178"/>
        <v>0.7</v>
      </c>
    </row>
    <row r="834" spans="1:19" x14ac:dyDescent="0.3">
      <c r="A834" t="s">
        <v>1735</v>
      </c>
      <c r="B834" t="s">
        <v>1736</v>
      </c>
      <c r="C834" t="str">
        <f t="shared" si="174"/>
        <v>Julia Reid</v>
      </c>
      <c r="D834" t="s">
        <v>69</v>
      </c>
      <c r="E834" t="str">
        <f t="shared" ref="E834:E897" si="179">IF(LOWER(LEFT(D834,1))="f","Female","Male")</f>
        <v>Female</v>
      </c>
      <c r="F834">
        <v>34</v>
      </c>
      <c r="G834" t="s">
        <v>131</v>
      </c>
      <c r="H834" t="s">
        <v>132</v>
      </c>
      <c r="I834" t="s">
        <v>106</v>
      </c>
      <c r="J834">
        <v>4</v>
      </c>
      <c r="K834" s="4" t="str" cm="1">
        <f t="array" ref="K834">_xlfn.IFS(J834&lt;=5,"0-5",J834&lt;=10,"6-10",J834&lt;=15,"11-15",J834&lt;=20,"16-20",J834&gt;20,"21+")</f>
        <v>0-5</v>
      </c>
      <c r="L834" t="s">
        <v>37</v>
      </c>
      <c r="M834" s="2" t="str">
        <f>SUBSTITUTE(L834,"$","")</f>
        <v>30</v>
      </c>
      <c r="N834" s="8">
        <f t="shared" si="166"/>
        <v>30</v>
      </c>
      <c r="O834">
        <v>3.1</v>
      </c>
      <c r="R834" s="1">
        <v>0.9</v>
      </c>
      <c r="S834" s="3">
        <f t="shared" si="178"/>
        <v>0.9</v>
      </c>
    </row>
    <row r="835" spans="1:19" x14ac:dyDescent="0.3">
      <c r="A835" t="s">
        <v>1737</v>
      </c>
      <c r="B835" t="s">
        <v>1738</v>
      </c>
      <c r="C835" t="str">
        <f t="shared" si="174"/>
        <v>Samantha Matthews</v>
      </c>
      <c r="D835" t="s">
        <v>69</v>
      </c>
      <c r="E835" t="str">
        <f t="shared" si="179"/>
        <v>Female</v>
      </c>
      <c r="F835">
        <v>20</v>
      </c>
      <c r="G835" t="s">
        <v>7</v>
      </c>
      <c r="H835" t="s">
        <v>8</v>
      </c>
      <c r="I835" t="s">
        <v>81</v>
      </c>
      <c r="J835">
        <v>1</v>
      </c>
      <c r="K835" s="4" t="str" cm="1">
        <f t="array" ref="K835">_xlfn.IFS(J835&lt;=5,"0-5",J835&lt;=10,"6-10",J835&lt;=15,"11-15",J835&lt;=20,"16-20",J835&gt;20,"21+")</f>
        <v>0-5</v>
      </c>
      <c r="L835">
        <v>50</v>
      </c>
      <c r="M835" s="2">
        <f>L835</f>
        <v>50</v>
      </c>
      <c r="N835" s="8">
        <f t="shared" ref="N835:N898" si="180">IF(M835="", "", VALUE(M835))</f>
        <v>50</v>
      </c>
      <c r="O835">
        <v>3.4</v>
      </c>
      <c r="P835">
        <v>1</v>
      </c>
      <c r="Q835" t="s">
        <v>2073</v>
      </c>
      <c r="R835">
        <v>79</v>
      </c>
      <c r="S835" s="3">
        <f>R835/100</f>
        <v>0.79</v>
      </c>
    </row>
    <row r="836" spans="1:19" x14ac:dyDescent="0.3">
      <c r="A836" t="s">
        <v>1739</v>
      </c>
      <c r="B836" t="s">
        <v>1740</v>
      </c>
      <c r="C836" t="str">
        <f t="shared" si="174"/>
        <v>Brian Bailey</v>
      </c>
      <c r="D836" t="s">
        <v>19</v>
      </c>
      <c r="E836" t="str">
        <f t="shared" si="179"/>
        <v>Male</v>
      </c>
      <c r="F836">
        <v>29</v>
      </c>
      <c r="G836" t="s">
        <v>20</v>
      </c>
      <c r="H836" t="s">
        <v>21</v>
      </c>
      <c r="I836" t="s">
        <v>36</v>
      </c>
      <c r="J836">
        <v>8</v>
      </c>
      <c r="K836" s="4" t="str" cm="1">
        <f t="array" ref="K836">_xlfn.IFS(J836&lt;=5,"0-5",J836&lt;=10,"6-10",J836&lt;=15,"11-15",J836&lt;=20,"16-20",J836&gt;20,"21+")</f>
        <v>6-10</v>
      </c>
      <c r="L836">
        <v>40</v>
      </c>
      <c r="M836" s="2">
        <f>L836</f>
        <v>40</v>
      </c>
      <c r="N836" s="8">
        <f t="shared" si="180"/>
        <v>40</v>
      </c>
      <c r="O836">
        <v>3.1</v>
      </c>
      <c r="P836" t="s">
        <v>23</v>
      </c>
      <c r="Q836" t="s">
        <v>2072</v>
      </c>
      <c r="R836" s="1">
        <v>0.6</v>
      </c>
      <c r="S836" s="3">
        <f>R836</f>
        <v>0.6</v>
      </c>
    </row>
    <row r="837" spans="1:19" x14ac:dyDescent="0.3">
      <c r="A837" t="s">
        <v>1741</v>
      </c>
      <c r="B837" t="s">
        <v>1742</v>
      </c>
      <c r="C837" t="str">
        <f t="shared" si="174"/>
        <v>Toni Hinton</v>
      </c>
      <c r="D837" t="s">
        <v>31</v>
      </c>
      <c r="E837" t="str">
        <f t="shared" si="179"/>
        <v>Female</v>
      </c>
      <c r="F837">
        <v>57</v>
      </c>
      <c r="G837" t="s">
        <v>59</v>
      </c>
      <c r="H837" t="s">
        <v>14</v>
      </c>
      <c r="I837" t="s">
        <v>81</v>
      </c>
      <c r="J837">
        <v>11</v>
      </c>
      <c r="K837" s="4" t="str" cm="1">
        <f t="array" ref="K837">_xlfn.IFS(J837&lt;=5,"0-5",J837&lt;=10,"6-10",J837&lt;=15,"11-15",J837&lt;=20,"16-20",J837&gt;20,"21+")</f>
        <v>11-15</v>
      </c>
      <c r="L837" t="s">
        <v>44</v>
      </c>
      <c r="M837" s="2" t="str">
        <f>TRIM(MID(L837,FIND(" ",L837)+1,LEN(L837)))</f>
        <v>75</v>
      </c>
      <c r="N837" s="8">
        <f t="shared" si="180"/>
        <v>75</v>
      </c>
      <c r="O837">
        <v>2.2999999999999998</v>
      </c>
      <c r="P837">
        <v>0</v>
      </c>
      <c r="Q837" t="s">
        <v>2072</v>
      </c>
    </row>
    <row r="838" spans="1:19" x14ac:dyDescent="0.3">
      <c r="A838" t="s">
        <v>1743</v>
      </c>
      <c r="B838" t="s">
        <v>1744</v>
      </c>
      <c r="C838" t="str">
        <f t="shared" si="174"/>
        <v>Robin Ortiz</v>
      </c>
      <c r="D838" t="s">
        <v>26</v>
      </c>
      <c r="E838" t="str">
        <f t="shared" si="179"/>
        <v>Female</v>
      </c>
      <c r="F838">
        <v>36</v>
      </c>
      <c r="G838" t="s">
        <v>34</v>
      </c>
      <c r="H838" t="s">
        <v>35</v>
      </c>
      <c r="I838" t="s">
        <v>36</v>
      </c>
      <c r="J838">
        <v>8</v>
      </c>
      <c r="K838" s="4" t="str" cm="1">
        <f t="array" ref="K838">_xlfn.IFS(J838&lt;=5,"0-5",J838&lt;=10,"6-10",J838&lt;=15,"11-15",J838&lt;=20,"16-20",J838&gt;20,"21+")</f>
        <v>6-10</v>
      </c>
      <c r="L838" t="s">
        <v>47</v>
      </c>
      <c r="M838" s="2" t="str">
        <f>TRIM(MID(L838,FIND(" ",L838)+1,LEN(L838)))</f>
        <v>40</v>
      </c>
      <c r="N838" s="8">
        <f t="shared" si="180"/>
        <v>40</v>
      </c>
      <c r="P838" t="s">
        <v>23</v>
      </c>
      <c r="Q838" t="s">
        <v>2072</v>
      </c>
      <c r="R838" s="1">
        <v>0.8</v>
      </c>
      <c r="S838" s="3">
        <f>R838</f>
        <v>0.8</v>
      </c>
    </row>
    <row r="839" spans="1:19" x14ac:dyDescent="0.3">
      <c r="A839" t="s">
        <v>1745</v>
      </c>
      <c r="B839" t="s">
        <v>1746</v>
      </c>
      <c r="C839" t="str">
        <f t="shared" si="174"/>
        <v>Adam Griffith</v>
      </c>
      <c r="D839" t="s">
        <v>89</v>
      </c>
      <c r="E839" t="str">
        <f t="shared" si="179"/>
        <v>Male</v>
      </c>
      <c r="F839">
        <v>51</v>
      </c>
      <c r="G839" t="s">
        <v>104</v>
      </c>
      <c r="H839" t="s">
        <v>105</v>
      </c>
      <c r="I839" t="s">
        <v>27</v>
      </c>
      <c r="J839">
        <v>32</v>
      </c>
      <c r="K839" s="4" t="str" cm="1">
        <f t="array" ref="K839">_xlfn.IFS(J839&lt;=5,"0-5",J839&lt;=10,"6-10",J839&lt;=15,"11-15",J839&lt;=20,"16-20",J839&gt;20,"21+")</f>
        <v>21+</v>
      </c>
      <c r="L839" t="s">
        <v>56</v>
      </c>
      <c r="M839" s="2" t="str">
        <f>SUBSTITUTE(L839,"$","")</f>
        <v>50</v>
      </c>
      <c r="N839" s="8">
        <f t="shared" si="180"/>
        <v>50</v>
      </c>
      <c r="O839">
        <v>3.2</v>
      </c>
      <c r="P839">
        <v>0</v>
      </c>
      <c r="Q839" t="s">
        <v>2072</v>
      </c>
      <c r="R839">
        <v>88</v>
      </c>
      <c r="S839" s="3">
        <f>R839/100</f>
        <v>0.88</v>
      </c>
    </row>
    <row r="840" spans="1:19" x14ac:dyDescent="0.3">
      <c r="A840" t="s">
        <v>1747</v>
      </c>
      <c r="B840" t="s">
        <v>1748</v>
      </c>
      <c r="C840" t="str">
        <f t="shared" si="174"/>
        <v>Daniel Roberson</v>
      </c>
      <c r="D840" t="s">
        <v>40</v>
      </c>
      <c r="E840" t="str">
        <f t="shared" si="179"/>
        <v>Male</v>
      </c>
      <c r="F840">
        <v>44</v>
      </c>
      <c r="G840" t="s">
        <v>85</v>
      </c>
      <c r="H840" t="s">
        <v>86</v>
      </c>
      <c r="I840" t="s">
        <v>65</v>
      </c>
      <c r="J840">
        <v>4</v>
      </c>
      <c r="K840" s="4" t="str" cm="1">
        <f t="array" ref="K840">_xlfn.IFS(J840&lt;=5,"0-5",J840&lt;=10,"6-10",J840&lt;=15,"11-15",J840&lt;=20,"16-20",J840&gt;20,"21+")</f>
        <v>0-5</v>
      </c>
      <c r="L840" t="s">
        <v>101</v>
      </c>
      <c r="M840" s="2" t="str">
        <f>TRIM(MID(L840,FIND(" ",L840)+1,LEN(L840)))</f>
        <v>30</v>
      </c>
      <c r="N840" s="8">
        <f t="shared" si="180"/>
        <v>30</v>
      </c>
      <c r="O840">
        <v>0</v>
      </c>
      <c r="P840" t="s">
        <v>23</v>
      </c>
      <c r="Q840" t="s">
        <v>2072</v>
      </c>
      <c r="R840" s="1">
        <v>0.8</v>
      </c>
      <c r="S840" s="3">
        <f t="shared" ref="S840:S843" si="181">R840</f>
        <v>0.8</v>
      </c>
    </row>
    <row r="841" spans="1:19" x14ac:dyDescent="0.3">
      <c r="A841" t="s">
        <v>1749</v>
      </c>
      <c r="B841" t="s">
        <v>1750</v>
      </c>
      <c r="C841" t="str">
        <f t="shared" si="174"/>
        <v>Dale Haynes</v>
      </c>
      <c r="D841" t="s">
        <v>89</v>
      </c>
      <c r="E841" t="str">
        <f t="shared" si="179"/>
        <v>Male</v>
      </c>
      <c r="F841">
        <v>58</v>
      </c>
      <c r="G841" t="s">
        <v>182</v>
      </c>
      <c r="H841" t="s">
        <v>64</v>
      </c>
      <c r="I841" t="s">
        <v>70</v>
      </c>
      <c r="J841">
        <v>33</v>
      </c>
      <c r="K841" s="4" t="str" cm="1">
        <f t="array" ref="K841">_xlfn.IFS(J841&lt;=5,"0-5",J841&lt;=10,"6-10",J841&lt;=15,"11-15",J841&lt;=20,"16-20",J841&gt;20,"21+")</f>
        <v>21+</v>
      </c>
      <c r="L841">
        <v>30</v>
      </c>
      <c r="M841" s="2">
        <f>L841</f>
        <v>30</v>
      </c>
      <c r="N841" s="8">
        <f t="shared" si="180"/>
        <v>30</v>
      </c>
      <c r="O841">
        <v>3.3</v>
      </c>
      <c r="P841" t="s">
        <v>66</v>
      </c>
      <c r="Q841" t="s">
        <v>2073</v>
      </c>
      <c r="R841" s="1">
        <v>0.71</v>
      </c>
      <c r="S841" s="3">
        <f t="shared" si="181"/>
        <v>0.71</v>
      </c>
    </row>
    <row r="842" spans="1:19" x14ac:dyDescent="0.3">
      <c r="A842" t="s">
        <v>1751</v>
      </c>
      <c r="B842" t="s">
        <v>1752</v>
      </c>
      <c r="C842" t="str">
        <f t="shared" si="174"/>
        <v>Emily Scott</v>
      </c>
      <c r="D842" t="s">
        <v>6</v>
      </c>
      <c r="E842" t="str">
        <f t="shared" si="179"/>
        <v>Female</v>
      </c>
      <c r="F842">
        <v>38</v>
      </c>
      <c r="G842" t="s">
        <v>145</v>
      </c>
      <c r="H842" t="s">
        <v>146</v>
      </c>
      <c r="I842" t="s">
        <v>15</v>
      </c>
      <c r="J842">
        <v>14</v>
      </c>
      <c r="K842" s="4" t="str" cm="1">
        <f t="array" ref="K842">_xlfn.IFS(J842&lt;=5,"0-5",J842&lt;=10,"6-10",J842&lt;=15,"11-15",J842&lt;=20,"16-20",J842&gt;20,"21+")</f>
        <v>11-15</v>
      </c>
      <c r="N842" s="8" t="str">
        <f t="shared" si="180"/>
        <v/>
      </c>
      <c r="O842">
        <v>1.1000000000000001</v>
      </c>
      <c r="P842">
        <v>1</v>
      </c>
      <c r="Q842" t="s">
        <v>2073</v>
      </c>
      <c r="R842" s="1">
        <v>0.76</v>
      </c>
      <c r="S842" s="3">
        <f t="shared" si="181"/>
        <v>0.76</v>
      </c>
    </row>
    <row r="843" spans="1:19" x14ac:dyDescent="0.3">
      <c r="A843" t="s">
        <v>1753</v>
      </c>
      <c r="B843" t="s">
        <v>1754</v>
      </c>
      <c r="C843" t="str">
        <f t="shared" si="174"/>
        <v>David Brown</v>
      </c>
      <c r="D843" t="s">
        <v>84</v>
      </c>
      <c r="E843" t="str">
        <f t="shared" si="179"/>
        <v>Male</v>
      </c>
      <c r="F843">
        <v>24</v>
      </c>
      <c r="G843" t="s">
        <v>50</v>
      </c>
      <c r="H843" t="s">
        <v>14</v>
      </c>
      <c r="I843" t="s">
        <v>65</v>
      </c>
      <c r="J843">
        <v>6</v>
      </c>
      <c r="K843" s="4" t="str" cm="1">
        <f t="array" ref="K843">_xlfn.IFS(J843&lt;=5,"0-5",J843&lt;=10,"6-10",J843&lt;=15,"11-15",J843&lt;=20,"16-20",J843&gt;20,"21+")</f>
        <v>6-10</v>
      </c>
      <c r="L843" t="s">
        <v>101</v>
      </c>
      <c r="M843" s="2" t="str">
        <f>TRIM(MID(L843,FIND(" ",L843)+1,LEN(L843)))</f>
        <v>30</v>
      </c>
      <c r="N843" s="8">
        <f t="shared" si="180"/>
        <v>30</v>
      </c>
      <c r="O843">
        <v>4.5999999999999996</v>
      </c>
      <c r="P843">
        <v>1</v>
      </c>
      <c r="Q843" t="s">
        <v>2073</v>
      </c>
      <c r="R843" s="1">
        <v>0.93</v>
      </c>
      <c r="S843" s="3">
        <f t="shared" si="181"/>
        <v>0.93</v>
      </c>
    </row>
    <row r="844" spans="1:19" x14ac:dyDescent="0.3">
      <c r="A844" t="s">
        <v>1755</v>
      </c>
      <c r="B844" t="s">
        <v>1756</v>
      </c>
      <c r="C844" t="str">
        <f t="shared" si="174"/>
        <v>Stephanie Guzman</v>
      </c>
      <c r="D844" t="s">
        <v>26</v>
      </c>
      <c r="E844" t="str">
        <f t="shared" si="179"/>
        <v>Female</v>
      </c>
      <c r="F844">
        <v>30</v>
      </c>
      <c r="G844" t="s">
        <v>54</v>
      </c>
      <c r="H844" t="s">
        <v>55</v>
      </c>
      <c r="I844" t="s">
        <v>9</v>
      </c>
      <c r="J844">
        <v>5</v>
      </c>
      <c r="K844" s="4" t="str" cm="1">
        <f t="array" ref="K844">_xlfn.IFS(J844&lt;=5,"0-5",J844&lt;=10,"6-10",J844&lt;=15,"11-15",J844&lt;=20,"16-20",J844&gt;20,"21+")</f>
        <v>0-5</v>
      </c>
      <c r="L844" t="s">
        <v>101</v>
      </c>
      <c r="M844" s="2" t="str">
        <f>TRIM(MID(L844,FIND(" ",L844)+1,LEN(L844)))</f>
        <v>30</v>
      </c>
      <c r="N844" s="8">
        <f t="shared" si="180"/>
        <v>30</v>
      </c>
      <c r="P844">
        <v>0</v>
      </c>
      <c r="Q844" t="s">
        <v>2072</v>
      </c>
    </row>
    <row r="845" spans="1:19" x14ac:dyDescent="0.3">
      <c r="A845" t="s">
        <v>1757</v>
      </c>
      <c r="B845" t="s">
        <v>1758</v>
      </c>
      <c r="C845" t="str">
        <f t="shared" si="174"/>
        <v>Maxwell Johnson</v>
      </c>
      <c r="D845" t="s">
        <v>53</v>
      </c>
      <c r="E845" t="str">
        <f t="shared" si="179"/>
        <v>Male</v>
      </c>
      <c r="F845">
        <v>25</v>
      </c>
      <c r="G845" t="s">
        <v>41</v>
      </c>
      <c r="H845" t="s">
        <v>42</v>
      </c>
      <c r="I845" t="s">
        <v>70</v>
      </c>
      <c r="J845">
        <v>3</v>
      </c>
      <c r="K845" s="4" t="str" cm="1">
        <f t="array" ref="K845">_xlfn.IFS(J845&lt;=5,"0-5",J845&lt;=10,"6-10",J845&lt;=15,"11-15",J845&lt;=20,"16-20",J845&gt;20,"21+")</f>
        <v>0-5</v>
      </c>
      <c r="L845">
        <v>75</v>
      </c>
      <c r="M845" s="2">
        <f>L845</f>
        <v>75</v>
      </c>
      <c r="N845" s="8">
        <f t="shared" si="180"/>
        <v>75</v>
      </c>
      <c r="P845">
        <v>0</v>
      </c>
      <c r="Q845" t="s">
        <v>2072</v>
      </c>
      <c r="R845" s="1">
        <v>0.83</v>
      </c>
      <c r="S845" s="3">
        <f t="shared" ref="S845:S847" si="182">R845</f>
        <v>0.83</v>
      </c>
    </row>
    <row r="846" spans="1:19" x14ac:dyDescent="0.3">
      <c r="A846" t="s">
        <v>1759</v>
      </c>
      <c r="B846" t="s">
        <v>1760</v>
      </c>
      <c r="C846" t="str">
        <f t="shared" si="174"/>
        <v>Reginald Stephens</v>
      </c>
      <c r="D846" t="s">
        <v>84</v>
      </c>
      <c r="E846" t="str">
        <f t="shared" si="179"/>
        <v>Male</v>
      </c>
      <c r="F846">
        <v>54</v>
      </c>
      <c r="G846" t="s">
        <v>41</v>
      </c>
      <c r="H846" t="s">
        <v>42</v>
      </c>
      <c r="I846" t="s">
        <v>15</v>
      </c>
      <c r="J846">
        <v>17</v>
      </c>
      <c r="K846" s="4" t="str" cm="1">
        <f t="array" ref="K846">_xlfn.IFS(J846&lt;=5,"0-5",J846&lt;=10,"6-10",J846&lt;=15,"11-15",J846&lt;=20,"16-20",J846&gt;20,"21+")</f>
        <v>16-20</v>
      </c>
      <c r="L846" t="s">
        <v>221</v>
      </c>
      <c r="M846" s="2" t="str">
        <f>SUBSTITUTE(L846,"$","")</f>
        <v>100</v>
      </c>
      <c r="N846" s="8">
        <f t="shared" si="180"/>
        <v>100</v>
      </c>
      <c r="O846">
        <v>0</v>
      </c>
      <c r="P846">
        <v>0</v>
      </c>
      <c r="Q846" t="s">
        <v>2072</v>
      </c>
      <c r="R846" s="1">
        <v>0.71</v>
      </c>
      <c r="S846" s="3">
        <f t="shared" si="182"/>
        <v>0.71</v>
      </c>
    </row>
    <row r="847" spans="1:19" x14ac:dyDescent="0.3">
      <c r="A847" t="s">
        <v>1761</v>
      </c>
      <c r="B847" t="s">
        <v>1762</v>
      </c>
      <c r="C847" t="str">
        <f t="shared" si="174"/>
        <v>Justin Jones</v>
      </c>
      <c r="D847" t="s">
        <v>19</v>
      </c>
      <c r="E847" t="str">
        <f t="shared" si="179"/>
        <v>Male</v>
      </c>
      <c r="F847">
        <v>54</v>
      </c>
      <c r="G847" t="s">
        <v>7</v>
      </c>
      <c r="H847" t="s">
        <v>8</v>
      </c>
      <c r="I847" t="s">
        <v>70</v>
      </c>
      <c r="J847">
        <v>9</v>
      </c>
      <c r="K847" s="4" t="str" cm="1">
        <f t="array" ref="K847">_xlfn.IFS(J847&lt;=5,"0-5",J847&lt;=10,"6-10",J847&lt;=15,"11-15",J847&lt;=20,"16-20",J847&gt;20,"21+")</f>
        <v>6-10</v>
      </c>
      <c r="L847" t="s">
        <v>306</v>
      </c>
      <c r="M847" s="2" t="str">
        <f>TRIM(MID(L847,FIND(" ",L847)+1,LEN(L847)))</f>
        <v>20</v>
      </c>
      <c r="N847" s="8">
        <f t="shared" si="180"/>
        <v>20</v>
      </c>
      <c r="O847">
        <v>0</v>
      </c>
      <c r="P847" t="s">
        <v>60</v>
      </c>
      <c r="Q847" t="s">
        <v>2073</v>
      </c>
      <c r="R847" s="1">
        <v>0.96</v>
      </c>
      <c r="S847" s="3">
        <f t="shared" si="182"/>
        <v>0.96</v>
      </c>
    </row>
    <row r="848" spans="1:19" x14ac:dyDescent="0.3">
      <c r="A848" t="s">
        <v>1763</v>
      </c>
      <c r="B848" t="s">
        <v>1764</v>
      </c>
      <c r="C848" t="str">
        <f t="shared" si="174"/>
        <v>Kristine Garcia</v>
      </c>
      <c r="D848" t="s">
        <v>26</v>
      </c>
      <c r="E848" t="str">
        <f t="shared" si="179"/>
        <v>Female</v>
      </c>
      <c r="F848">
        <v>53</v>
      </c>
      <c r="G848" t="s">
        <v>127</v>
      </c>
      <c r="H848" t="s">
        <v>128</v>
      </c>
      <c r="I848" t="s">
        <v>22</v>
      </c>
      <c r="J848">
        <v>16</v>
      </c>
      <c r="K848" s="4" t="str" cm="1">
        <f t="array" ref="K848">_xlfn.IFS(J848&lt;=5,"0-5",J848&lt;=10,"6-10",J848&lt;=15,"11-15",J848&lt;=20,"16-20",J848&gt;20,"21+")</f>
        <v>16-20</v>
      </c>
      <c r="L848">
        <v>40</v>
      </c>
      <c r="M848" s="2">
        <f>L848</f>
        <v>40</v>
      </c>
      <c r="N848" s="8">
        <f t="shared" si="180"/>
        <v>40</v>
      </c>
      <c r="O848">
        <v>0</v>
      </c>
      <c r="P848" t="s">
        <v>151</v>
      </c>
      <c r="Q848" t="s">
        <v>2072</v>
      </c>
    </row>
    <row r="849" spans="1:19" x14ac:dyDescent="0.3">
      <c r="A849" t="s">
        <v>1765</v>
      </c>
      <c r="B849" t="s">
        <v>1766</v>
      </c>
      <c r="C849" t="str">
        <f t="shared" si="174"/>
        <v>John Nguyen</v>
      </c>
      <c r="D849" t="s">
        <v>19</v>
      </c>
      <c r="E849" t="str">
        <f t="shared" si="179"/>
        <v>Male</v>
      </c>
      <c r="F849">
        <v>22</v>
      </c>
      <c r="G849" t="s">
        <v>116</v>
      </c>
      <c r="H849" t="s">
        <v>117</v>
      </c>
      <c r="I849" t="s">
        <v>36</v>
      </c>
      <c r="J849">
        <v>3</v>
      </c>
      <c r="K849" s="4" t="str" cm="1">
        <f t="array" ref="K849">_xlfn.IFS(J849&lt;=5,"0-5",J849&lt;=10,"6-10",J849&lt;=15,"11-15",J849&lt;=20,"16-20",J849&gt;20,"21+")</f>
        <v>0-5</v>
      </c>
      <c r="L849">
        <v>75</v>
      </c>
      <c r="M849" s="2">
        <f>L849</f>
        <v>75</v>
      </c>
      <c r="N849" s="8">
        <f t="shared" si="180"/>
        <v>75</v>
      </c>
      <c r="O849">
        <v>3.4</v>
      </c>
      <c r="P849" t="s">
        <v>66</v>
      </c>
      <c r="Q849" t="s">
        <v>2073</v>
      </c>
      <c r="R849" s="1">
        <v>0.65</v>
      </c>
      <c r="S849" s="3">
        <f>R849</f>
        <v>0.65</v>
      </c>
    </row>
    <row r="850" spans="1:19" x14ac:dyDescent="0.3">
      <c r="A850" t="s">
        <v>1767</v>
      </c>
      <c r="B850" t="s">
        <v>1768</v>
      </c>
      <c r="C850" t="str">
        <f t="shared" si="174"/>
        <v>Anna Fleming</v>
      </c>
      <c r="D850" t="s">
        <v>31</v>
      </c>
      <c r="E850" t="str">
        <f t="shared" si="179"/>
        <v>Female</v>
      </c>
      <c r="F850">
        <v>23</v>
      </c>
      <c r="G850" t="s">
        <v>171</v>
      </c>
      <c r="H850" t="s">
        <v>64</v>
      </c>
      <c r="I850" t="s">
        <v>43</v>
      </c>
      <c r="J850">
        <v>2</v>
      </c>
      <c r="K850" s="4" t="str" cm="1">
        <f t="array" ref="K850">_xlfn.IFS(J850&lt;=5,"0-5",J850&lt;=10,"6-10",J850&lt;=15,"11-15",J850&lt;=20,"16-20",J850&gt;20,"21+")</f>
        <v>0-5</v>
      </c>
      <c r="L850" t="s">
        <v>306</v>
      </c>
      <c r="M850" s="2" t="str">
        <f>TRIM(MID(L850,FIND(" ",L850)+1,LEN(L850)))</f>
        <v>20</v>
      </c>
      <c r="N850" s="8">
        <f t="shared" si="180"/>
        <v>20</v>
      </c>
      <c r="O850">
        <v>1.3</v>
      </c>
      <c r="P850" t="s">
        <v>23</v>
      </c>
      <c r="Q850" t="s">
        <v>2072</v>
      </c>
    </row>
    <row r="851" spans="1:19" x14ac:dyDescent="0.3">
      <c r="A851" t="s">
        <v>1769</v>
      </c>
      <c r="B851" t="s">
        <v>1770</v>
      </c>
      <c r="C851" t="str">
        <f t="shared" si="174"/>
        <v>Linda Williamson</v>
      </c>
      <c r="D851" t="s">
        <v>12</v>
      </c>
      <c r="E851" t="str">
        <f t="shared" si="179"/>
        <v>Female</v>
      </c>
      <c r="F851">
        <v>47</v>
      </c>
      <c r="G851" t="s">
        <v>127</v>
      </c>
      <c r="H851" t="s">
        <v>128</v>
      </c>
      <c r="I851" t="s">
        <v>70</v>
      </c>
      <c r="J851">
        <v>16</v>
      </c>
      <c r="K851" s="4" t="str" cm="1">
        <f t="array" ref="K851">_xlfn.IFS(J851&lt;=5,"0-5",J851&lt;=10,"6-10",J851&lt;=15,"11-15",J851&lt;=20,"16-20",J851&gt;20,"21+")</f>
        <v>16-20</v>
      </c>
      <c r="L851">
        <v>50</v>
      </c>
      <c r="M851" s="2">
        <f>L851</f>
        <v>50</v>
      </c>
      <c r="N851" s="8">
        <f t="shared" si="180"/>
        <v>50</v>
      </c>
      <c r="O851">
        <v>1.9</v>
      </c>
      <c r="P851">
        <v>0</v>
      </c>
      <c r="Q851" t="s">
        <v>2072</v>
      </c>
      <c r="R851" s="1">
        <v>0.71</v>
      </c>
      <c r="S851" s="3">
        <f>R851</f>
        <v>0.71</v>
      </c>
    </row>
    <row r="852" spans="1:19" x14ac:dyDescent="0.3">
      <c r="A852" t="s">
        <v>1771</v>
      </c>
      <c r="B852" t="s">
        <v>1772</v>
      </c>
      <c r="C852" t="str">
        <f t="shared" si="174"/>
        <v>Roy Wilson</v>
      </c>
      <c r="D852" t="s">
        <v>89</v>
      </c>
      <c r="E852" t="str">
        <f t="shared" si="179"/>
        <v>Male</v>
      </c>
      <c r="F852">
        <v>24</v>
      </c>
      <c r="G852" t="s">
        <v>127</v>
      </c>
      <c r="H852" t="s">
        <v>128</v>
      </c>
      <c r="I852" t="s">
        <v>27</v>
      </c>
      <c r="J852">
        <v>6</v>
      </c>
      <c r="K852" s="4" t="str" cm="1">
        <f t="array" ref="K852">_xlfn.IFS(J852&lt;=5,"0-5",J852&lt;=10,"6-10",J852&lt;=15,"11-15",J852&lt;=20,"16-20",J852&gt;20,"21+")</f>
        <v>6-10</v>
      </c>
      <c r="L852">
        <v>50</v>
      </c>
      <c r="M852" s="2">
        <f>L852</f>
        <v>50</v>
      </c>
      <c r="N852" s="8">
        <f t="shared" si="180"/>
        <v>50</v>
      </c>
      <c r="O852">
        <v>1.4</v>
      </c>
      <c r="P852" t="s">
        <v>66</v>
      </c>
      <c r="Q852" t="s">
        <v>2073</v>
      </c>
      <c r="R852">
        <v>63</v>
      </c>
      <c r="S852" s="3">
        <f>R852/100</f>
        <v>0.63</v>
      </c>
    </row>
    <row r="853" spans="1:19" x14ac:dyDescent="0.3">
      <c r="A853" t="s">
        <v>1773</v>
      </c>
      <c r="B853" t="s">
        <v>1774</v>
      </c>
      <c r="C853" t="str">
        <f t="shared" si="174"/>
        <v>Jennifer Pierce</v>
      </c>
      <c r="D853" t="s">
        <v>6</v>
      </c>
      <c r="E853" t="str">
        <f t="shared" si="179"/>
        <v>Female</v>
      </c>
      <c r="F853">
        <v>57</v>
      </c>
      <c r="G853" t="s">
        <v>85</v>
      </c>
      <c r="H853" t="s">
        <v>86</v>
      </c>
      <c r="I853" t="s">
        <v>65</v>
      </c>
      <c r="J853">
        <v>10</v>
      </c>
      <c r="K853" s="4" t="str" cm="1">
        <f t="array" ref="K853">_xlfn.IFS(J853&lt;=5,"0-5",J853&lt;=10,"6-10",J853&lt;=15,"11-15",J853&lt;=20,"16-20",J853&gt;20,"21+")</f>
        <v>6-10</v>
      </c>
      <c r="L853" t="s">
        <v>221</v>
      </c>
      <c r="M853" s="2" t="str">
        <f>SUBSTITUTE(L853,"$","")</f>
        <v>100</v>
      </c>
      <c r="N853" s="8">
        <f t="shared" si="180"/>
        <v>100</v>
      </c>
      <c r="O853">
        <v>4.3</v>
      </c>
      <c r="P853" t="b">
        <v>0</v>
      </c>
      <c r="Q853" t="s">
        <v>2072</v>
      </c>
    </row>
    <row r="854" spans="1:19" x14ac:dyDescent="0.3">
      <c r="A854" t="s">
        <v>1775</v>
      </c>
      <c r="B854" t="s">
        <v>1776</v>
      </c>
      <c r="C854" t="str">
        <f t="shared" si="174"/>
        <v>Jason Johnson</v>
      </c>
      <c r="D854" t="s">
        <v>89</v>
      </c>
      <c r="E854" t="str">
        <f t="shared" si="179"/>
        <v>Male</v>
      </c>
      <c r="F854">
        <v>48</v>
      </c>
      <c r="G854" t="s">
        <v>182</v>
      </c>
      <c r="H854" t="s">
        <v>64</v>
      </c>
      <c r="I854" t="s">
        <v>22</v>
      </c>
      <c r="J854">
        <v>16</v>
      </c>
      <c r="K854" s="4" t="str" cm="1">
        <f t="array" ref="K854">_xlfn.IFS(J854&lt;=5,"0-5",J854&lt;=10,"6-10",J854&lt;=15,"11-15",J854&lt;=20,"16-20",J854&gt;20,"21+")</f>
        <v>16-20</v>
      </c>
      <c r="L854" t="s">
        <v>37</v>
      </c>
      <c r="M854" s="2" t="str">
        <f>SUBSTITUTE(L854,"$","")</f>
        <v>30</v>
      </c>
      <c r="N854" s="8">
        <f t="shared" si="180"/>
        <v>30</v>
      </c>
      <c r="P854" t="s">
        <v>151</v>
      </c>
      <c r="Q854" t="s">
        <v>2072</v>
      </c>
      <c r="R854" s="1">
        <v>0.97</v>
      </c>
      <c r="S854" s="3">
        <f>R854</f>
        <v>0.97</v>
      </c>
    </row>
    <row r="855" spans="1:19" x14ac:dyDescent="0.3">
      <c r="A855" t="s">
        <v>1777</v>
      </c>
      <c r="B855" t="s">
        <v>1778</v>
      </c>
      <c r="C855" t="str">
        <f t="shared" si="174"/>
        <v>Jasmine Lane</v>
      </c>
      <c r="D855" t="s">
        <v>69</v>
      </c>
      <c r="E855" t="str">
        <f t="shared" si="179"/>
        <v>Female</v>
      </c>
      <c r="F855">
        <v>21</v>
      </c>
      <c r="G855" t="s">
        <v>54</v>
      </c>
      <c r="H855" t="s">
        <v>55</v>
      </c>
      <c r="I855" t="s">
        <v>65</v>
      </c>
      <c r="J855">
        <v>0</v>
      </c>
      <c r="K855" s="4" t="str" cm="1">
        <f t="array" ref="K855">_xlfn.IFS(J855&lt;=5,"0-5",J855&lt;=10,"6-10",J855&lt;=15,"11-15",J855&lt;=20,"16-20",J855&gt;20,"21+")</f>
        <v>0-5</v>
      </c>
      <c r="L855" t="s">
        <v>221</v>
      </c>
      <c r="M855" s="2" t="str">
        <f>SUBSTITUTE(L855,"$","")</f>
        <v>100</v>
      </c>
      <c r="N855" s="8">
        <f t="shared" si="180"/>
        <v>100</v>
      </c>
      <c r="O855">
        <v>4.3</v>
      </c>
      <c r="P855">
        <v>0</v>
      </c>
      <c r="Q855" t="s">
        <v>2072</v>
      </c>
    </row>
    <row r="856" spans="1:19" x14ac:dyDescent="0.3">
      <c r="A856" t="s">
        <v>1779</v>
      </c>
      <c r="B856" t="s">
        <v>1780</v>
      </c>
      <c r="C856" t="str">
        <f t="shared" si="174"/>
        <v>Evan Soto</v>
      </c>
      <c r="D856" t="s">
        <v>40</v>
      </c>
      <c r="E856" t="str">
        <f t="shared" si="179"/>
        <v>Male</v>
      </c>
      <c r="F856">
        <v>33</v>
      </c>
      <c r="G856" t="s">
        <v>77</v>
      </c>
      <c r="H856" t="s">
        <v>78</v>
      </c>
      <c r="I856" t="s">
        <v>36</v>
      </c>
      <c r="J856">
        <v>13</v>
      </c>
      <c r="K856" s="4" t="str" cm="1">
        <f t="array" ref="K856">_xlfn.IFS(J856&lt;=5,"0-5",J856&lt;=10,"6-10",J856&lt;=15,"11-15",J856&lt;=20,"16-20",J856&gt;20,"21+")</f>
        <v>11-15</v>
      </c>
      <c r="L856" t="s">
        <v>44</v>
      </c>
      <c r="M856" s="2" t="str">
        <f>TRIM(MID(L856,FIND(" ",L856)+1,LEN(L856)))</f>
        <v>75</v>
      </c>
      <c r="N856" s="8">
        <f t="shared" si="180"/>
        <v>75</v>
      </c>
      <c r="O856">
        <v>0</v>
      </c>
      <c r="P856" t="b">
        <v>1</v>
      </c>
      <c r="Q856" t="s">
        <v>2073</v>
      </c>
    </row>
    <row r="857" spans="1:19" x14ac:dyDescent="0.3">
      <c r="A857" t="s">
        <v>1781</v>
      </c>
      <c r="B857" t="s">
        <v>1782</v>
      </c>
      <c r="C857" t="str">
        <f t="shared" si="174"/>
        <v>Kevin Serrano</v>
      </c>
      <c r="D857" t="s">
        <v>89</v>
      </c>
      <c r="E857" t="str">
        <f t="shared" si="179"/>
        <v>Male</v>
      </c>
      <c r="F857">
        <v>41</v>
      </c>
      <c r="G857" t="s">
        <v>54</v>
      </c>
      <c r="H857" t="s">
        <v>55</v>
      </c>
      <c r="I857" t="s">
        <v>81</v>
      </c>
      <c r="J857">
        <v>12</v>
      </c>
      <c r="K857" s="4" t="str" cm="1">
        <f t="array" ref="K857">_xlfn.IFS(J857&lt;=5,"0-5",J857&lt;=10,"6-10",J857&lt;=15,"11-15",J857&lt;=20,"16-20",J857&gt;20,"21+")</f>
        <v>11-15</v>
      </c>
      <c r="N857" s="8" t="str">
        <f t="shared" si="180"/>
        <v/>
      </c>
      <c r="O857">
        <v>1.3</v>
      </c>
      <c r="P857">
        <v>0</v>
      </c>
      <c r="Q857" t="s">
        <v>2072</v>
      </c>
      <c r="R857" s="1">
        <v>0.85</v>
      </c>
      <c r="S857" s="3">
        <f t="shared" ref="S857:S859" si="183">R857</f>
        <v>0.85</v>
      </c>
    </row>
    <row r="858" spans="1:19" x14ac:dyDescent="0.3">
      <c r="A858" t="s">
        <v>1783</v>
      </c>
      <c r="B858" t="s">
        <v>1784</v>
      </c>
      <c r="C858" t="str">
        <f t="shared" si="174"/>
        <v>Nathaniel Benson</v>
      </c>
      <c r="D858" t="s">
        <v>53</v>
      </c>
      <c r="E858" t="str">
        <f t="shared" si="179"/>
        <v>Male</v>
      </c>
      <c r="F858">
        <v>40</v>
      </c>
      <c r="G858" t="s">
        <v>13</v>
      </c>
      <c r="H858" t="s">
        <v>14</v>
      </c>
      <c r="I858" t="s">
        <v>70</v>
      </c>
      <c r="J858">
        <v>13</v>
      </c>
      <c r="K858" s="4" t="str" cm="1">
        <f t="array" ref="K858">_xlfn.IFS(J858&lt;=5,"0-5",J858&lt;=10,"6-10",J858&lt;=15,"11-15",J858&lt;=20,"16-20",J858&gt;20,"21+")</f>
        <v>11-15</v>
      </c>
      <c r="L858" t="s">
        <v>90</v>
      </c>
      <c r="M858" s="2" t="str">
        <f>TRIM(MID(L858,FIND(" ",L858)+1,LEN(L858)))</f>
        <v>50</v>
      </c>
      <c r="N858" s="8">
        <f t="shared" si="180"/>
        <v>50</v>
      </c>
      <c r="O858">
        <v>2.9</v>
      </c>
      <c r="P858" t="s">
        <v>151</v>
      </c>
      <c r="Q858" t="s">
        <v>2072</v>
      </c>
      <c r="R858" s="1">
        <v>0.82</v>
      </c>
      <c r="S858" s="3">
        <f t="shared" si="183"/>
        <v>0.82</v>
      </c>
    </row>
    <row r="859" spans="1:19" x14ac:dyDescent="0.3">
      <c r="A859" t="s">
        <v>1785</v>
      </c>
      <c r="B859" t="s">
        <v>1786</v>
      </c>
      <c r="C859" t="str">
        <f t="shared" si="174"/>
        <v>Deanna Miles</v>
      </c>
      <c r="D859" t="s">
        <v>6</v>
      </c>
      <c r="E859" t="str">
        <f t="shared" si="179"/>
        <v>Female</v>
      </c>
      <c r="F859">
        <v>40</v>
      </c>
      <c r="G859" t="s">
        <v>171</v>
      </c>
      <c r="H859" t="s">
        <v>64</v>
      </c>
      <c r="I859" t="s">
        <v>22</v>
      </c>
      <c r="J859">
        <v>22</v>
      </c>
      <c r="K859" s="4" t="str" cm="1">
        <f t="array" ref="K859">_xlfn.IFS(J859&lt;=5,"0-5",J859&lt;=10,"6-10",J859&lt;=15,"11-15",J859&lt;=20,"16-20",J859&gt;20,"21+")</f>
        <v>21+</v>
      </c>
      <c r="L859" t="s">
        <v>47</v>
      </c>
      <c r="M859" s="2" t="str">
        <f>TRIM(MID(L859,FIND(" ",L859)+1,LEN(L859)))</f>
        <v>40</v>
      </c>
      <c r="N859" s="8">
        <f t="shared" si="180"/>
        <v>40</v>
      </c>
      <c r="O859">
        <v>4.3</v>
      </c>
      <c r="P859">
        <v>0</v>
      </c>
      <c r="Q859" t="s">
        <v>2072</v>
      </c>
      <c r="R859" s="1">
        <v>0.95</v>
      </c>
      <c r="S859" s="3">
        <f t="shared" si="183"/>
        <v>0.95</v>
      </c>
    </row>
    <row r="860" spans="1:19" x14ac:dyDescent="0.3">
      <c r="A860" t="s">
        <v>1787</v>
      </c>
      <c r="B860" t="s">
        <v>1788</v>
      </c>
      <c r="C860" t="str">
        <f t="shared" si="174"/>
        <v>Beverly Roy</v>
      </c>
      <c r="D860" t="s">
        <v>69</v>
      </c>
      <c r="E860" t="str">
        <f t="shared" si="179"/>
        <v>Female</v>
      </c>
      <c r="F860">
        <v>20</v>
      </c>
      <c r="G860" t="s">
        <v>50</v>
      </c>
      <c r="H860" t="s">
        <v>14</v>
      </c>
      <c r="I860" t="s">
        <v>22</v>
      </c>
      <c r="J860">
        <v>1</v>
      </c>
      <c r="K860" s="4" t="str" cm="1">
        <f t="array" ref="K860">_xlfn.IFS(J860&lt;=5,"0-5",J860&lt;=10,"6-10",J860&lt;=15,"11-15",J860&lt;=20,"16-20",J860&gt;20,"21+")</f>
        <v>0-5</v>
      </c>
      <c r="N860" s="8" t="str">
        <f t="shared" si="180"/>
        <v/>
      </c>
      <c r="O860">
        <v>2.7</v>
      </c>
      <c r="P860">
        <v>0</v>
      </c>
      <c r="Q860" t="s">
        <v>2072</v>
      </c>
      <c r="R860">
        <v>94</v>
      </c>
      <c r="S860" s="3">
        <f>R860/100</f>
        <v>0.94</v>
      </c>
    </row>
    <row r="861" spans="1:19" x14ac:dyDescent="0.3">
      <c r="A861" t="s">
        <v>1789</v>
      </c>
      <c r="B861" t="s">
        <v>1790</v>
      </c>
      <c r="C861" t="str">
        <f t="shared" si="174"/>
        <v>Heather Saunders</v>
      </c>
      <c r="D861" t="s">
        <v>26</v>
      </c>
      <c r="E861" t="str">
        <f t="shared" si="179"/>
        <v>Female</v>
      </c>
      <c r="F861">
        <v>42</v>
      </c>
      <c r="G861" t="s">
        <v>171</v>
      </c>
      <c r="H861" t="s">
        <v>64</v>
      </c>
      <c r="I861" t="s">
        <v>27</v>
      </c>
      <c r="K861" s="4" t="str" cm="1">
        <f t="array" ref="K861">_xlfn.IFS(J861&lt;=5,"0-5",J861&lt;=10,"6-10",J861&lt;=15,"11-15",J861&lt;=20,"16-20",J861&gt;20,"21+")</f>
        <v>0-5</v>
      </c>
      <c r="L861" t="s">
        <v>56</v>
      </c>
      <c r="M861" s="2" t="str">
        <f>SUBSTITUTE(L861,"$","")</f>
        <v>50</v>
      </c>
      <c r="N861" s="8">
        <f t="shared" si="180"/>
        <v>50</v>
      </c>
      <c r="O861">
        <v>4.2</v>
      </c>
      <c r="R861" s="1">
        <v>0.96</v>
      </c>
      <c r="S861" s="3">
        <f t="shared" ref="S861:S868" si="184">R861</f>
        <v>0.96</v>
      </c>
    </row>
    <row r="862" spans="1:19" x14ac:dyDescent="0.3">
      <c r="A862" t="s">
        <v>1791</v>
      </c>
      <c r="B862" t="s">
        <v>1792</v>
      </c>
      <c r="C862" t="str">
        <f t="shared" si="174"/>
        <v>Nicholas Guerrero</v>
      </c>
      <c r="D862" t="s">
        <v>40</v>
      </c>
      <c r="E862" t="str">
        <f t="shared" si="179"/>
        <v>Male</v>
      </c>
      <c r="F862">
        <v>32</v>
      </c>
      <c r="G862" t="s">
        <v>120</v>
      </c>
      <c r="H862" t="s">
        <v>14</v>
      </c>
      <c r="I862" t="s">
        <v>9</v>
      </c>
      <c r="J862">
        <v>12</v>
      </c>
      <c r="K862" s="4" t="str" cm="1">
        <f t="array" ref="K862">_xlfn.IFS(J862&lt;=5,"0-5",J862&lt;=10,"6-10",J862&lt;=15,"11-15",J862&lt;=20,"16-20",J862&gt;20,"21+")</f>
        <v>11-15</v>
      </c>
      <c r="L862">
        <v>40</v>
      </c>
      <c r="M862" s="2">
        <f>L862</f>
        <v>40</v>
      </c>
      <c r="N862" s="8">
        <f t="shared" si="180"/>
        <v>40</v>
      </c>
      <c r="O862">
        <v>0</v>
      </c>
      <c r="P862" t="s">
        <v>60</v>
      </c>
      <c r="Q862" t="s">
        <v>2073</v>
      </c>
      <c r="R862" s="1">
        <v>0.63</v>
      </c>
      <c r="S862" s="3">
        <f t="shared" si="184"/>
        <v>0.63</v>
      </c>
    </row>
    <row r="863" spans="1:19" x14ac:dyDescent="0.3">
      <c r="A863" t="s">
        <v>1793</v>
      </c>
      <c r="B863" t="s">
        <v>1794</v>
      </c>
      <c r="C863" t="str">
        <f t="shared" si="174"/>
        <v>Christopher Johnson</v>
      </c>
      <c r="D863" t="s">
        <v>89</v>
      </c>
      <c r="E863" t="str">
        <f t="shared" si="179"/>
        <v>Male</v>
      </c>
      <c r="F863">
        <v>60</v>
      </c>
      <c r="G863" t="s">
        <v>77</v>
      </c>
      <c r="H863" t="s">
        <v>78</v>
      </c>
      <c r="I863" t="s">
        <v>36</v>
      </c>
      <c r="K863" s="4" t="str" cm="1">
        <f t="array" ref="K863">_xlfn.IFS(J863&lt;=5,"0-5",J863&lt;=10,"6-10",J863&lt;=15,"11-15",J863&lt;=20,"16-20",J863&gt;20,"21+")</f>
        <v>0-5</v>
      </c>
      <c r="L863">
        <v>20</v>
      </c>
      <c r="M863" s="2">
        <f>L863</f>
        <v>20</v>
      </c>
      <c r="N863" s="8">
        <f t="shared" si="180"/>
        <v>20</v>
      </c>
      <c r="O863">
        <v>2.2000000000000002</v>
      </c>
      <c r="P863" t="b">
        <v>0</v>
      </c>
      <c r="Q863" t="s">
        <v>2072</v>
      </c>
      <c r="R863" s="1">
        <v>0.6</v>
      </c>
      <c r="S863" s="3">
        <f t="shared" si="184"/>
        <v>0.6</v>
      </c>
    </row>
    <row r="864" spans="1:19" x14ac:dyDescent="0.3">
      <c r="A864" t="s">
        <v>1795</v>
      </c>
      <c r="B864" t="s">
        <v>1796</v>
      </c>
      <c r="C864" t="str">
        <f t="shared" si="174"/>
        <v>Steven Flowers</v>
      </c>
      <c r="D864" t="s">
        <v>84</v>
      </c>
      <c r="E864" t="str">
        <f t="shared" si="179"/>
        <v>Male</v>
      </c>
      <c r="F864">
        <v>46</v>
      </c>
      <c r="G864" t="s">
        <v>131</v>
      </c>
      <c r="H864" t="s">
        <v>132</v>
      </c>
      <c r="I864" t="s">
        <v>106</v>
      </c>
      <c r="J864">
        <v>12</v>
      </c>
      <c r="K864" s="4" t="str" cm="1">
        <f t="array" ref="K864">_xlfn.IFS(J864&lt;=5,"0-5",J864&lt;=10,"6-10",J864&lt;=15,"11-15",J864&lt;=20,"16-20",J864&gt;20,"21+")</f>
        <v>11-15</v>
      </c>
      <c r="L864">
        <v>50</v>
      </c>
      <c r="M864" s="2">
        <f>L864</f>
        <v>50</v>
      </c>
      <c r="N864" s="8">
        <f t="shared" si="180"/>
        <v>50</v>
      </c>
      <c r="O864">
        <v>4.7</v>
      </c>
      <c r="P864" t="s">
        <v>60</v>
      </c>
      <c r="Q864" t="s">
        <v>2073</v>
      </c>
      <c r="R864" s="1">
        <v>0.77</v>
      </c>
      <c r="S864" s="3">
        <f t="shared" si="184"/>
        <v>0.77</v>
      </c>
    </row>
    <row r="865" spans="1:19" x14ac:dyDescent="0.3">
      <c r="A865" t="s">
        <v>1797</v>
      </c>
      <c r="B865" t="s">
        <v>1798</v>
      </c>
      <c r="C865" t="str">
        <f t="shared" si="174"/>
        <v>Marvin Woods III</v>
      </c>
      <c r="D865" t="s">
        <v>19</v>
      </c>
      <c r="E865" t="str">
        <f t="shared" si="179"/>
        <v>Male</v>
      </c>
      <c r="F865">
        <v>29</v>
      </c>
      <c r="G865" t="s">
        <v>167</v>
      </c>
      <c r="H865" t="s">
        <v>168</v>
      </c>
      <c r="I865" t="s">
        <v>81</v>
      </c>
      <c r="J865">
        <v>0</v>
      </c>
      <c r="K865" s="4" t="str" cm="1">
        <f t="array" ref="K865">_xlfn.IFS(J865&lt;=5,"0-5",J865&lt;=10,"6-10",J865&lt;=15,"11-15",J865&lt;=20,"16-20",J865&gt;20,"21+")</f>
        <v>0-5</v>
      </c>
      <c r="L865">
        <v>30</v>
      </c>
      <c r="M865" s="2">
        <f>L865</f>
        <v>30</v>
      </c>
      <c r="N865" s="8">
        <f t="shared" si="180"/>
        <v>30</v>
      </c>
      <c r="O865">
        <v>0</v>
      </c>
      <c r="P865">
        <v>0</v>
      </c>
      <c r="Q865" t="s">
        <v>2072</v>
      </c>
      <c r="R865" s="1">
        <v>0.63</v>
      </c>
      <c r="S865" s="3">
        <f t="shared" si="184"/>
        <v>0.63</v>
      </c>
    </row>
    <row r="866" spans="1:19" x14ac:dyDescent="0.3">
      <c r="A866" t="s">
        <v>1799</v>
      </c>
      <c r="B866" t="s">
        <v>1800</v>
      </c>
      <c r="C866" t="str">
        <f t="shared" si="174"/>
        <v>Michelle Cook</v>
      </c>
      <c r="D866" t="s">
        <v>12</v>
      </c>
      <c r="E866" t="str">
        <f t="shared" si="179"/>
        <v>Female</v>
      </c>
      <c r="F866">
        <v>39</v>
      </c>
      <c r="G866" t="s">
        <v>99</v>
      </c>
      <c r="H866" t="s">
        <v>100</v>
      </c>
      <c r="I866" t="s">
        <v>15</v>
      </c>
      <c r="J866">
        <v>18</v>
      </c>
      <c r="K866" s="4" t="str" cm="1">
        <f t="array" ref="K866">_xlfn.IFS(J866&lt;=5,"0-5",J866&lt;=10,"6-10",J866&lt;=15,"11-15",J866&lt;=20,"16-20",J866&gt;20,"21+")</f>
        <v>16-20</v>
      </c>
      <c r="L866">
        <v>20</v>
      </c>
      <c r="M866" s="2">
        <f>L866</f>
        <v>20</v>
      </c>
      <c r="N866" s="8">
        <f t="shared" si="180"/>
        <v>20</v>
      </c>
      <c r="O866">
        <v>2.5</v>
      </c>
      <c r="P866" t="s">
        <v>60</v>
      </c>
      <c r="Q866" t="s">
        <v>2073</v>
      </c>
      <c r="R866" s="1">
        <v>0.61</v>
      </c>
      <c r="S866" s="3">
        <f t="shared" si="184"/>
        <v>0.61</v>
      </c>
    </row>
    <row r="867" spans="1:19" x14ac:dyDescent="0.3">
      <c r="A867" t="s">
        <v>1801</v>
      </c>
      <c r="B867" t="s">
        <v>1802</v>
      </c>
      <c r="C867" t="str">
        <f t="shared" si="174"/>
        <v>Logan Zamora</v>
      </c>
      <c r="D867" t="s">
        <v>53</v>
      </c>
      <c r="E867" t="str">
        <f t="shared" si="179"/>
        <v>Male</v>
      </c>
      <c r="F867">
        <v>55</v>
      </c>
      <c r="G867" t="s">
        <v>116</v>
      </c>
      <c r="H867" t="s">
        <v>117</v>
      </c>
      <c r="I867" t="s">
        <v>15</v>
      </c>
      <c r="J867">
        <v>2</v>
      </c>
      <c r="K867" s="4" t="str" cm="1">
        <f t="array" ref="K867">_xlfn.IFS(J867&lt;=5,"0-5",J867&lt;=10,"6-10",J867&lt;=15,"11-15",J867&lt;=20,"16-20",J867&gt;20,"21+")</f>
        <v>0-5</v>
      </c>
      <c r="L867" t="s">
        <v>56</v>
      </c>
      <c r="M867" s="2" t="str">
        <f>SUBSTITUTE(L867,"$","")</f>
        <v>50</v>
      </c>
      <c r="N867" s="8">
        <f t="shared" si="180"/>
        <v>50</v>
      </c>
      <c r="O867">
        <v>3.9</v>
      </c>
      <c r="P867" t="s">
        <v>60</v>
      </c>
      <c r="Q867" t="s">
        <v>2073</v>
      </c>
      <c r="R867" s="1">
        <v>0.88</v>
      </c>
      <c r="S867" s="3">
        <f t="shared" si="184"/>
        <v>0.88</v>
      </c>
    </row>
    <row r="868" spans="1:19" x14ac:dyDescent="0.3">
      <c r="A868" t="s">
        <v>1803</v>
      </c>
      <c r="B868" t="s">
        <v>1804</v>
      </c>
      <c r="C868" t="str">
        <f t="shared" si="174"/>
        <v>Casey Roberts</v>
      </c>
      <c r="D868" t="s">
        <v>40</v>
      </c>
      <c r="E868" t="str">
        <f t="shared" si="179"/>
        <v>Male</v>
      </c>
      <c r="F868">
        <v>55</v>
      </c>
      <c r="G868" t="s">
        <v>54</v>
      </c>
      <c r="H868" t="s">
        <v>55</v>
      </c>
      <c r="I868" t="s">
        <v>70</v>
      </c>
      <c r="K868" s="4" t="str" cm="1">
        <f t="array" ref="K868">_xlfn.IFS(J868&lt;=5,"0-5",J868&lt;=10,"6-10",J868&lt;=15,"11-15",J868&lt;=20,"16-20",J868&gt;20,"21+")</f>
        <v>0-5</v>
      </c>
      <c r="L868" t="s">
        <v>16</v>
      </c>
      <c r="M868" s="2" t="str">
        <f>TRIM(MID(L868,FIND(" ",L868)+1,LEN(L868)))</f>
        <v>100</v>
      </c>
      <c r="N868" s="8">
        <f t="shared" si="180"/>
        <v>100</v>
      </c>
      <c r="O868">
        <v>1.2</v>
      </c>
      <c r="P868">
        <v>1</v>
      </c>
      <c r="Q868" t="s">
        <v>2073</v>
      </c>
      <c r="R868" s="1">
        <v>0.69</v>
      </c>
      <c r="S868" s="3">
        <f t="shared" si="184"/>
        <v>0.69</v>
      </c>
    </row>
    <row r="869" spans="1:19" x14ac:dyDescent="0.3">
      <c r="A869" t="s">
        <v>1805</v>
      </c>
      <c r="B869" t="s">
        <v>1806</v>
      </c>
      <c r="C869" t="str">
        <f t="shared" si="174"/>
        <v>Jerry Price</v>
      </c>
      <c r="D869" t="s">
        <v>89</v>
      </c>
      <c r="E869" t="str">
        <f t="shared" si="179"/>
        <v>Male</v>
      </c>
      <c r="F869">
        <v>40</v>
      </c>
      <c r="G869" t="s">
        <v>41</v>
      </c>
      <c r="H869" t="s">
        <v>42</v>
      </c>
      <c r="I869" t="s">
        <v>43</v>
      </c>
      <c r="J869">
        <v>2</v>
      </c>
      <c r="K869" s="4" t="str" cm="1">
        <f t="array" ref="K869">_xlfn.IFS(J869&lt;=5,"0-5",J869&lt;=10,"6-10",J869&lt;=15,"11-15",J869&lt;=20,"16-20",J869&gt;20,"21+")</f>
        <v>0-5</v>
      </c>
      <c r="L869">
        <v>75</v>
      </c>
      <c r="M869" s="2">
        <f>L869</f>
        <v>75</v>
      </c>
      <c r="N869" s="8">
        <f t="shared" si="180"/>
        <v>75</v>
      </c>
      <c r="O869">
        <v>4.5</v>
      </c>
      <c r="P869" t="s">
        <v>60</v>
      </c>
      <c r="Q869" t="s">
        <v>2073</v>
      </c>
    </row>
    <row r="870" spans="1:19" x14ac:dyDescent="0.3">
      <c r="A870" t="s">
        <v>1807</v>
      </c>
      <c r="B870" t="s">
        <v>1808</v>
      </c>
      <c r="C870" t="str">
        <f t="shared" si="174"/>
        <v>Kelly Ellis</v>
      </c>
      <c r="D870" t="s">
        <v>6</v>
      </c>
      <c r="E870" t="str">
        <f t="shared" si="179"/>
        <v>Female</v>
      </c>
      <c r="F870">
        <v>56</v>
      </c>
      <c r="G870" t="s">
        <v>167</v>
      </c>
      <c r="H870" t="s">
        <v>168</v>
      </c>
      <c r="I870" t="s">
        <v>65</v>
      </c>
      <c r="J870">
        <v>35</v>
      </c>
      <c r="K870" s="4" t="str" cm="1">
        <f t="array" ref="K870">_xlfn.IFS(J870&lt;=5,"0-5",J870&lt;=10,"6-10",J870&lt;=15,"11-15",J870&lt;=20,"16-20",J870&gt;20,"21+")</f>
        <v>21+</v>
      </c>
      <c r="L870" t="s">
        <v>28</v>
      </c>
      <c r="M870" s="2" t="str">
        <f>SUBSTITUTE(L870,"$","")</f>
        <v>40</v>
      </c>
      <c r="N870" s="8">
        <f t="shared" si="180"/>
        <v>40</v>
      </c>
      <c r="O870">
        <v>2.7</v>
      </c>
      <c r="P870" t="b">
        <v>1</v>
      </c>
      <c r="Q870" t="s">
        <v>2073</v>
      </c>
      <c r="R870" s="1">
        <v>0.82</v>
      </c>
      <c r="S870" s="3">
        <f t="shared" ref="S870:S873" si="185">R870</f>
        <v>0.82</v>
      </c>
    </row>
    <row r="871" spans="1:19" x14ac:dyDescent="0.3">
      <c r="A871" t="s">
        <v>1809</v>
      </c>
      <c r="B871" t="s">
        <v>1810</v>
      </c>
      <c r="C871" t="str">
        <f t="shared" si="174"/>
        <v>Caleb Guerra</v>
      </c>
      <c r="D871" t="s">
        <v>53</v>
      </c>
      <c r="E871" t="str">
        <f t="shared" si="179"/>
        <v>Male</v>
      </c>
      <c r="F871">
        <v>57</v>
      </c>
      <c r="G871" t="s">
        <v>171</v>
      </c>
      <c r="H871" t="s">
        <v>64</v>
      </c>
      <c r="I871" t="s">
        <v>15</v>
      </c>
      <c r="J871">
        <v>21</v>
      </c>
      <c r="K871" s="4" t="str" cm="1">
        <f t="array" ref="K871">_xlfn.IFS(J871&lt;=5,"0-5",J871&lt;=10,"6-10",J871&lt;=15,"11-15",J871&lt;=20,"16-20",J871&gt;20,"21+")</f>
        <v>21+</v>
      </c>
      <c r="L871">
        <v>75</v>
      </c>
      <c r="M871" s="2">
        <f>L871</f>
        <v>75</v>
      </c>
      <c r="N871" s="8">
        <f t="shared" si="180"/>
        <v>75</v>
      </c>
      <c r="O871">
        <v>2</v>
      </c>
      <c r="P871" t="s">
        <v>23</v>
      </c>
      <c r="Q871" t="s">
        <v>2072</v>
      </c>
      <c r="R871" s="1">
        <v>0.96</v>
      </c>
      <c r="S871" s="3">
        <f t="shared" si="185"/>
        <v>0.96</v>
      </c>
    </row>
    <row r="872" spans="1:19" x14ac:dyDescent="0.3">
      <c r="A872" t="s">
        <v>1811</v>
      </c>
      <c r="B872" t="s">
        <v>1812</v>
      </c>
      <c r="C872" t="str">
        <f t="shared" si="174"/>
        <v>Samantha Norman</v>
      </c>
      <c r="D872" t="s">
        <v>26</v>
      </c>
      <c r="E872" t="str">
        <f t="shared" si="179"/>
        <v>Female</v>
      </c>
      <c r="F872">
        <v>56</v>
      </c>
      <c r="G872" t="s">
        <v>116</v>
      </c>
      <c r="H872" t="s">
        <v>117</v>
      </c>
      <c r="I872" t="s">
        <v>81</v>
      </c>
      <c r="J872">
        <v>3</v>
      </c>
      <c r="K872" s="4" t="str" cm="1">
        <f t="array" ref="K872">_xlfn.IFS(J872&lt;=5,"0-5",J872&lt;=10,"6-10",J872&lt;=15,"11-15",J872&lt;=20,"16-20",J872&gt;20,"21+")</f>
        <v>0-5</v>
      </c>
      <c r="L872" t="s">
        <v>28</v>
      </c>
      <c r="M872" s="2" t="str">
        <f>SUBSTITUTE(L872,"$","")</f>
        <v>40</v>
      </c>
      <c r="N872" s="8">
        <f t="shared" si="180"/>
        <v>40</v>
      </c>
      <c r="O872">
        <v>1.7</v>
      </c>
      <c r="P872" t="s">
        <v>23</v>
      </c>
      <c r="Q872" t="s">
        <v>2072</v>
      </c>
      <c r="R872" s="1">
        <v>0.71</v>
      </c>
      <c r="S872" s="3">
        <f t="shared" si="185"/>
        <v>0.71</v>
      </c>
    </row>
    <row r="873" spans="1:19" x14ac:dyDescent="0.3">
      <c r="A873" t="s">
        <v>1813</v>
      </c>
      <c r="B873" t="s">
        <v>1814</v>
      </c>
      <c r="C873" t="str">
        <f t="shared" si="174"/>
        <v>Sarah Clarke</v>
      </c>
      <c r="D873" t="s">
        <v>6</v>
      </c>
      <c r="E873" t="str">
        <f t="shared" si="179"/>
        <v>Female</v>
      </c>
      <c r="F873">
        <v>49</v>
      </c>
      <c r="G873" t="s">
        <v>20</v>
      </c>
      <c r="H873" t="s">
        <v>21</v>
      </c>
      <c r="I873" t="s">
        <v>15</v>
      </c>
      <c r="J873">
        <v>24</v>
      </c>
      <c r="K873" s="4" t="str" cm="1">
        <f t="array" ref="K873">_xlfn.IFS(J873&lt;=5,"0-5",J873&lt;=10,"6-10",J873&lt;=15,"11-15",J873&lt;=20,"16-20",J873&gt;20,"21+")</f>
        <v>21+</v>
      </c>
      <c r="L873" t="s">
        <v>162</v>
      </c>
      <c r="M873" s="2" t="str">
        <f>SUBSTITUTE(L873,"$","")</f>
        <v>75</v>
      </c>
      <c r="N873" s="8">
        <f t="shared" si="180"/>
        <v>75</v>
      </c>
      <c r="O873">
        <v>3</v>
      </c>
      <c r="P873">
        <v>1</v>
      </c>
      <c r="Q873" t="s">
        <v>2073</v>
      </c>
      <c r="R873" s="1">
        <v>0.77</v>
      </c>
      <c r="S873" s="3">
        <f t="shared" si="185"/>
        <v>0.77</v>
      </c>
    </row>
    <row r="874" spans="1:19" x14ac:dyDescent="0.3">
      <c r="A874" t="s">
        <v>1815</v>
      </c>
      <c r="B874" t="s">
        <v>1816</v>
      </c>
      <c r="C874" t="str">
        <f t="shared" si="174"/>
        <v>Aaron Blair</v>
      </c>
      <c r="D874" t="s">
        <v>53</v>
      </c>
      <c r="E874" t="str">
        <f t="shared" si="179"/>
        <v>Male</v>
      </c>
      <c r="F874">
        <v>26</v>
      </c>
      <c r="G874" t="s">
        <v>182</v>
      </c>
      <c r="H874" t="s">
        <v>64</v>
      </c>
      <c r="I874" t="s">
        <v>9</v>
      </c>
      <c r="K874" s="4" t="str" cm="1">
        <f t="array" ref="K874">_xlfn.IFS(J874&lt;=5,"0-5",J874&lt;=10,"6-10",J874&lt;=15,"11-15",J874&lt;=20,"16-20",J874&gt;20,"21+")</f>
        <v>0-5</v>
      </c>
      <c r="L874" t="s">
        <v>162</v>
      </c>
      <c r="M874" s="2" t="str">
        <f>SUBSTITUTE(L874,"$","")</f>
        <v>75</v>
      </c>
      <c r="N874" s="8">
        <f t="shared" si="180"/>
        <v>75</v>
      </c>
      <c r="O874">
        <v>2.1</v>
      </c>
      <c r="P874" t="s">
        <v>60</v>
      </c>
      <c r="Q874" t="s">
        <v>2073</v>
      </c>
    </row>
    <row r="875" spans="1:19" x14ac:dyDescent="0.3">
      <c r="A875" t="s">
        <v>1817</v>
      </c>
      <c r="B875" t="s">
        <v>1818</v>
      </c>
      <c r="C875" t="str">
        <f t="shared" ref="C875:C877" si="186">B875</f>
        <v>Courtney Burton</v>
      </c>
      <c r="D875" t="s">
        <v>69</v>
      </c>
      <c r="E875" t="str">
        <f t="shared" si="179"/>
        <v>Female</v>
      </c>
      <c r="F875">
        <v>36</v>
      </c>
      <c r="G875" t="s">
        <v>104</v>
      </c>
      <c r="H875" t="s">
        <v>105</v>
      </c>
      <c r="I875" t="s">
        <v>65</v>
      </c>
      <c r="J875">
        <v>0</v>
      </c>
      <c r="K875" s="4" t="str" cm="1">
        <f t="array" ref="K875">_xlfn.IFS(J875&lt;=5,"0-5",J875&lt;=10,"6-10",J875&lt;=15,"11-15",J875&lt;=20,"16-20",J875&gt;20,"21+")</f>
        <v>0-5</v>
      </c>
      <c r="L875">
        <v>75</v>
      </c>
      <c r="M875" s="2">
        <f>L875</f>
        <v>75</v>
      </c>
      <c r="N875" s="8">
        <f t="shared" si="180"/>
        <v>75</v>
      </c>
      <c r="O875">
        <v>1.5</v>
      </c>
      <c r="R875" s="1">
        <v>0.73</v>
      </c>
      <c r="S875" s="3">
        <f t="shared" ref="S875:S878" si="187">R875</f>
        <v>0.73</v>
      </c>
    </row>
    <row r="876" spans="1:19" x14ac:dyDescent="0.3">
      <c r="A876" t="s">
        <v>1819</v>
      </c>
      <c r="B876" t="s">
        <v>1820</v>
      </c>
      <c r="C876" t="str">
        <f t="shared" si="186"/>
        <v>Gerald Taylor</v>
      </c>
      <c r="D876" t="s">
        <v>84</v>
      </c>
      <c r="E876" t="str">
        <f t="shared" si="179"/>
        <v>Male</v>
      </c>
      <c r="F876">
        <v>20</v>
      </c>
      <c r="G876" t="s">
        <v>116</v>
      </c>
      <c r="H876" t="s">
        <v>117</v>
      </c>
      <c r="I876" t="s">
        <v>27</v>
      </c>
      <c r="J876">
        <v>2</v>
      </c>
      <c r="K876" s="4" t="str" cm="1">
        <f t="array" ref="K876">_xlfn.IFS(J876&lt;=5,"0-5",J876&lt;=10,"6-10",J876&lt;=15,"11-15",J876&lt;=20,"16-20",J876&gt;20,"21+")</f>
        <v>0-5</v>
      </c>
      <c r="L876" t="s">
        <v>101</v>
      </c>
      <c r="M876" s="2" t="str">
        <f>TRIM(MID(L876,FIND(" ",L876)+1,LEN(L876)))</f>
        <v>30</v>
      </c>
      <c r="N876" s="8">
        <f t="shared" si="180"/>
        <v>30</v>
      </c>
      <c r="O876">
        <v>1.7</v>
      </c>
      <c r="P876" t="b">
        <v>1</v>
      </c>
      <c r="Q876" t="s">
        <v>2073</v>
      </c>
      <c r="R876" s="1">
        <v>0.6</v>
      </c>
      <c r="S876" s="3">
        <f t="shared" si="187"/>
        <v>0.6</v>
      </c>
    </row>
    <row r="877" spans="1:19" x14ac:dyDescent="0.3">
      <c r="A877" t="s">
        <v>1821</v>
      </c>
      <c r="B877" t="s">
        <v>1822</v>
      </c>
      <c r="C877" t="str">
        <f t="shared" si="186"/>
        <v>Mary Ward</v>
      </c>
      <c r="D877" t="s">
        <v>6</v>
      </c>
      <c r="E877" t="str">
        <f t="shared" si="179"/>
        <v>Female</v>
      </c>
      <c r="F877">
        <v>40</v>
      </c>
      <c r="G877" t="s">
        <v>182</v>
      </c>
      <c r="H877" t="s">
        <v>64</v>
      </c>
      <c r="I877" t="s">
        <v>36</v>
      </c>
      <c r="K877" s="4" t="str" cm="1">
        <f t="array" ref="K877">_xlfn.IFS(J877&lt;=5,"0-5",J877&lt;=10,"6-10",J877&lt;=15,"11-15",J877&lt;=20,"16-20",J877&gt;20,"21+")</f>
        <v>0-5</v>
      </c>
      <c r="N877" s="8" t="str">
        <f t="shared" si="180"/>
        <v/>
      </c>
      <c r="O877">
        <v>1.2</v>
      </c>
      <c r="P877">
        <v>1</v>
      </c>
      <c r="Q877" t="s">
        <v>2073</v>
      </c>
      <c r="R877" s="1">
        <v>0.67</v>
      </c>
      <c r="S877" s="3">
        <f t="shared" si="187"/>
        <v>0.67</v>
      </c>
    </row>
    <row r="878" spans="1:19" x14ac:dyDescent="0.3">
      <c r="A878" t="s">
        <v>1823</v>
      </c>
      <c r="B878" t="s">
        <v>1824</v>
      </c>
      <c r="C878" t="str">
        <f>TRIM(MID(B878,FIND(" ",B878)+1,LEN(B878)))</f>
        <v>Lisa Beard DVM</v>
      </c>
      <c r="D878" t="s">
        <v>31</v>
      </c>
      <c r="E878" t="str">
        <f t="shared" si="179"/>
        <v>Female</v>
      </c>
      <c r="F878">
        <v>30</v>
      </c>
      <c r="G878" t="s">
        <v>85</v>
      </c>
      <c r="H878" t="s">
        <v>86</v>
      </c>
      <c r="I878" t="s">
        <v>15</v>
      </c>
      <c r="J878">
        <v>6</v>
      </c>
      <c r="K878" s="4" t="str" cm="1">
        <f t="array" ref="K878">_xlfn.IFS(J878&lt;=5,"0-5",J878&lt;=10,"6-10",J878&lt;=15,"11-15",J878&lt;=20,"16-20",J878&gt;20,"21+")</f>
        <v>6-10</v>
      </c>
      <c r="L878">
        <v>75</v>
      </c>
      <c r="M878" s="2">
        <f>L878</f>
        <v>75</v>
      </c>
      <c r="N878" s="8">
        <f t="shared" si="180"/>
        <v>75</v>
      </c>
      <c r="O878">
        <v>0</v>
      </c>
      <c r="P878" t="b">
        <v>0</v>
      </c>
      <c r="Q878" t="s">
        <v>2072</v>
      </c>
      <c r="R878" s="1">
        <v>0.8</v>
      </c>
      <c r="S878" s="3">
        <f t="shared" si="187"/>
        <v>0.8</v>
      </c>
    </row>
    <row r="879" spans="1:19" x14ac:dyDescent="0.3">
      <c r="A879" t="s">
        <v>1825</v>
      </c>
      <c r="B879" t="s">
        <v>1826</v>
      </c>
      <c r="C879" t="str">
        <f t="shared" ref="C879:C880" si="188">B879</f>
        <v>Larry Wallace</v>
      </c>
      <c r="D879" t="s">
        <v>89</v>
      </c>
      <c r="E879" t="str">
        <f t="shared" si="179"/>
        <v>Male</v>
      </c>
      <c r="F879">
        <v>51</v>
      </c>
      <c r="G879" t="s">
        <v>13</v>
      </c>
      <c r="H879" t="s">
        <v>14</v>
      </c>
      <c r="I879" t="s">
        <v>22</v>
      </c>
      <c r="J879">
        <v>21</v>
      </c>
      <c r="K879" s="4" t="str" cm="1">
        <f t="array" ref="K879">_xlfn.IFS(J879&lt;=5,"0-5",J879&lt;=10,"6-10",J879&lt;=15,"11-15",J879&lt;=20,"16-20",J879&gt;20,"21+")</f>
        <v>21+</v>
      </c>
      <c r="L879">
        <v>20</v>
      </c>
      <c r="M879" s="2">
        <f>L879</f>
        <v>20</v>
      </c>
      <c r="N879" s="8">
        <f t="shared" si="180"/>
        <v>20</v>
      </c>
      <c r="P879" t="s">
        <v>66</v>
      </c>
      <c r="Q879" t="s">
        <v>2073</v>
      </c>
    </row>
    <row r="880" spans="1:19" x14ac:dyDescent="0.3">
      <c r="A880" t="s">
        <v>1827</v>
      </c>
      <c r="B880" t="s">
        <v>1828</v>
      </c>
      <c r="C880" t="str">
        <f t="shared" si="188"/>
        <v>Jeremiah Thompson</v>
      </c>
      <c r="D880" t="s">
        <v>89</v>
      </c>
      <c r="E880" t="str">
        <f t="shared" si="179"/>
        <v>Male</v>
      </c>
      <c r="F880">
        <v>46</v>
      </c>
      <c r="G880" t="s">
        <v>50</v>
      </c>
      <c r="H880" t="s">
        <v>14</v>
      </c>
      <c r="I880" t="s">
        <v>65</v>
      </c>
      <c r="J880">
        <v>24</v>
      </c>
      <c r="K880" s="4" t="str" cm="1">
        <f t="array" ref="K880">_xlfn.IFS(J880&lt;=5,"0-5",J880&lt;=10,"6-10",J880&lt;=15,"11-15",J880&lt;=20,"16-20",J880&gt;20,"21+")</f>
        <v>21+</v>
      </c>
      <c r="L880">
        <v>40</v>
      </c>
      <c r="M880" s="2">
        <f>L880</f>
        <v>40</v>
      </c>
      <c r="N880" s="8">
        <f t="shared" si="180"/>
        <v>40</v>
      </c>
      <c r="O880">
        <v>3.3</v>
      </c>
      <c r="P880">
        <v>1</v>
      </c>
      <c r="Q880" t="s">
        <v>2073</v>
      </c>
      <c r="R880" s="1">
        <v>0.87</v>
      </c>
      <c r="S880" s="3">
        <f>R880</f>
        <v>0.87</v>
      </c>
    </row>
    <row r="881" spans="1:19" x14ac:dyDescent="0.3">
      <c r="A881" t="s">
        <v>1829</v>
      </c>
      <c r="B881" t="s">
        <v>1830</v>
      </c>
      <c r="C881" t="str">
        <f>TRIM(MID(B881,FIND(" ",B881)+1,LEN(B881)))</f>
        <v>Jessica Williams DVM</v>
      </c>
      <c r="D881" t="s">
        <v>12</v>
      </c>
      <c r="E881" t="str">
        <f t="shared" si="179"/>
        <v>Female</v>
      </c>
      <c r="F881">
        <v>25</v>
      </c>
      <c r="G881" t="s">
        <v>104</v>
      </c>
      <c r="H881" t="s">
        <v>105</v>
      </c>
      <c r="I881" t="s">
        <v>36</v>
      </c>
      <c r="J881">
        <v>6</v>
      </c>
      <c r="K881" s="4" t="str" cm="1">
        <f t="array" ref="K881">_xlfn.IFS(J881&lt;=5,"0-5",J881&lt;=10,"6-10",J881&lt;=15,"11-15",J881&lt;=20,"16-20",J881&gt;20,"21+")</f>
        <v>6-10</v>
      </c>
      <c r="L881">
        <v>20</v>
      </c>
      <c r="M881" s="2">
        <f>L881</f>
        <v>20</v>
      </c>
      <c r="N881" s="8">
        <f t="shared" si="180"/>
        <v>20</v>
      </c>
      <c r="O881">
        <v>2.1</v>
      </c>
      <c r="P881" t="s">
        <v>151</v>
      </c>
      <c r="Q881" t="s">
        <v>2072</v>
      </c>
    </row>
    <row r="882" spans="1:19" x14ac:dyDescent="0.3">
      <c r="A882" t="s">
        <v>1831</v>
      </c>
      <c r="B882" t="s">
        <v>1832</v>
      </c>
      <c r="C882" t="str">
        <f t="shared" ref="C882:C923" si="189">B882</f>
        <v>Martin Moreno</v>
      </c>
      <c r="D882" t="s">
        <v>19</v>
      </c>
      <c r="E882" t="str">
        <f t="shared" si="179"/>
        <v>Male</v>
      </c>
      <c r="F882">
        <v>53</v>
      </c>
      <c r="G882" t="s">
        <v>34</v>
      </c>
      <c r="H882" t="s">
        <v>35</v>
      </c>
      <c r="I882" t="s">
        <v>27</v>
      </c>
      <c r="J882">
        <v>32</v>
      </c>
      <c r="K882" s="4" t="str" cm="1">
        <f t="array" ref="K882">_xlfn.IFS(J882&lt;=5,"0-5",J882&lt;=10,"6-10",J882&lt;=15,"11-15",J882&lt;=20,"16-20",J882&gt;20,"21+")</f>
        <v>21+</v>
      </c>
      <c r="L882">
        <v>50</v>
      </c>
      <c r="M882" s="2">
        <f>L882</f>
        <v>50</v>
      </c>
      <c r="N882" s="8">
        <f t="shared" si="180"/>
        <v>50</v>
      </c>
      <c r="P882">
        <v>1</v>
      </c>
      <c r="Q882" t="s">
        <v>2073</v>
      </c>
    </row>
    <row r="883" spans="1:19" x14ac:dyDescent="0.3">
      <c r="A883" t="s">
        <v>1833</v>
      </c>
      <c r="B883" t="s">
        <v>1834</v>
      </c>
      <c r="C883" t="str">
        <f t="shared" si="189"/>
        <v>Yolanda Proctor</v>
      </c>
      <c r="D883" t="s">
        <v>12</v>
      </c>
      <c r="E883" t="str">
        <f t="shared" si="179"/>
        <v>Female</v>
      </c>
      <c r="F883">
        <v>50</v>
      </c>
      <c r="G883" t="s">
        <v>131</v>
      </c>
      <c r="H883" t="s">
        <v>132</v>
      </c>
      <c r="I883" t="s">
        <v>15</v>
      </c>
      <c r="J883">
        <v>31</v>
      </c>
      <c r="K883" s="4" t="str" cm="1">
        <f t="array" ref="K883">_xlfn.IFS(J883&lt;=5,"0-5",J883&lt;=10,"6-10",J883&lt;=15,"11-15",J883&lt;=20,"16-20",J883&gt;20,"21+")</f>
        <v>21+</v>
      </c>
      <c r="L883" t="s">
        <v>16</v>
      </c>
      <c r="M883" s="2" t="str">
        <f>TRIM(MID(L883,FIND(" ",L883)+1,LEN(L883)))</f>
        <v>100</v>
      </c>
      <c r="N883" s="8">
        <f t="shared" si="180"/>
        <v>100</v>
      </c>
      <c r="O883">
        <v>2.9</v>
      </c>
      <c r="P883" t="s">
        <v>66</v>
      </c>
      <c r="Q883" t="s">
        <v>2073</v>
      </c>
      <c r="R883" s="1">
        <v>0.89</v>
      </c>
      <c r="S883" s="3">
        <f t="shared" ref="S883:S890" si="190">R883</f>
        <v>0.89</v>
      </c>
    </row>
    <row r="884" spans="1:19" x14ac:dyDescent="0.3">
      <c r="A884" t="s">
        <v>1835</v>
      </c>
      <c r="B884" t="s">
        <v>1836</v>
      </c>
      <c r="C884" t="str">
        <f t="shared" si="189"/>
        <v>Allen Turner</v>
      </c>
      <c r="D884" t="s">
        <v>19</v>
      </c>
      <c r="E884" t="str">
        <f t="shared" si="179"/>
        <v>Male</v>
      </c>
      <c r="F884">
        <v>45</v>
      </c>
      <c r="G884" t="s">
        <v>104</v>
      </c>
      <c r="H884" t="s">
        <v>105</v>
      </c>
      <c r="I884" t="s">
        <v>36</v>
      </c>
      <c r="K884" s="4" t="str" cm="1">
        <f t="array" ref="K884">_xlfn.IFS(J884&lt;=5,"0-5",J884&lt;=10,"6-10",J884&lt;=15,"11-15",J884&lt;=20,"16-20",J884&gt;20,"21+")</f>
        <v>0-5</v>
      </c>
      <c r="L884" t="s">
        <v>306</v>
      </c>
      <c r="M884" s="2" t="str">
        <f>TRIM(MID(L884,FIND(" ",L884)+1,LEN(L884)))</f>
        <v>20</v>
      </c>
      <c r="N884" s="8">
        <f t="shared" si="180"/>
        <v>20</v>
      </c>
      <c r="O884">
        <v>3.3</v>
      </c>
      <c r="P884" t="b">
        <v>1</v>
      </c>
      <c r="Q884" t="s">
        <v>2073</v>
      </c>
      <c r="R884" s="1">
        <v>0.93</v>
      </c>
      <c r="S884" s="3">
        <f t="shared" si="190"/>
        <v>0.93</v>
      </c>
    </row>
    <row r="885" spans="1:19" x14ac:dyDescent="0.3">
      <c r="A885" t="s">
        <v>1837</v>
      </c>
      <c r="B885" t="s">
        <v>1838</v>
      </c>
      <c r="C885" t="str">
        <f t="shared" si="189"/>
        <v>Beth Huff</v>
      </c>
      <c r="D885" t="s">
        <v>26</v>
      </c>
      <c r="E885" t="str">
        <f t="shared" si="179"/>
        <v>Female</v>
      </c>
      <c r="F885">
        <v>48</v>
      </c>
      <c r="G885" t="s">
        <v>120</v>
      </c>
      <c r="H885" t="s">
        <v>14</v>
      </c>
      <c r="I885" t="s">
        <v>70</v>
      </c>
      <c r="J885">
        <v>24</v>
      </c>
      <c r="K885" s="4" t="str" cm="1">
        <f t="array" ref="K885">_xlfn.IFS(J885&lt;=5,"0-5",J885&lt;=10,"6-10",J885&lt;=15,"11-15",J885&lt;=20,"16-20",J885&gt;20,"21+")</f>
        <v>21+</v>
      </c>
      <c r="L885">
        <v>100</v>
      </c>
      <c r="M885" s="2">
        <f>L885</f>
        <v>100</v>
      </c>
      <c r="N885" s="8">
        <f t="shared" si="180"/>
        <v>100</v>
      </c>
      <c r="O885">
        <v>4.8</v>
      </c>
      <c r="P885">
        <v>1</v>
      </c>
      <c r="Q885" t="s">
        <v>2073</v>
      </c>
      <c r="R885" s="1">
        <v>0.84</v>
      </c>
      <c r="S885" s="3">
        <f t="shared" si="190"/>
        <v>0.84</v>
      </c>
    </row>
    <row r="886" spans="1:19" x14ac:dyDescent="0.3">
      <c r="A886" t="s">
        <v>1839</v>
      </c>
      <c r="B886" t="s">
        <v>1840</v>
      </c>
      <c r="C886" t="str">
        <f t="shared" si="189"/>
        <v>John Mckinney</v>
      </c>
      <c r="D886" t="s">
        <v>53</v>
      </c>
      <c r="E886" t="str">
        <f t="shared" si="179"/>
        <v>Male</v>
      </c>
      <c r="F886">
        <v>30</v>
      </c>
      <c r="G886" t="s">
        <v>41</v>
      </c>
      <c r="H886" t="s">
        <v>42</v>
      </c>
      <c r="I886" t="s">
        <v>81</v>
      </c>
      <c r="K886" s="4" t="str" cm="1">
        <f t="array" ref="K886">_xlfn.IFS(J886&lt;=5,"0-5",J886&lt;=10,"6-10",J886&lt;=15,"11-15",J886&lt;=20,"16-20",J886&gt;20,"21+")</f>
        <v>0-5</v>
      </c>
      <c r="L886" t="s">
        <v>221</v>
      </c>
      <c r="M886" s="2" t="str">
        <f>SUBSTITUTE(L886,"$","")</f>
        <v>100</v>
      </c>
      <c r="N886" s="8">
        <f t="shared" si="180"/>
        <v>100</v>
      </c>
      <c r="O886">
        <v>4.5</v>
      </c>
      <c r="R886" s="1">
        <v>0.78</v>
      </c>
      <c r="S886" s="3">
        <f t="shared" si="190"/>
        <v>0.78</v>
      </c>
    </row>
    <row r="887" spans="1:19" x14ac:dyDescent="0.3">
      <c r="A887" t="s">
        <v>1841</v>
      </c>
      <c r="B887" t="s">
        <v>559</v>
      </c>
      <c r="C887" t="str">
        <f t="shared" si="189"/>
        <v>Sarah Ho</v>
      </c>
      <c r="D887" t="s">
        <v>26</v>
      </c>
      <c r="E887" t="str">
        <f t="shared" si="179"/>
        <v>Female</v>
      </c>
      <c r="F887">
        <v>33</v>
      </c>
      <c r="G887" t="s">
        <v>34</v>
      </c>
      <c r="H887" t="s">
        <v>35</v>
      </c>
      <c r="I887" t="s">
        <v>65</v>
      </c>
      <c r="J887">
        <v>6</v>
      </c>
      <c r="K887" s="4" t="str" cm="1">
        <f t="array" ref="K887">_xlfn.IFS(J887&lt;=5,"0-5",J887&lt;=10,"6-10",J887&lt;=15,"11-15",J887&lt;=20,"16-20",J887&gt;20,"21+")</f>
        <v>6-10</v>
      </c>
      <c r="L887" t="s">
        <v>56</v>
      </c>
      <c r="M887" s="2" t="str">
        <f>SUBSTITUTE(L887,"$","")</f>
        <v>50</v>
      </c>
      <c r="N887" s="8">
        <f t="shared" si="180"/>
        <v>50</v>
      </c>
      <c r="O887">
        <v>3.1</v>
      </c>
      <c r="P887" t="s">
        <v>151</v>
      </c>
      <c r="Q887" t="s">
        <v>2072</v>
      </c>
      <c r="R887" s="1">
        <v>0.9</v>
      </c>
      <c r="S887" s="3">
        <f t="shared" si="190"/>
        <v>0.9</v>
      </c>
    </row>
    <row r="888" spans="1:19" x14ac:dyDescent="0.3">
      <c r="A888" t="s">
        <v>1842</v>
      </c>
      <c r="B888" t="s">
        <v>1843</v>
      </c>
      <c r="C888" t="str">
        <f t="shared" si="189"/>
        <v>Lindsey Wang</v>
      </c>
      <c r="D888" t="s">
        <v>26</v>
      </c>
      <c r="E888" t="str">
        <f t="shared" si="179"/>
        <v>Female</v>
      </c>
      <c r="F888">
        <v>50</v>
      </c>
      <c r="G888" t="s">
        <v>59</v>
      </c>
      <c r="H888" t="s">
        <v>14</v>
      </c>
      <c r="I888" t="s">
        <v>81</v>
      </c>
      <c r="J888">
        <v>11</v>
      </c>
      <c r="K888" s="4" t="str" cm="1">
        <f t="array" ref="K888">_xlfn.IFS(J888&lt;=5,"0-5",J888&lt;=10,"6-10",J888&lt;=15,"11-15",J888&lt;=20,"16-20",J888&gt;20,"21+")</f>
        <v>11-15</v>
      </c>
      <c r="N888" s="8" t="str">
        <f t="shared" si="180"/>
        <v/>
      </c>
      <c r="O888">
        <v>4.9000000000000004</v>
      </c>
      <c r="P888">
        <v>1</v>
      </c>
      <c r="Q888" t="s">
        <v>2073</v>
      </c>
      <c r="R888" s="1">
        <v>0.88</v>
      </c>
      <c r="S888" s="3">
        <f t="shared" si="190"/>
        <v>0.88</v>
      </c>
    </row>
    <row r="889" spans="1:19" x14ac:dyDescent="0.3">
      <c r="A889" t="s">
        <v>1844</v>
      </c>
      <c r="B889" t="s">
        <v>1845</v>
      </c>
      <c r="C889" t="str">
        <f t="shared" si="189"/>
        <v>Margaret Schwartz</v>
      </c>
      <c r="D889" t="s">
        <v>69</v>
      </c>
      <c r="E889" t="str">
        <f t="shared" si="179"/>
        <v>Female</v>
      </c>
      <c r="F889">
        <v>24</v>
      </c>
      <c r="G889" t="s">
        <v>41</v>
      </c>
      <c r="H889" t="s">
        <v>42</v>
      </c>
      <c r="I889" t="s">
        <v>43</v>
      </c>
      <c r="K889" s="4" t="str" cm="1">
        <f t="array" ref="K889">_xlfn.IFS(J889&lt;=5,"0-5",J889&lt;=10,"6-10",J889&lt;=15,"11-15",J889&lt;=20,"16-20",J889&gt;20,"21+")</f>
        <v>0-5</v>
      </c>
      <c r="L889" t="s">
        <v>113</v>
      </c>
      <c r="M889" s="2" t="str">
        <f>SUBSTITUTE(L889,"$","")</f>
        <v>20</v>
      </c>
      <c r="N889" s="8">
        <f t="shared" si="180"/>
        <v>20</v>
      </c>
      <c r="O889">
        <v>0</v>
      </c>
      <c r="P889">
        <v>0</v>
      </c>
      <c r="Q889" t="s">
        <v>2072</v>
      </c>
      <c r="R889" s="1">
        <v>0.76</v>
      </c>
      <c r="S889" s="3">
        <f t="shared" si="190"/>
        <v>0.76</v>
      </c>
    </row>
    <row r="890" spans="1:19" x14ac:dyDescent="0.3">
      <c r="A890" t="s">
        <v>1846</v>
      </c>
      <c r="B890" t="s">
        <v>1847</v>
      </c>
      <c r="C890" t="str">
        <f t="shared" si="189"/>
        <v>Kyle Ray</v>
      </c>
      <c r="D890" t="s">
        <v>19</v>
      </c>
      <c r="E890" t="str">
        <f t="shared" si="179"/>
        <v>Male</v>
      </c>
      <c r="F890">
        <v>38</v>
      </c>
      <c r="G890" t="s">
        <v>7</v>
      </c>
      <c r="H890" t="s">
        <v>8</v>
      </c>
      <c r="I890" t="s">
        <v>27</v>
      </c>
      <c r="J890">
        <v>14</v>
      </c>
      <c r="K890" s="4" t="str" cm="1">
        <f t="array" ref="K890">_xlfn.IFS(J890&lt;=5,"0-5",J890&lt;=10,"6-10",J890&lt;=15,"11-15",J890&lt;=20,"16-20",J890&gt;20,"21+")</f>
        <v>11-15</v>
      </c>
      <c r="L890">
        <v>75</v>
      </c>
      <c r="M890" s="2">
        <f>L890</f>
        <v>75</v>
      </c>
      <c r="N890" s="8">
        <f t="shared" si="180"/>
        <v>75</v>
      </c>
      <c r="O890">
        <v>1.5</v>
      </c>
      <c r="P890" t="s">
        <v>23</v>
      </c>
      <c r="Q890" t="s">
        <v>2072</v>
      </c>
      <c r="R890" s="1">
        <v>0.62</v>
      </c>
      <c r="S890" s="3">
        <f t="shared" si="190"/>
        <v>0.62</v>
      </c>
    </row>
    <row r="891" spans="1:19" x14ac:dyDescent="0.3">
      <c r="A891" t="s">
        <v>1848</v>
      </c>
      <c r="B891" t="s">
        <v>1849</v>
      </c>
      <c r="C891" t="str">
        <f t="shared" si="189"/>
        <v>Isaac Hebert</v>
      </c>
      <c r="D891" t="s">
        <v>53</v>
      </c>
      <c r="E891" t="str">
        <f t="shared" si="179"/>
        <v>Male</v>
      </c>
      <c r="F891">
        <v>56</v>
      </c>
      <c r="G891" t="s">
        <v>77</v>
      </c>
      <c r="H891" t="s">
        <v>78</v>
      </c>
      <c r="I891" t="s">
        <v>81</v>
      </c>
      <c r="J891">
        <v>2</v>
      </c>
      <c r="K891" s="4" t="str" cm="1">
        <f t="array" ref="K891">_xlfn.IFS(J891&lt;=5,"0-5",J891&lt;=10,"6-10",J891&lt;=15,"11-15",J891&lt;=20,"16-20",J891&gt;20,"21+")</f>
        <v>0-5</v>
      </c>
      <c r="L891" t="s">
        <v>162</v>
      </c>
      <c r="M891" s="2" t="str">
        <f>SUBSTITUTE(L891,"$","")</f>
        <v>75</v>
      </c>
      <c r="N891" s="8">
        <f t="shared" si="180"/>
        <v>75</v>
      </c>
      <c r="O891">
        <v>2.4</v>
      </c>
      <c r="P891" t="s">
        <v>23</v>
      </c>
      <c r="Q891" t="s">
        <v>2072</v>
      </c>
    </row>
    <row r="892" spans="1:19" x14ac:dyDescent="0.3">
      <c r="A892" t="s">
        <v>1850</v>
      </c>
      <c r="B892" t="s">
        <v>1851</v>
      </c>
      <c r="C892" t="str">
        <f t="shared" si="189"/>
        <v>Michele Jones</v>
      </c>
      <c r="D892" t="s">
        <v>6</v>
      </c>
      <c r="E892" t="str">
        <f t="shared" si="179"/>
        <v>Female</v>
      </c>
      <c r="F892">
        <v>41</v>
      </c>
      <c r="G892" t="s">
        <v>116</v>
      </c>
      <c r="H892" t="s">
        <v>117</v>
      </c>
      <c r="I892" t="s">
        <v>81</v>
      </c>
      <c r="J892">
        <v>2</v>
      </c>
      <c r="K892" s="4" t="str" cm="1">
        <f t="array" ref="K892">_xlfn.IFS(J892&lt;=5,"0-5",J892&lt;=10,"6-10",J892&lt;=15,"11-15",J892&lt;=20,"16-20",J892&gt;20,"21+")</f>
        <v>0-5</v>
      </c>
      <c r="L892" t="s">
        <v>16</v>
      </c>
      <c r="M892" s="2" t="str">
        <f>TRIM(MID(L892,FIND(" ",L892)+1,LEN(L892)))</f>
        <v>100</v>
      </c>
      <c r="N892" s="8">
        <f t="shared" si="180"/>
        <v>100</v>
      </c>
      <c r="O892">
        <v>4.5</v>
      </c>
      <c r="P892" t="s">
        <v>23</v>
      </c>
      <c r="Q892" t="s">
        <v>2072</v>
      </c>
      <c r="R892">
        <v>75</v>
      </c>
      <c r="S892" s="3">
        <f t="shared" ref="S892:S893" si="191">R892/100</f>
        <v>0.75</v>
      </c>
    </row>
    <row r="893" spans="1:19" x14ac:dyDescent="0.3">
      <c r="A893" t="s">
        <v>1852</v>
      </c>
      <c r="B893" t="s">
        <v>1853</v>
      </c>
      <c r="C893" t="str">
        <f t="shared" si="189"/>
        <v>Austin Allen</v>
      </c>
      <c r="D893" t="s">
        <v>89</v>
      </c>
      <c r="E893" t="str">
        <f t="shared" si="179"/>
        <v>Male</v>
      </c>
      <c r="G893" t="s">
        <v>7</v>
      </c>
      <c r="H893" t="s">
        <v>8</v>
      </c>
      <c r="I893" t="s">
        <v>65</v>
      </c>
      <c r="J893">
        <v>11</v>
      </c>
      <c r="K893" s="4" t="str" cm="1">
        <f t="array" ref="K893">_xlfn.IFS(J893&lt;=5,"0-5",J893&lt;=10,"6-10",J893&lt;=15,"11-15",J893&lt;=20,"16-20",J893&gt;20,"21+")</f>
        <v>11-15</v>
      </c>
      <c r="L893" t="s">
        <v>16</v>
      </c>
      <c r="M893" s="2" t="str">
        <f>TRIM(MID(L893,FIND(" ",L893)+1,LEN(L893)))</f>
        <v>100</v>
      </c>
      <c r="N893" s="8">
        <f t="shared" si="180"/>
        <v>100</v>
      </c>
      <c r="O893">
        <v>2.5</v>
      </c>
      <c r="P893" t="s">
        <v>60</v>
      </c>
      <c r="Q893" t="s">
        <v>2073</v>
      </c>
      <c r="R893">
        <v>80</v>
      </c>
      <c r="S893" s="3">
        <f t="shared" si="191"/>
        <v>0.8</v>
      </c>
    </row>
    <row r="894" spans="1:19" x14ac:dyDescent="0.3">
      <c r="A894" t="s">
        <v>1854</v>
      </c>
      <c r="B894" t="s">
        <v>1855</v>
      </c>
      <c r="C894" t="str">
        <f t="shared" si="189"/>
        <v>Haley Castro</v>
      </c>
      <c r="D894" t="s">
        <v>6</v>
      </c>
      <c r="E894" t="str">
        <f t="shared" si="179"/>
        <v>Female</v>
      </c>
      <c r="F894">
        <v>42</v>
      </c>
      <c r="G894" t="s">
        <v>20</v>
      </c>
      <c r="H894" t="s">
        <v>21</v>
      </c>
      <c r="I894" t="s">
        <v>22</v>
      </c>
      <c r="J894">
        <v>13</v>
      </c>
      <c r="K894" s="4" t="str" cm="1">
        <f t="array" ref="K894">_xlfn.IFS(J894&lt;=5,"0-5",J894&lt;=10,"6-10",J894&lt;=15,"11-15",J894&lt;=20,"16-20",J894&gt;20,"21+")</f>
        <v>11-15</v>
      </c>
      <c r="L894">
        <v>30</v>
      </c>
      <c r="M894" s="2">
        <f>L894</f>
        <v>30</v>
      </c>
      <c r="N894" s="8">
        <f t="shared" si="180"/>
        <v>30</v>
      </c>
      <c r="O894">
        <v>3.3</v>
      </c>
      <c r="R894" s="1">
        <v>0.63</v>
      </c>
      <c r="S894" s="3">
        <f t="shared" ref="S894:S895" si="192">R894</f>
        <v>0.63</v>
      </c>
    </row>
    <row r="895" spans="1:19" x14ac:dyDescent="0.3">
      <c r="A895" t="s">
        <v>1856</v>
      </c>
      <c r="B895" t="s">
        <v>1857</v>
      </c>
      <c r="C895" t="str">
        <f t="shared" si="189"/>
        <v>David Armstrong</v>
      </c>
      <c r="D895" t="s">
        <v>89</v>
      </c>
      <c r="E895" t="str">
        <f t="shared" si="179"/>
        <v>Male</v>
      </c>
      <c r="F895">
        <v>26</v>
      </c>
      <c r="G895" t="s">
        <v>85</v>
      </c>
      <c r="H895" t="s">
        <v>86</v>
      </c>
      <c r="I895" t="s">
        <v>9</v>
      </c>
      <c r="J895">
        <v>7</v>
      </c>
      <c r="K895" s="4" t="str" cm="1">
        <f t="array" ref="K895">_xlfn.IFS(J895&lt;=5,"0-5",J895&lt;=10,"6-10",J895&lt;=15,"11-15",J895&lt;=20,"16-20",J895&gt;20,"21+")</f>
        <v>6-10</v>
      </c>
      <c r="L895">
        <v>75</v>
      </c>
      <c r="M895" s="2">
        <f>L895</f>
        <v>75</v>
      </c>
      <c r="N895" s="8">
        <f t="shared" si="180"/>
        <v>75</v>
      </c>
      <c r="O895">
        <v>3</v>
      </c>
      <c r="R895" s="1">
        <v>0.84</v>
      </c>
      <c r="S895" s="3">
        <f t="shared" si="192"/>
        <v>0.84</v>
      </c>
    </row>
    <row r="896" spans="1:19" x14ac:dyDescent="0.3">
      <c r="A896" t="s">
        <v>1858</v>
      </c>
      <c r="B896" t="s">
        <v>1859</v>
      </c>
      <c r="C896" t="str">
        <f t="shared" si="189"/>
        <v>Wendy Mitchell</v>
      </c>
      <c r="D896" t="s">
        <v>6</v>
      </c>
      <c r="E896" t="str">
        <f t="shared" si="179"/>
        <v>Female</v>
      </c>
      <c r="F896">
        <v>44</v>
      </c>
      <c r="G896" t="s">
        <v>120</v>
      </c>
      <c r="H896" t="s">
        <v>14</v>
      </c>
      <c r="I896" t="s">
        <v>70</v>
      </c>
      <c r="J896">
        <v>25</v>
      </c>
      <c r="K896" s="4" t="str" cm="1">
        <f t="array" ref="K896">_xlfn.IFS(J896&lt;=5,"0-5",J896&lt;=10,"6-10",J896&lt;=15,"11-15",J896&lt;=20,"16-20",J896&gt;20,"21+")</f>
        <v>21+</v>
      </c>
      <c r="L896">
        <v>75</v>
      </c>
      <c r="M896" s="2">
        <f>L896</f>
        <v>75</v>
      </c>
      <c r="N896" s="8">
        <f t="shared" si="180"/>
        <v>75</v>
      </c>
      <c r="O896">
        <v>2.7</v>
      </c>
      <c r="P896">
        <v>1</v>
      </c>
      <c r="Q896" t="s">
        <v>2073</v>
      </c>
      <c r="R896">
        <v>78</v>
      </c>
      <c r="S896" s="3">
        <f>R896/100</f>
        <v>0.78</v>
      </c>
    </row>
    <row r="897" spans="1:19" x14ac:dyDescent="0.3">
      <c r="A897" t="s">
        <v>1860</v>
      </c>
      <c r="B897" t="s">
        <v>1861</v>
      </c>
      <c r="C897" t="str">
        <f t="shared" si="189"/>
        <v>Anthony Hernandez</v>
      </c>
      <c r="D897" t="s">
        <v>53</v>
      </c>
      <c r="E897" t="str">
        <f t="shared" si="179"/>
        <v>Male</v>
      </c>
      <c r="F897">
        <v>46</v>
      </c>
      <c r="G897" t="s">
        <v>120</v>
      </c>
      <c r="H897" t="s">
        <v>14</v>
      </c>
      <c r="I897" t="s">
        <v>22</v>
      </c>
      <c r="J897">
        <v>20</v>
      </c>
      <c r="K897" s="4" t="str" cm="1">
        <f t="array" ref="K897">_xlfn.IFS(J897&lt;=5,"0-5",J897&lt;=10,"6-10",J897&lt;=15,"11-15",J897&lt;=20,"16-20",J897&gt;20,"21+")</f>
        <v>16-20</v>
      </c>
      <c r="L897" t="s">
        <v>113</v>
      </c>
      <c r="M897" s="2" t="str">
        <f>SUBSTITUTE(L897,"$","")</f>
        <v>20</v>
      </c>
      <c r="N897" s="8">
        <f t="shared" si="180"/>
        <v>20</v>
      </c>
      <c r="O897">
        <v>1.2</v>
      </c>
      <c r="P897" t="b">
        <v>0</v>
      </c>
      <c r="Q897" t="s">
        <v>2072</v>
      </c>
      <c r="R897" s="1">
        <v>0.74</v>
      </c>
      <c r="S897" s="3">
        <f t="shared" ref="S897:S898" si="193">R897</f>
        <v>0.74</v>
      </c>
    </row>
    <row r="898" spans="1:19" x14ac:dyDescent="0.3">
      <c r="A898" t="s">
        <v>1862</v>
      </c>
      <c r="B898" t="s">
        <v>1863</v>
      </c>
      <c r="C898" t="str">
        <f t="shared" si="189"/>
        <v>Erica Johnson</v>
      </c>
      <c r="D898" t="s">
        <v>31</v>
      </c>
      <c r="E898" t="str">
        <f t="shared" ref="E898:E961" si="194">IF(LOWER(LEFT(D898,1))="f","Female","Male")</f>
        <v>Female</v>
      </c>
      <c r="F898">
        <v>36</v>
      </c>
      <c r="G898" t="s">
        <v>50</v>
      </c>
      <c r="H898" t="s">
        <v>14</v>
      </c>
      <c r="I898" t="s">
        <v>65</v>
      </c>
      <c r="J898">
        <v>8</v>
      </c>
      <c r="K898" s="4" t="str" cm="1">
        <f t="array" ref="K898">_xlfn.IFS(J898&lt;=5,"0-5",J898&lt;=10,"6-10",J898&lt;=15,"11-15",J898&lt;=20,"16-20",J898&gt;20,"21+")</f>
        <v>6-10</v>
      </c>
      <c r="L898">
        <v>50</v>
      </c>
      <c r="M898" s="2">
        <f>L898</f>
        <v>50</v>
      </c>
      <c r="N898" s="8">
        <f t="shared" si="180"/>
        <v>50</v>
      </c>
      <c r="O898">
        <v>4.3</v>
      </c>
      <c r="P898">
        <v>0</v>
      </c>
      <c r="Q898" t="s">
        <v>2072</v>
      </c>
      <c r="R898" s="1">
        <v>0.9</v>
      </c>
      <c r="S898" s="3">
        <f t="shared" si="193"/>
        <v>0.9</v>
      </c>
    </row>
    <row r="899" spans="1:19" x14ac:dyDescent="0.3">
      <c r="A899" t="s">
        <v>1864</v>
      </c>
      <c r="B899" t="s">
        <v>1865</v>
      </c>
      <c r="C899" t="str">
        <f t="shared" si="189"/>
        <v>Randall Barrett</v>
      </c>
      <c r="D899" t="s">
        <v>89</v>
      </c>
      <c r="E899" t="str">
        <f t="shared" si="194"/>
        <v>Male</v>
      </c>
      <c r="F899">
        <v>26</v>
      </c>
      <c r="G899" t="s">
        <v>34</v>
      </c>
      <c r="H899" t="s">
        <v>35</v>
      </c>
      <c r="I899" t="s">
        <v>36</v>
      </c>
      <c r="J899">
        <v>6</v>
      </c>
      <c r="K899" s="4" t="str" cm="1">
        <f t="array" ref="K899">_xlfn.IFS(J899&lt;=5,"0-5",J899&lt;=10,"6-10",J899&lt;=15,"11-15",J899&lt;=20,"16-20",J899&gt;20,"21+")</f>
        <v>6-10</v>
      </c>
      <c r="L899" t="s">
        <v>28</v>
      </c>
      <c r="M899" s="2" t="str">
        <f>SUBSTITUTE(L899,"$","")</f>
        <v>40</v>
      </c>
      <c r="N899" s="8">
        <f t="shared" ref="N899:N962" si="195">IF(M899="", "", VALUE(M899))</f>
        <v>40</v>
      </c>
      <c r="O899">
        <v>1.3</v>
      </c>
      <c r="P899">
        <v>0</v>
      </c>
      <c r="Q899" t="s">
        <v>2072</v>
      </c>
    </row>
    <row r="900" spans="1:19" x14ac:dyDescent="0.3">
      <c r="A900" t="s">
        <v>1866</v>
      </c>
      <c r="B900" t="s">
        <v>1867</v>
      </c>
      <c r="C900" t="str">
        <f t="shared" si="189"/>
        <v>Nathan Huff</v>
      </c>
      <c r="D900" t="s">
        <v>19</v>
      </c>
      <c r="E900" t="str">
        <f t="shared" si="194"/>
        <v>Male</v>
      </c>
      <c r="F900">
        <v>21</v>
      </c>
      <c r="G900" t="s">
        <v>20</v>
      </c>
      <c r="H900" t="s">
        <v>21</v>
      </c>
      <c r="I900" t="s">
        <v>65</v>
      </c>
      <c r="J900">
        <v>3</v>
      </c>
      <c r="K900" s="4" t="str" cm="1">
        <f t="array" ref="K900">_xlfn.IFS(J900&lt;=5,"0-5",J900&lt;=10,"6-10",J900&lt;=15,"11-15",J900&lt;=20,"16-20",J900&gt;20,"21+")</f>
        <v>0-5</v>
      </c>
      <c r="L900">
        <v>50</v>
      </c>
      <c r="M900" s="2">
        <f>L900</f>
        <v>50</v>
      </c>
      <c r="N900" s="8">
        <f t="shared" si="195"/>
        <v>50</v>
      </c>
      <c r="O900">
        <v>4.5999999999999996</v>
      </c>
      <c r="P900" t="s">
        <v>66</v>
      </c>
      <c r="Q900" t="s">
        <v>2073</v>
      </c>
    </row>
    <row r="901" spans="1:19" x14ac:dyDescent="0.3">
      <c r="A901" t="s">
        <v>1868</v>
      </c>
      <c r="B901" t="s">
        <v>1869</v>
      </c>
      <c r="C901" t="str">
        <f t="shared" si="189"/>
        <v>Robin Walsh</v>
      </c>
      <c r="D901" t="s">
        <v>6</v>
      </c>
      <c r="E901" t="str">
        <f t="shared" si="194"/>
        <v>Female</v>
      </c>
      <c r="F901">
        <v>39</v>
      </c>
      <c r="G901" t="s">
        <v>41</v>
      </c>
      <c r="H901" t="s">
        <v>42</v>
      </c>
      <c r="I901" t="s">
        <v>65</v>
      </c>
      <c r="J901">
        <v>18</v>
      </c>
      <c r="K901" s="4" t="str" cm="1">
        <f t="array" ref="K901">_xlfn.IFS(J901&lt;=5,"0-5",J901&lt;=10,"6-10",J901&lt;=15,"11-15",J901&lt;=20,"16-20",J901&gt;20,"21+")</f>
        <v>16-20</v>
      </c>
      <c r="L901">
        <v>50</v>
      </c>
      <c r="M901" s="2">
        <f>L901</f>
        <v>50</v>
      </c>
      <c r="N901" s="8">
        <f t="shared" si="195"/>
        <v>50</v>
      </c>
      <c r="O901">
        <v>2.1</v>
      </c>
      <c r="P901">
        <v>0</v>
      </c>
      <c r="Q901" t="s">
        <v>2072</v>
      </c>
      <c r="R901">
        <v>75</v>
      </c>
      <c r="S901" s="3">
        <f>R901/100</f>
        <v>0.75</v>
      </c>
    </row>
    <row r="902" spans="1:19" x14ac:dyDescent="0.3">
      <c r="A902" t="s">
        <v>1870</v>
      </c>
      <c r="B902" t="s">
        <v>1871</v>
      </c>
      <c r="C902" t="str">
        <f t="shared" si="189"/>
        <v>Yvonne Robinson</v>
      </c>
      <c r="D902" t="s">
        <v>69</v>
      </c>
      <c r="E902" t="str">
        <f t="shared" si="194"/>
        <v>Female</v>
      </c>
      <c r="F902">
        <v>37</v>
      </c>
      <c r="G902" t="s">
        <v>50</v>
      </c>
      <c r="H902" t="s">
        <v>14</v>
      </c>
      <c r="I902" t="s">
        <v>9</v>
      </c>
      <c r="J902">
        <v>18</v>
      </c>
      <c r="K902" s="4" t="str" cm="1">
        <f t="array" ref="K902">_xlfn.IFS(J902&lt;=5,"0-5",J902&lt;=10,"6-10",J902&lt;=15,"11-15",J902&lt;=20,"16-20",J902&gt;20,"21+")</f>
        <v>16-20</v>
      </c>
      <c r="L902">
        <v>40</v>
      </c>
      <c r="M902" s="2">
        <f>L902</f>
        <v>40</v>
      </c>
      <c r="N902" s="8">
        <f t="shared" si="195"/>
        <v>40</v>
      </c>
      <c r="O902">
        <v>4.5</v>
      </c>
      <c r="P902" t="s">
        <v>151</v>
      </c>
      <c r="Q902" t="s">
        <v>2072</v>
      </c>
      <c r="R902" s="1">
        <v>0.72</v>
      </c>
      <c r="S902" s="3">
        <f t="shared" ref="S902:S903" si="196">R902</f>
        <v>0.72</v>
      </c>
    </row>
    <row r="903" spans="1:19" x14ac:dyDescent="0.3">
      <c r="A903" t="s">
        <v>1872</v>
      </c>
      <c r="B903" t="s">
        <v>1873</v>
      </c>
      <c r="C903" t="str">
        <f t="shared" si="189"/>
        <v>Kathleen Hendrix</v>
      </c>
      <c r="D903" t="s">
        <v>69</v>
      </c>
      <c r="E903" t="str">
        <f t="shared" si="194"/>
        <v>Female</v>
      </c>
      <c r="F903">
        <v>47</v>
      </c>
      <c r="G903" t="s">
        <v>116</v>
      </c>
      <c r="H903" t="s">
        <v>117</v>
      </c>
      <c r="I903" t="s">
        <v>65</v>
      </c>
      <c r="J903">
        <v>3</v>
      </c>
      <c r="K903" s="4" t="str" cm="1">
        <f t="array" ref="K903">_xlfn.IFS(J903&lt;=5,"0-5",J903&lt;=10,"6-10",J903&lt;=15,"11-15",J903&lt;=20,"16-20",J903&gt;20,"21+")</f>
        <v>0-5</v>
      </c>
      <c r="L903">
        <v>40</v>
      </c>
      <c r="M903" s="2">
        <f>L903</f>
        <v>40</v>
      </c>
      <c r="N903" s="8">
        <f t="shared" si="195"/>
        <v>40</v>
      </c>
      <c r="O903">
        <v>4.4000000000000004</v>
      </c>
      <c r="P903" t="s">
        <v>60</v>
      </c>
      <c r="Q903" t="s">
        <v>2073</v>
      </c>
      <c r="R903" s="1">
        <v>0.92</v>
      </c>
      <c r="S903" s="3">
        <f t="shared" si="196"/>
        <v>0.92</v>
      </c>
    </row>
    <row r="904" spans="1:19" x14ac:dyDescent="0.3">
      <c r="A904" t="s">
        <v>1874</v>
      </c>
      <c r="B904" t="s">
        <v>1875</v>
      </c>
      <c r="C904" t="str">
        <f t="shared" si="189"/>
        <v>Jennifer Baker</v>
      </c>
      <c r="D904" t="s">
        <v>12</v>
      </c>
      <c r="E904" t="str">
        <f t="shared" si="194"/>
        <v>Female</v>
      </c>
      <c r="F904">
        <v>53</v>
      </c>
      <c r="G904" t="s">
        <v>116</v>
      </c>
      <c r="H904" t="s">
        <v>117</v>
      </c>
      <c r="I904" t="s">
        <v>22</v>
      </c>
      <c r="J904">
        <v>32</v>
      </c>
      <c r="K904" s="4" t="str" cm="1">
        <f t="array" ref="K904">_xlfn.IFS(J904&lt;=5,"0-5",J904&lt;=10,"6-10",J904&lt;=15,"11-15",J904&lt;=20,"16-20",J904&gt;20,"21+")</f>
        <v>21+</v>
      </c>
      <c r="L904" t="s">
        <v>306</v>
      </c>
      <c r="M904" s="2" t="str">
        <f>TRIM(MID(L904,FIND(" ",L904)+1,LEN(L904)))</f>
        <v>20</v>
      </c>
      <c r="N904" s="8">
        <f t="shared" si="195"/>
        <v>20</v>
      </c>
      <c r="O904">
        <v>0</v>
      </c>
      <c r="P904" t="s">
        <v>23</v>
      </c>
      <c r="Q904" t="s">
        <v>2072</v>
      </c>
    </row>
    <row r="905" spans="1:19" x14ac:dyDescent="0.3">
      <c r="A905" t="s">
        <v>1876</v>
      </c>
      <c r="B905" t="s">
        <v>1877</v>
      </c>
      <c r="C905" t="str">
        <f t="shared" si="189"/>
        <v>Kim Martinez</v>
      </c>
      <c r="D905" t="s">
        <v>31</v>
      </c>
      <c r="E905" t="str">
        <f t="shared" si="194"/>
        <v>Female</v>
      </c>
      <c r="F905">
        <v>53</v>
      </c>
      <c r="G905" t="s">
        <v>63</v>
      </c>
      <c r="H905" t="s">
        <v>64</v>
      </c>
      <c r="I905" t="s">
        <v>15</v>
      </c>
      <c r="J905">
        <v>19</v>
      </c>
      <c r="K905" s="4" t="str" cm="1">
        <f t="array" ref="K905">_xlfn.IFS(J905&lt;=5,"0-5",J905&lt;=10,"6-10",J905&lt;=15,"11-15",J905&lt;=20,"16-20",J905&gt;20,"21+")</f>
        <v>16-20</v>
      </c>
      <c r="L905" t="s">
        <v>306</v>
      </c>
      <c r="M905" s="2" t="str">
        <f>TRIM(MID(L905,FIND(" ",L905)+1,LEN(L905)))</f>
        <v>20</v>
      </c>
      <c r="N905" s="8">
        <f t="shared" si="195"/>
        <v>20</v>
      </c>
      <c r="O905">
        <v>1.3</v>
      </c>
      <c r="P905">
        <v>0</v>
      </c>
      <c r="Q905" t="s">
        <v>2072</v>
      </c>
    </row>
    <row r="906" spans="1:19" x14ac:dyDescent="0.3">
      <c r="A906" t="s">
        <v>1878</v>
      </c>
      <c r="B906" t="s">
        <v>1879</v>
      </c>
      <c r="C906" t="str">
        <f t="shared" si="189"/>
        <v>Andrew Little</v>
      </c>
      <c r="D906" t="s">
        <v>19</v>
      </c>
      <c r="E906" t="str">
        <f t="shared" si="194"/>
        <v>Male</v>
      </c>
      <c r="F906">
        <v>21</v>
      </c>
      <c r="G906" t="s">
        <v>85</v>
      </c>
      <c r="H906" t="s">
        <v>86</v>
      </c>
      <c r="I906" t="s">
        <v>43</v>
      </c>
      <c r="J906">
        <v>2</v>
      </c>
      <c r="K906" s="4" t="str" cm="1">
        <f t="array" ref="K906">_xlfn.IFS(J906&lt;=5,"0-5",J906&lt;=10,"6-10",J906&lt;=15,"11-15",J906&lt;=20,"16-20",J906&gt;20,"21+")</f>
        <v>0-5</v>
      </c>
      <c r="L906">
        <v>50</v>
      </c>
      <c r="M906" s="2">
        <f>L906</f>
        <v>50</v>
      </c>
      <c r="N906" s="8">
        <f t="shared" si="195"/>
        <v>50</v>
      </c>
      <c r="O906">
        <v>2.6</v>
      </c>
      <c r="P906" t="b">
        <v>0</v>
      </c>
      <c r="Q906" t="s">
        <v>2072</v>
      </c>
      <c r="R906" s="1">
        <v>0.86</v>
      </c>
      <c r="S906" s="3">
        <f>R906</f>
        <v>0.86</v>
      </c>
    </row>
    <row r="907" spans="1:19" x14ac:dyDescent="0.3">
      <c r="A907" t="s">
        <v>1880</v>
      </c>
      <c r="B907" t="s">
        <v>1881</v>
      </c>
      <c r="C907" t="str">
        <f t="shared" si="189"/>
        <v>Kelly Shelton</v>
      </c>
      <c r="D907" t="s">
        <v>31</v>
      </c>
      <c r="E907" t="str">
        <f t="shared" si="194"/>
        <v>Female</v>
      </c>
      <c r="F907">
        <v>35</v>
      </c>
      <c r="G907" t="s">
        <v>59</v>
      </c>
      <c r="H907" t="s">
        <v>14</v>
      </c>
      <c r="I907" t="s">
        <v>9</v>
      </c>
      <c r="J907">
        <v>0</v>
      </c>
      <c r="K907" s="4" t="str" cm="1">
        <f t="array" ref="K907">_xlfn.IFS(J907&lt;=5,"0-5",J907&lt;=10,"6-10",J907&lt;=15,"11-15",J907&lt;=20,"16-20",J907&gt;20,"21+")</f>
        <v>0-5</v>
      </c>
      <c r="N907" s="8" t="str">
        <f t="shared" si="195"/>
        <v/>
      </c>
      <c r="P907" t="s">
        <v>66</v>
      </c>
      <c r="Q907" t="s">
        <v>2073</v>
      </c>
      <c r="R907">
        <v>85</v>
      </c>
      <c r="S907" s="3">
        <f t="shared" ref="S907:S908" si="197">R907/100</f>
        <v>0.85</v>
      </c>
    </row>
    <row r="908" spans="1:19" x14ac:dyDescent="0.3">
      <c r="A908" t="s">
        <v>1882</v>
      </c>
      <c r="B908" t="s">
        <v>1883</v>
      </c>
      <c r="C908" t="str">
        <f t="shared" si="189"/>
        <v>Steven Duncan</v>
      </c>
      <c r="D908" t="s">
        <v>89</v>
      </c>
      <c r="E908" t="str">
        <f t="shared" si="194"/>
        <v>Male</v>
      </c>
      <c r="F908">
        <v>31</v>
      </c>
      <c r="G908" t="s">
        <v>63</v>
      </c>
      <c r="H908" t="s">
        <v>64</v>
      </c>
      <c r="I908" t="s">
        <v>106</v>
      </c>
      <c r="J908">
        <v>13</v>
      </c>
      <c r="K908" s="4" t="str" cm="1">
        <f t="array" ref="K908">_xlfn.IFS(J908&lt;=5,"0-5",J908&lt;=10,"6-10",J908&lt;=15,"11-15",J908&lt;=20,"16-20",J908&gt;20,"21+")</f>
        <v>11-15</v>
      </c>
      <c r="L908" t="s">
        <v>28</v>
      </c>
      <c r="M908" s="2" t="str">
        <f>SUBSTITUTE(L908,"$","")</f>
        <v>40</v>
      </c>
      <c r="N908" s="8">
        <f t="shared" si="195"/>
        <v>40</v>
      </c>
      <c r="O908">
        <v>1.2</v>
      </c>
      <c r="P908" t="b">
        <v>0</v>
      </c>
      <c r="Q908" t="s">
        <v>2072</v>
      </c>
      <c r="R908">
        <v>62</v>
      </c>
      <c r="S908" s="3">
        <f t="shared" si="197"/>
        <v>0.62</v>
      </c>
    </row>
    <row r="909" spans="1:19" x14ac:dyDescent="0.3">
      <c r="A909" t="s">
        <v>1884</v>
      </c>
      <c r="B909" t="s">
        <v>1885</v>
      </c>
      <c r="C909" t="str">
        <f t="shared" si="189"/>
        <v>Kristen Haney</v>
      </c>
      <c r="D909" t="s">
        <v>69</v>
      </c>
      <c r="E909" t="str">
        <f t="shared" si="194"/>
        <v>Female</v>
      </c>
      <c r="F909">
        <v>55</v>
      </c>
      <c r="G909" t="s">
        <v>104</v>
      </c>
      <c r="H909" t="s">
        <v>105</v>
      </c>
      <c r="I909" t="s">
        <v>36</v>
      </c>
      <c r="J909">
        <v>2</v>
      </c>
      <c r="K909" s="4" t="str" cm="1">
        <f t="array" ref="K909">_xlfn.IFS(J909&lt;=5,"0-5",J909&lt;=10,"6-10",J909&lt;=15,"11-15",J909&lt;=20,"16-20",J909&gt;20,"21+")</f>
        <v>0-5</v>
      </c>
      <c r="L909" t="s">
        <v>101</v>
      </c>
      <c r="M909" s="2" t="str">
        <f>TRIM(MID(L909,FIND(" ",L909)+1,LEN(L909)))</f>
        <v>30</v>
      </c>
      <c r="N909" s="8">
        <f t="shared" si="195"/>
        <v>30</v>
      </c>
      <c r="O909">
        <v>3.1</v>
      </c>
      <c r="P909" t="s">
        <v>66</v>
      </c>
      <c r="Q909" t="s">
        <v>2073</v>
      </c>
      <c r="R909" s="1">
        <v>0.91</v>
      </c>
      <c r="S909" s="3">
        <f t="shared" ref="S909:S911" si="198">R909</f>
        <v>0.91</v>
      </c>
    </row>
    <row r="910" spans="1:19" x14ac:dyDescent="0.3">
      <c r="A910" t="s">
        <v>1886</v>
      </c>
      <c r="B910" t="s">
        <v>1887</v>
      </c>
      <c r="C910" t="str">
        <f t="shared" si="189"/>
        <v>Kathy Reese</v>
      </c>
      <c r="D910" t="s">
        <v>6</v>
      </c>
      <c r="E910" t="str">
        <f t="shared" si="194"/>
        <v>Female</v>
      </c>
      <c r="F910">
        <v>59</v>
      </c>
      <c r="G910" t="s">
        <v>54</v>
      </c>
      <c r="H910" t="s">
        <v>55</v>
      </c>
      <c r="I910" t="s">
        <v>27</v>
      </c>
      <c r="J910">
        <v>11</v>
      </c>
      <c r="K910" s="4" t="str" cm="1">
        <f t="array" ref="K910">_xlfn.IFS(J910&lt;=5,"0-5",J910&lt;=10,"6-10",J910&lt;=15,"11-15",J910&lt;=20,"16-20",J910&gt;20,"21+")</f>
        <v>11-15</v>
      </c>
      <c r="L910" t="s">
        <v>162</v>
      </c>
      <c r="M910" s="2" t="str">
        <f>SUBSTITUTE(L910,"$","")</f>
        <v>75</v>
      </c>
      <c r="N910" s="8">
        <f t="shared" si="195"/>
        <v>75</v>
      </c>
      <c r="O910">
        <v>2.2999999999999998</v>
      </c>
      <c r="P910" t="s">
        <v>66</v>
      </c>
      <c r="Q910" t="s">
        <v>2073</v>
      </c>
      <c r="R910" s="1">
        <v>0.8</v>
      </c>
      <c r="S910" s="3">
        <f t="shared" si="198"/>
        <v>0.8</v>
      </c>
    </row>
    <row r="911" spans="1:19" x14ac:dyDescent="0.3">
      <c r="A911" t="s">
        <v>1888</v>
      </c>
      <c r="B911" t="s">
        <v>1889</v>
      </c>
      <c r="C911" t="str">
        <f t="shared" si="189"/>
        <v>Steven Murphy</v>
      </c>
      <c r="D911" t="s">
        <v>53</v>
      </c>
      <c r="E911" t="str">
        <f t="shared" si="194"/>
        <v>Male</v>
      </c>
      <c r="F911">
        <v>59</v>
      </c>
      <c r="G911" t="s">
        <v>127</v>
      </c>
      <c r="H911" t="s">
        <v>128</v>
      </c>
      <c r="I911" t="s">
        <v>70</v>
      </c>
      <c r="J911">
        <v>17</v>
      </c>
      <c r="K911" s="4" t="str" cm="1">
        <f t="array" ref="K911">_xlfn.IFS(J911&lt;=5,"0-5",J911&lt;=10,"6-10",J911&lt;=15,"11-15",J911&lt;=20,"16-20",J911&gt;20,"21+")</f>
        <v>16-20</v>
      </c>
      <c r="L911">
        <v>100</v>
      </c>
      <c r="M911" s="2">
        <f>L911</f>
        <v>100</v>
      </c>
      <c r="N911" s="8">
        <f t="shared" si="195"/>
        <v>100</v>
      </c>
      <c r="O911">
        <v>4</v>
      </c>
      <c r="P911" t="s">
        <v>151</v>
      </c>
      <c r="Q911" t="s">
        <v>2072</v>
      </c>
      <c r="R911" s="1">
        <v>0.72</v>
      </c>
      <c r="S911" s="3">
        <f t="shared" si="198"/>
        <v>0.72</v>
      </c>
    </row>
    <row r="912" spans="1:19" x14ac:dyDescent="0.3">
      <c r="A912" t="s">
        <v>1890</v>
      </c>
      <c r="B912" t="s">
        <v>1891</v>
      </c>
      <c r="C912" t="str">
        <f t="shared" si="189"/>
        <v>William Hartman</v>
      </c>
      <c r="D912" t="s">
        <v>84</v>
      </c>
      <c r="E912" t="str">
        <f t="shared" si="194"/>
        <v>Male</v>
      </c>
      <c r="F912">
        <v>47</v>
      </c>
      <c r="G912" t="s">
        <v>85</v>
      </c>
      <c r="H912" t="s">
        <v>86</v>
      </c>
      <c r="I912" t="s">
        <v>9</v>
      </c>
      <c r="J912">
        <v>10</v>
      </c>
      <c r="K912" s="4" t="str" cm="1">
        <f t="array" ref="K912">_xlfn.IFS(J912&lt;=5,"0-5",J912&lt;=10,"6-10",J912&lt;=15,"11-15",J912&lt;=20,"16-20",J912&gt;20,"21+")</f>
        <v>6-10</v>
      </c>
      <c r="L912" t="s">
        <v>162</v>
      </c>
      <c r="M912" s="2" t="str">
        <f>SUBSTITUTE(L912,"$","")</f>
        <v>75</v>
      </c>
      <c r="N912" s="8">
        <f t="shared" si="195"/>
        <v>75</v>
      </c>
      <c r="O912">
        <v>1.9</v>
      </c>
    </row>
    <row r="913" spans="1:19" x14ac:dyDescent="0.3">
      <c r="A913" t="s">
        <v>1892</v>
      </c>
      <c r="B913" t="s">
        <v>1893</v>
      </c>
      <c r="C913" t="str">
        <f t="shared" si="189"/>
        <v>Sonya Haley</v>
      </c>
      <c r="D913" t="s">
        <v>31</v>
      </c>
      <c r="E913" t="str">
        <f t="shared" si="194"/>
        <v>Female</v>
      </c>
      <c r="F913">
        <v>53</v>
      </c>
      <c r="G913" t="s">
        <v>145</v>
      </c>
      <c r="H913" t="s">
        <v>146</v>
      </c>
      <c r="I913" t="s">
        <v>106</v>
      </c>
      <c r="J913">
        <v>26</v>
      </c>
      <c r="K913" s="4" t="str" cm="1">
        <f t="array" ref="K913">_xlfn.IFS(J913&lt;=5,"0-5",J913&lt;=10,"6-10",J913&lt;=15,"11-15",J913&lt;=20,"16-20",J913&gt;20,"21+")</f>
        <v>21+</v>
      </c>
      <c r="L913">
        <v>75</v>
      </c>
      <c r="M913" s="2">
        <f>L913</f>
        <v>75</v>
      </c>
      <c r="N913" s="8">
        <f t="shared" si="195"/>
        <v>75</v>
      </c>
      <c r="O913">
        <v>2.4</v>
      </c>
      <c r="P913" t="s">
        <v>60</v>
      </c>
      <c r="Q913" t="s">
        <v>2073</v>
      </c>
    </row>
    <row r="914" spans="1:19" x14ac:dyDescent="0.3">
      <c r="A914" t="s">
        <v>1894</v>
      </c>
      <c r="B914" t="s">
        <v>511</v>
      </c>
      <c r="C914" t="str">
        <f t="shared" si="189"/>
        <v>Robert Evans</v>
      </c>
      <c r="D914" t="s">
        <v>53</v>
      </c>
      <c r="E914" t="str">
        <f t="shared" si="194"/>
        <v>Male</v>
      </c>
      <c r="F914">
        <v>49</v>
      </c>
      <c r="G914" t="s">
        <v>145</v>
      </c>
      <c r="H914" t="s">
        <v>146</v>
      </c>
      <c r="I914" t="s">
        <v>43</v>
      </c>
      <c r="K914" s="4" t="str" cm="1">
        <f t="array" ref="K914">_xlfn.IFS(J914&lt;=5,"0-5",J914&lt;=10,"6-10",J914&lt;=15,"11-15",J914&lt;=20,"16-20",J914&gt;20,"21+")</f>
        <v>0-5</v>
      </c>
      <c r="L914" t="s">
        <v>37</v>
      </c>
      <c r="M914" s="2" t="str">
        <f>SUBSTITUTE(L914,"$","")</f>
        <v>30</v>
      </c>
      <c r="N914" s="8">
        <f t="shared" si="195"/>
        <v>30</v>
      </c>
      <c r="P914" t="s">
        <v>60</v>
      </c>
      <c r="Q914" t="s">
        <v>2073</v>
      </c>
      <c r="R914" s="1">
        <v>0.74</v>
      </c>
      <c r="S914" s="3">
        <f t="shared" ref="S914:S919" si="199">R914</f>
        <v>0.74</v>
      </c>
    </row>
    <row r="915" spans="1:19" x14ac:dyDescent="0.3">
      <c r="A915" t="s">
        <v>1895</v>
      </c>
      <c r="B915" t="s">
        <v>1896</v>
      </c>
      <c r="C915" t="str">
        <f t="shared" si="189"/>
        <v>Patricia Richardson</v>
      </c>
      <c r="D915" t="s">
        <v>6</v>
      </c>
      <c r="E915" t="str">
        <f t="shared" si="194"/>
        <v>Female</v>
      </c>
      <c r="F915">
        <v>50</v>
      </c>
      <c r="G915" t="s">
        <v>145</v>
      </c>
      <c r="H915" t="s">
        <v>146</v>
      </c>
      <c r="I915" t="s">
        <v>15</v>
      </c>
      <c r="J915">
        <v>8</v>
      </c>
      <c r="K915" s="4" t="str" cm="1">
        <f t="array" ref="K915">_xlfn.IFS(J915&lt;=5,"0-5",J915&lt;=10,"6-10",J915&lt;=15,"11-15",J915&lt;=20,"16-20",J915&gt;20,"21+")</f>
        <v>6-10</v>
      </c>
      <c r="L915" t="s">
        <v>90</v>
      </c>
      <c r="M915" s="2" t="str">
        <f>TRIM(MID(L915,FIND(" ",L915)+1,LEN(L915)))</f>
        <v>50</v>
      </c>
      <c r="N915" s="8">
        <f t="shared" si="195"/>
        <v>50</v>
      </c>
      <c r="O915">
        <v>3.7</v>
      </c>
      <c r="P915" t="s">
        <v>66</v>
      </c>
      <c r="Q915" t="s">
        <v>2073</v>
      </c>
      <c r="R915" s="1">
        <v>0.82</v>
      </c>
      <c r="S915" s="3">
        <f t="shared" si="199"/>
        <v>0.82</v>
      </c>
    </row>
    <row r="916" spans="1:19" x14ac:dyDescent="0.3">
      <c r="A916" t="s">
        <v>1897</v>
      </c>
      <c r="B916" t="s">
        <v>1898</v>
      </c>
      <c r="C916" t="str">
        <f t="shared" si="189"/>
        <v>Carolyn Lopez</v>
      </c>
      <c r="D916" t="s">
        <v>31</v>
      </c>
      <c r="E916" t="str">
        <f t="shared" si="194"/>
        <v>Female</v>
      </c>
      <c r="F916">
        <v>59</v>
      </c>
      <c r="G916" t="s">
        <v>104</v>
      </c>
      <c r="H916" t="s">
        <v>105</v>
      </c>
      <c r="I916" t="s">
        <v>106</v>
      </c>
      <c r="J916">
        <v>22</v>
      </c>
      <c r="K916" s="4" t="str" cm="1">
        <f t="array" ref="K916">_xlfn.IFS(J916&lt;=5,"0-5",J916&lt;=10,"6-10",J916&lt;=15,"11-15",J916&lt;=20,"16-20",J916&gt;20,"21+")</f>
        <v>21+</v>
      </c>
      <c r="L916" t="s">
        <v>16</v>
      </c>
      <c r="M916" s="2" t="str">
        <f>TRIM(MID(L916,FIND(" ",L916)+1,LEN(L916)))</f>
        <v>100</v>
      </c>
      <c r="N916" s="8">
        <f t="shared" si="195"/>
        <v>100</v>
      </c>
      <c r="O916">
        <v>1.1000000000000001</v>
      </c>
      <c r="P916" t="s">
        <v>151</v>
      </c>
      <c r="Q916" t="s">
        <v>2072</v>
      </c>
      <c r="R916" s="1">
        <v>0.85</v>
      </c>
      <c r="S916" s="3">
        <f t="shared" si="199"/>
        <v>0.85</v>
      </c>
    </row>
    <row r="917" spans="1:19" x14ac:dyDescent="0.3">
      <c r="A917" t="s">
        <v>1899</v>
      </c>
      <c r="B917" t="s">
        <v>1900</v>
      </c>
      <c r="C917" t="str">
        <f t="shared" si="189"/>
        <v>Kyle Burns</v>
      </c>
      <c r="D917" t="s">
        <v>84</v>
      </c>
      <c r="E917" t="str">
        <f t="shared" si="194"/>
        <v>Male</v>
      </c>
      <c r="F917">
        <v>33</v>
      </c>
      <c r="G917" t="s">
        <v>54</v>
      </c>
      <c r="H917" t="s">
        <v>55</v>
      </c>
      <c r="I917" t="s">
        <v>43</v>
      </c>
      <c r="J917">
        <v>8</v>
      </c>
      <c r="K917" s="4" t="str" cm="1">
        <f t="array" ref="K917">_xlfn.IFS(J917&lt;=5,"0-5",J917&lt;=10,"6-10",J917&lt;=15,"11-15",J917&lt;=20,"16-20",J917&gt;20,"21+")</f>
        <v>6-10</v>
      </c>
      <c r="L917" t="s">
        <v>44</v>
      </c>
      <c r="M917" s="2" t="str">
        <f>TRIM(MID(L917,FIND(" ",L917)+1,LEN(L917)))</f>
        <v>75</v>
      </c>
      <c r="N917" s="8">
        <f t="shared" si="195"/>
        <v>75</v>
      </c>
      <c r="O917">
        <v>2.2999999999999998</v>
      </c>
      <c r="P917" t="b">
        <v>1</v>
      </c>
      <c r="Q917" t="s">
        <v>2073</v>
      </c>
      <c r="R917" s="1">
        <v>0.68</v>
      </c>
      <c r="S917" s="3">
        <f t="shared" si="199"/>
        <v>0.68</v>
      </c>
    </row>
    <row r="918" spans="1:19" x14ac:dyDescent="0.3">
      <c r="A918" t="s">
        <v>1901</v>
      </c>
      <c r="B918" t="s">
        <v>1902</v>
      </c>
      <c r="C918" t="str">
        <f t="shared" si="189"/>
        <v>Margaret Garcia</v>
      </c>
      <c r="D918" t="s">
        <v>6</v>
      </c>
      <c r="E918" t="str">
        <f t="shared" si="194"/>
        <v>Female</v>
      </c>
      <c r="F918">
        <v>45</v>
      </c>
      <c r="G918" t="s">
        <v>120</v>
      </c>
      <c r="H918" t="s">
        <v>14</v>
      </c>
      <c r="I918" t="s">
        <v>27</v>
      </c>
      <c r="J918">
        <v>22</v>
      </c>
      <c r="K918" s="4" t="str" cm="1">
        <f t="array" ref="K918">_xlfn.IFS(J918&lt;=5,"0-5",J918&lt;=10,"6-10",J918&lt;=15,"11-15",J918&lt;=20,"16-20",J918&gt;20,"21+")</f>
        <v>21+</v>
      </c>
      <c r="L918">
        <v>40</v>
      </c>
      <c r="M918" s="2">
        <f>L918</f>
        <v>40</v>
      </c>
      <c r="N918" s="8">
        <f t="shared" si="195"/>
        <v>40</v>
      </c>
      <c r="O918">
        <v>3.7</v>
      </c>
      <c r="P918" t="s">
        <v>66</v>
      </c>
      <c r="Q918" t="s">
        <v>2073</v>
      </c>
      <c r="R918" s="1">
        <v>0.99</v>
      </c>
      <c r="S918" s="3">
        <f t="shared" si="199"/>
        <v>0.99</v>
      </c>
    </row>
    <row r="919" spans="1:19" x14ac:dyDescent="0.3">
      <c r="A919" t="s">
        <v>1903</v>
      </c>
      <c r="B919" t="s">
        <v>1904</v>
      </c>
      <c r="C919" t="str">
        <f t="shared" si="189"/>
        <v>Brittany Barker</v>
      </c>
      <c r="D919" t="s">
        <v>31</v>
      </c>
      <c r="E919" t="str">
        <f t="shared" si="194"/>
        <v>Female</v>
      </c>
      <c r="F919">
        <v>36</v>
      </c>
      <c r="G919" t="s">
        <v>7</v>
      </c>
      <c r="H919" t="s">
        <v>8</v>
      </c>
      <c r="I919" t="s">
        <v>22</v>
      </c>
      <c r="J919">
        <v>14</v>
      </c>
      <c r="K919" s="4" t="str" cm="1">
        <f t="array" ref="K919">_xlfn.IFS(J919&lt;=5,"0-5",J919&lt;=10,"6-10",J919&lt;=15,"11-15",J919&lt;=20,"16-20",J919&gt;20,"21+")</f>
        <v>11-15</v>
      </c>
      <c r="L919">
        <v>30</v>
      </c>
      <c r="M919" s="2">
        <f>L919</f>
        <v>30</v>
      </c>
      <c r="N919" s="8">
        <f t="shared" si="195"/>
        <v>30</v>
      </c>
      <c r="O919">
        <v>1.9</v>
      </c>
      <c r="P919">
        <v>0</v>
      </c>
      <c r="Q919" t="s">
        <v>2072</v>
      </c>
      <c r="R919" s="1">
        <v>0.62</v>
      </c>
      <c r="S919" s="3">
        <f t="shared" si="199"/>
        <v>0.62</v>
      </c>
    </row>
    <row r="920" spans="1:19" x14ac:dyDescent="0.3">
      <c r="A920" t="s">
        <v>1905</v>
      </c>
      <c r="B920" t="s">
        <v>1906</v>
      </c>
      <c r="C920" t="str">
        <f t="shared" si="189"/>
        <v>Paul Campbell</v>
      </c>
      <c r="D920" t="s">
        <v>19</v>
      </c>
      <c r="E920" t="str">
        <f t="shared" si="194"/>
        <v>Male</v>
      </c>
      <c r="F920">
        <v>46</v>
      </c>
      <c r="G920" t="s">
        <v>145</v>
      </c>
      <c r="H920" t="s">
        <v>146</v>
      </c>
      <c r="I920" t="s">
        <v>65</v>
      </c>
      <c r="J920">
        <v>6</v>
      </c>
      <c r="K920" s="4" t="str" cm="1">
        <f t="array" ref="K920">_xlfn.IFS(J920&lt;=5,"0-5",J920&lt;=10,"6-10",J920&lt;=15,"11-15",J920&lt;=20,"16-20",J920&gt;20,"21+")</f>
        <v>6-10</v>
      </c>
      <c r="L920">
        <v>30</v>
      </c>
      <c r="M920" s="2">
        <f>L920</f>
        <v>30</v>
      </c>
      <c r="N920" s="8">
        <f t="shared" si="195"/>
        <v>30</v>
      </c>
      <c r="O920">
        <v>1.5</v>
      </c>
      <c r="P920" t="s">
        <v>23</v>
      </c>
      <c r="Q920" t="s">
        <v>2072</v>
      </c>
    </row>
    <row r="921" spans="1:19" x14ac:dyDescent="0.3">
      <c r="A921" t="s">
        <v>1907</v>
      </c>
      <c r="B921" t="s">
        <v>1908</v>
      </c>
      <c r="C921" t="str">
        <f t="shared" si="189"/>
        <v>Amy Morrow</v>
      </c>
      <c r="D921" t="s">
        <v>31</v>
      </c>
      <c r="E921" t="str">
        <f t="shared" si="194"/>
        <v>Female</v>
      </c>
      <c r="F921">
        <v>53</v>
      </c>
      <c r="G921" t="s">
        <v>54</v>
      </c>
      <c r="H921" t="s">
        <v>55</v>
      </c>
      <c r="I921" t="s">
        <v>22</v>
      </c>
      <c r="J921">
        <v>14</v>
      </c>
      <c r="K921" s="4" t="str" cm="1">
        <f t="array" ref="K921">_xlfn.IFS(J921&lt;=5,"0-5",J921&lt;=10,"6-10",J921&lt;=15,"11-15",J921&lt;=20,"16-20",J921&gt;20,"21+")</f>
        <v>11-15</v>
      </c>
      <c r="L921">
        <v>30</v>
      </c>
      <c r="M921" s="2">
        <f>L921</f>
        <v>30</v>
      </c>
      <c r="N921" s="8">
        <f t="shared" si="195"/>
        <v>30</v>
      </c>
      <c r="O921">
        <v>0</v>
      </c>
      <c r="P921" t="b">
        <v>0</v>
      </c>
      <c r="Q921" t="s">
        <v>2072</v>
      </c>
      <c r="R921" s="1">
        <v>0.83</v>
      </c>
      <c r="S921" s="3">
        <f t="shared" ref="S921:S923" si="200">R921</f>
        <v>0.83</v>
      </c>
    </row>
    <row r="922" spans="1:19" x14ac:dyDescent="0.3">
      <c r="A922" t="s">
        <v>1909</v>
      </c>
      <c r="B922" t="s">
        <v>1910</v>
      </c>
      <c r="C922" t="str">
        <f t="shared" si="189"/>
        <v>Amy Fitzgerald</v>
      </c>
      <c r="D922" t="s">
        <v>6</v>
      </c>
      <c r="E922" t="str">
        <f t="shared" si="194"/>
        <v>Female</v>
      </c>
      <c r="F922">
        <v>24</v>
      </c>
      <c r="G922" t="s">
        <v>50</v>
      </c>
      <c r="H922" t="s">
        <v>14</v>
      </c>
      <c r="I922" t="s">
        <v>27</v>
      </c>
      <c r="J922">
        <v>2</v>
      </c>
      <c r="K922" s="4" t="str" cm="1">
        <f t="array" ref="K922">_xlfn.IFS(J922&lt;=5,"0-5",J922&lt;=10,"6-10",J922&lt;=15,"11-15",J922&lt;=20,"16-20",J922&gt;20,"21+")</f>
        <v>0-5</v>
      </c>
      <c r="L922">
        <v>30</v>
      </c>
      <c r="M922" s="2">
        <f>L922</f>
        <v>30</v>
      </c>
      <c r="N922" s="8">
        <f t="shared" si="195"/>
        <v>30</v>
      </c>
      <c r="O922">
        <v>3.6</v>
      </c>
      <c r="R922" s="1">
        <v>0.92</v>
      </c>
      <c r="S922" s="3">
        <f t="shared" si="200"/>
        <v>0.92</v>
      </c>
    </row>
    <row r="923" spans="1:19" x14ac:dyDescent="0.3">
      <c r="A923" t="s">
        <v>1911</v>
      </c>
      <c r="B923" t="s">
        <v>1912</v>
      </c>
      <c r="C923" t="str">
        <f t="shared" si="189"/>
        <v>Anita Becker</v>
      </c>
      <c r="D923" t="s">
        <v>31</v>
      </c>
      <c r="E923" t="str">
        <f t="shared" si="194"/>
        <v>Female</v>
      </c>
      <c r="F923">
        <v>49</v>
      </c>
      <c r="G923" t="s">
        <v>182</v>
      </c>
      <c r="H923" t="s">
        <v>64</v>
      </c>
      <c r="I923" t="s">
        <v>81</v>
      </c>
      <c r="J923">
        <v>4</v>
      </c>
      <c r="K923" s="4" t="str" cm="1">
        <f t="array" ref="K923">_xlfn.IFS(J923&lt;=5,"0-5",J923&lt;=10,"6-10",J923&lt;=15,"11-15",J923&lt;=20,"16-20",J923&gt;20,"21+")</f>
        <v>0-5</v>
      </c>
      <c r="L923" t="s">
        <v>162</v>
      </c>
      <c r="M923" s="2" t="str">
        <f>SUBSTITUTE(L923,"$","")</f>
        <v>75</v>
      </c>
      <c r="N923" s="8">
        <f t="shared" si="195"/>
        <v>75</v>
      </c>
      <c r="O923">
        <v>2.1</v>
      </c>
      <c r="R923" s="1">
        <v>0.85</v>
      </c>
      <c r="S923" s="3">
        <f t="shared" si="200"/>
        <v>0.85</v>
      </c>
    </row>
    <row r="924" spans="1:19" x14ac:dyDescent="0.3">
      <c r="A924" t="s">
        <v>1913</v>
      </c>
      <c r="B924" t="s">
        <v>1914</v>
      </c>
      <c r="C924" t="str">
        <f>TRIM(MID(B924,FIND(" ",B924)+1,LEN(B924)))</f>
        <v>Amy Brooks</v>
      </c>
      <c r="D924" t="s">
        <v>26</v>
      </c>
      <c r="E924" t="str">
        <f t="shared" si="194"/>
        <v>Female</v>
      </c>
      <c r="F924">
        <v>49</v>
      </c>
      <c r="G924" t="s">
        <v>104</v>
      </c>
      <c r="H924" t="s">
        <v>105</v>
      </c>
      <c r="I924" t="s">
        <v>36</v>
      </c>
      <c r="J924">
        <v>4</v>
      </c>
      <c r="K924" s="4" t="str" cm="1">
        <f t="array" ref="K924">_xlfn.IFS(J924&lt;=5,"0-5",J924&lt;=10,"6-10",J924&lt;=15,"11-15",J924&lt;=20,"16-20",J924&gt;20,"21+")</f>
        <v>0-5</v>
      </c>
      <c r="L924">
        <v>75</v>
      </c>
      <c r="M924" s="2">
        <f>L924</f>
        <v>75</v>
      </c>
      <c r="N924" s="8">
        <f t="shared" si="195"/>
        <v>75</v>
      </c>
      <c r="O924">
        <v>2.9</v>
      </c>
      <c r="P924" t="s">
        <v>23</v>
      </c>
      <c r="Q924" t="s">
        <v>2072</v>
      </c>
    </row>
    <row r="925" spans="1:19" x14ac:dyDescent="0.3">
      <c r="A925" t="s">
        <v>1915</v>
      </c>
      <c r="B925" t="s">
        <v>1916</v>
      </c>
      <c r="C925" t="str">
        <f t="shared" ref="C925:C964" si="201">B925</f>
        <v>Lori Marshall</v>
      </c>
      <c r="D925" t="s">
        <v>12</v>
      </c>
      <c r="E925" t="str">
        <f t="shared" si="194"/>
        <v>Female</v>
      </c>
      <c r="F925">
        <v>49</v>
      </c>
      <c r="G925" t="s">
        <v>104</v>
      </c>
      <c r="H925" t="s">
        <v>105</v>
      </c>
      <c r="I925" t="s">
        <v>15</v>
      </c>
      <c r="J925">
        <v>24</v>
      </c>
      <c r="K925" s="4" t="str" cm="1">
        <f t="array" ref="K925">_xlfn.IFS(J925&lt;=5,"0-5",J925&lt;=10,"6-10",J925&lt;=15,"11-15",J925&lt;=20,"16-20",J925&gt;20,"21+")</f>
        <v>21+</v>
      </c>
      <c r="L925">
        <v>100</v>
      </c>
      <c r="M925" s="2">
        <f>L925</f>
        <v>100</v>
      </c>
      <c r="N925" s="8">
        <f t="shared" si="195"/>
        <v>100</v>
      </c>
      <c r="O925">
        <v>3.6</v>
      </c>
      <c r="P925" t="b">
        <v>1</v>
      </c>
      <c r="Q925" t="s">
        <v>2073</v>
      </c>
    </row>
    <row r="926" spans="1:19" x14ac:dyDescent="0.3">
      <c r="A926" t="s">
        <v>1917</v>
      </c>
      <c r="B926" t="s">
        <v>1918</v>
      </c>
      <c r="C926" t="str">
        <f t="shared" si="201"/>
        <v>Jennifer Miller</v>
      </c>
      <c r="D926" t="s">
        <v>69</v>
      </c>
      <c r="E926" t="str">
        <f t="shared" si="194"/>
        <v>Female</v>
      </c>
      <c r="F926">
        <v>58</v>
      </c>
      <c r="G926" t="s">
        <v>99</v>
      </c>
      <c r="H926" t="s">
        <v>100</v>
      </c>
      <c r="I926" t="s">
        <v>9</v>
      </c>
      <c r="J926">
        <v>29</v>
      </c>
      <c r="K926" s="4" t="str" cm="1">
        <f t="array" ref="K926">_xlfn.IFS(J926&lt;=5,"0-5",J926&lt;=10,"6-10",J926&lt;=15,"11-15",J926&lt;=20,"16-20",J926&gt;20,"21+")</f>
        <v>21+</v>
      </c>
      <c r="L926">
        <v>30</v>
      </c>
      <c r="M926" s="2">
        <f>L926</f>
        <v>30</v>
      </c>
      <c r="N926" s="8">
        <f t="shared" si="195"/>
        <v>30</v>
      </c>
      <c r="O926">
        <v>3.3</v>
      </c>
      <c r="P926" t="s">
        <v>60</v>
      </c>
      <c r="Q926" t="s">
        <v>2073</v>
      </c>
      <c r="R926" s="1">
        <v>0.89</v>
      </c>
      <c r="S926" s="3">
        <f t="shared" ref="S926:S927" si="202">R926</f>
        <v>0.89</v>
      </c>
    </row>
    <row r="927" spans="1:19" x14ac:dyDescent="0.3">
      <c r="A927" t="s">
        <v>1919</v>
      </c>
      <c r="B927" t="s">
        <v>1920</v>
      </c>
      <c r="C927" t="str">
        <f t="shared" si="201"/>
        <v>Thomas Young</v>
      </c>
      <c r="D927" t="s">
        <v>53</v>
      </c>
      <c r="E927" t="str">
        <f t="shared" si="194"/>
        <v>Male</v>
      </c>
      <c r="F927">
        <v>50</v>
      </c>
      <c r="G927" t="s">
        <v>145</v>
      </c>
      <c r="H927" t="s">
        <v>146</v>
      </c>
      <c r="I927" t="s">
        <v>65</v>
      </c>
      <c r="J927">
        <v>13</v>
      </c>
      <c r="K927" s="4" t="str" cm="1">
        <f t="array" ref="K927">_xlfn.IFS(J927&lt;=5,"0-5",J927&lt;=10,"6-10",J927&lt;=15,"11-15",J927&lt;=20,"16-20",J927&gt;20,"21+")</f>
        <v>11-15</v>
      </c>
      <c r="N927" s="8" t="str">
        <f t="shared" si="195"/>
        <v/>
      </c>
      <c r="O927">
        <v>2.5</v>
      </c>
      <c r="P927" t="s">
        <v>66</v>
      </c>
      <c r="Q927" t="s">
        <v>2073</v>
      </c>
      <c r="R927" s="1">
        <v>0.81</v>
      </c>
      <c r="S927" s="3">
        <f t="shared" si="202"/>
        <v>0.81</v>
      </c>
    </row>
    <row r="928" spans="1:19" x14ac:dyDescent="0.3">
      <c r="A928" t="s">
        <v>1921</v>
      </c>
      <c r="B928" t="s">
        <v>1922</v>
      </c>
      <c r="C928" t="str">
        <f t="shared" si="201"/>
        <v>Zachary Larsen</v>
      </c>
      <c r="D928" t="s">
        <v>84</v>
      </c>
      <c r="E928" t="str">
        <f t="shared" si="194"/>
        <v>Male</v>
      </c>
      <c r="F928">
        <v>27</v>
      </c>
      <c r="G928" t="s">
        <v>145</v>
      </c>
      <c r="H928" t="s">
        <v>146</v>
      </c>
      <c r="I928" t="s">
        <v>81</v>
      </c>
      <c r="J928">
        <v>1</v>
      </c>
      <c r="K928" s="4" t="str" cm="1">
        <f t="array" ref="K928">_xlfn.IFS(J928&lt;=5,"0-5",J928&lt;=10,"6-10",J928&lt;=15,"11-15",J928&lt;=20,"16-20",J928&gt;20,"21+")</f>
        <v>0-5</v>
      </c>
      <c r="L928" t="s">
        <v>16</v>
      </c>
      <c r="M928" s="2" t="str">
        <f>TRIM(MID(L928,FIND(" ",L928)+1,LEN(L928)))</f>
        <v>100</v>
      </c>
      <c r="N928" s="8">
        <f t="shared" si="195"/>
        <v>100</v>
      </c>
      <c r="O928">
        <v>3.7</v>
      </c>
      <c r="P928" t="s">
        <v>66</v>
      </c>
      <c r="Q928" t="s">
        <v>2073</v>
      </c>
      <c r="R928">
        <v>61</v>
      </c>
      <c r="S928" s="3">
        <f>R928/100</f>
        <v>0.61</v>
      </c>
    </row>
    <row r="929" spans="1:19" x14ac:dyDescent="0.3">
      <c r="A929" t="s">
        <v>1923</v>
      </c>
      <c r="B929" t="s">
        <v>1924</v>
      </c>
      <c r="C929" t="str">
        <f t="shared" si="201"/>
        <v>Valerie Gutierrez</v>
      </c>
      <c r="D929" t="s">
        <v>26</v>
      </c>
      <c r="E929" t="str">
        <f t="shared" si="194"/>
        <v>Female</v>
      </c>
      <c r="F929">
        <v>20</v>
      </c>
      <c r="G929" t="s">
        <v>104</v>
      </c>
      <c r="H929" t="s">
        <v>105</v>
      </c>
      <c r="I929" t="s">
        <v>106</v>
      </c>
      <c r="K929" s="4" t="str" cm="1">
        <f t="array" ref="K929">_xlfn.IFS(J929&lt;=5,"0-5",J929&lt;=10,"6-10",J929&lt;=15,"11-15",J929&lt;=20,"16-20",J929&gt;20,"21+")</f>
        <v>0-5</v>
      </c>
      <c r="L929" t="s">
        <v>37</v>
      </c>
      <c r="M929" s="2" t="str">
        <f>SUBSTITUTE(L929,"$","")</f>
        <v>30</v>
      </c>
      <c r="N929" s="8">
        <f t="shared" si="195"/>
        <v>30</v>
      </c>
      <c r="O929">
        <v>4.5999999999999996</v>
      </c>
      <c r="P929">
        <v>1</v>
      </c>
      <c r="Q929" t="s">
        <v>2073</v>
      </c>
    </row>
    <row r="930" spans="1:19" x14ac:dyDescent="0.3">
      <c r="A930" t="s">
        <v>1925</v>
      </c>
      <c r="B930" t="s">
        <v>1926</v>
      </c>
      <c r="C930" t="str">
        <f t="shared" si="201"/>
        <v>Daniel Parker</v>
      </c>
      <c r="D930" t="s">
        <v>53</v>
      </c>
      <c r="E930" t="str">
        <f t="shared" si="194"/>
        <v>Male</v>
      </c>
      <c r="F930">
        <v>52</v>
      </c>
      <c r="G930" t="s">
        <v>116</v>
      </c>
      <c r="H930" t="s">
        <v>117</v>
      </c>
      <c r="I930" t="s">
        <v>9</v>
      </c>
      <c r="J930">
        <v>15</v>
      </c>
      <c r="K930" s="4" t="str" cm="1">
        <f t="array" ref="K930">_xlfn.IFS(J930&lt;=5,"0-5",J930&lt;=10,"6-10",J930&lt;=15,"11-15",J930&lt;=20,"16-20",J930&gt;20,"21+")</f>
        <v>11-15</v>
      </c>
      <c r="L930" t="s">
        <v>28</v>
      </c>
      <c r="M930" s="2" t="str">
        <f>SUBSTITUTE(L930,"$","")</f>
        <v>40</v>
      </c>
      <c r="N930" s="8">
        <f t="shared" si="195"/>
        <v>40</v>
      </c>
      <c r="O930">
        <v>0</v>
      </c>
      <c r="P930">
        <v>1</v>
      </c>
      <c r="Q930" t="s">
        <v>2073</v>
      </c>
      <c r="R930" s="1">
        <v>0.92</v>
      </c>
      <c r="S930" s="3">
        <f t="shared" ref="S930:S935" si="203">R930</f>
        <v>0.92</v>
      </c>
    </row>
    <row r="931" spans="1:19" x14ac:dyDescent="0.3">
      <c r="A931" t="s">
        <v>1927</v>
      </c>
      <c r="B931" t="s">
        <v>1928</v>
      </c>
      <c r="C931" t="str">
        <f t="shared" si="201"/>
        <v>Nicole Bennett</v>
      </c>
      <c r="D931" t="s">
        <v>69</v>
      </c>
      <c r="E931" t="str">
        <f t="shared" si="194"/>
        <v>Female</v>
      </c>
      <c r="F931">
        <v>22</v>
      </c>
      <c r="G931" t="s">
        <v>127</v>
      </c>
      <c r="H931" t="s">
        <v>128</v>
      </c>
      <c r="I931" t="s">
        <v>106</v>
      </c>
      <c r="J931">
        <v>2</v>
      </c>
      <c r="K931" s="4" t="str" cm="1">
        <f t="array" ref="K931">_xlfn.IFS(J931&lt;=5,"0-5",J931&lt;=10,"6-10",J931&lt;=15,"11-15",J931&lt;=20,"16-20",J931&gt;20,"21+")</f>
        <v>0-5</v>
      </c>
      <c r="L931">
        <v>30</v>
      </c>
      <c r="M931" s="2">
        <f>L931</f>
        <v>30</v>
      </c>
      <c r="N931" s="8">
        <f t="shared" si="195"/>
        <v>30</v>
      </c>
      <c r="O931">
        <v>2</v>
      </c>
      <c r="P931" t="s">
        <v>151</v>
      </c>
      <c r="Q931" t="s">
        <v>2072</v>
      </c>
      <c r="R931" s="1">
        <v>0.96</v>
      </c>
      <c r="S931" s="3">
        <f t="shared" si="203"/>
        <v>0.96</v>
      </c>
    </row>
    <row r="932" spans="1:19" x14ac:dyDescent="0.3">
      <c r="A932" t="s">
        <v>1929</v>
      </c>
      <c r="B932" t="s">
        <v>1930</v>
      </c>
      <c r="C932" t="str">
        <f t="shared" si="201"/>
        <v>Lauren Lowery</v>
      </c>
      <c r="D932" t="s">
        <v>69</v>
      </c>
      <c r="E932" t="str">
        <f t="shared" si="194"/>
        <v>Female</v>
      </c>
      <c r="F932">
        <v>38</v>
      </c>
      <c r="G932" t="s">
        <v>54</v>
      </c>
      <c r="H932" t="s">
        <v>55</v>
      </c>
      <c r="I932" t="s">
        <v>27</v>
      </c>
      <c r="J932">
        <v>14</v>
      </c>
      <c r="K932" s="4" t="str" cm="1">
        <f t="array" ref="K932">_xlfn.IFS(J932&lt;=5,"0-5",J932&lt;=10,"6-10",J932&lt;=15,"11-15",J932&lt;=20,"16-20",J932&gt;20,"21+")</f>
        <v>11-15</v>
      </c>
      <c r="L932">
        <v>100</v>
      </c>
      <c r="M932" s="2">
        <f>L932</f>
        <v>100</v>
      </c>
      <c r="N932" s="8">
        <f t="shared" si="195"/>
        <v>100</v>
      </c>
      <c r="O932">
        <v>1.7</v>
      </c>
      <c r="P932" t="b">
        <v>0</v>
      </c>
      <c r="Q932" t="s">
        <v>2072</v>
      </c>
      <c r="R932" s="1">
        <v>0.66</v>
      </c>
      <c r="S932" s="3">
        <f t="shared" si="203"/>
        <v>0.66</v>
      </c>
    </row>
    <row r="933" spans="1:19" x14ac:dyDescent="0.3">
      <c r="A933" t="s">
        <v>1931</v>
      </c>
      <c r="B933" t="s">
        <v>1932</v>
      </c>
      <c r="C933" t="str">
        <f t="shared" si="201"/>
        <v>Alexander Woodward</v>
      </c>
      <c r="D933" t="s">
        <v>19</v>
      </c>
      <c r="E933" t="str">
        <f t="shared" si="194"/>
        <v>Male</v>
      </c>
      <c r="F933">
        <v>21</v>
      </c>
      <c r="G933" t="s">
        <v>120</v>
      </c>
      <c r="H933" t="s">
        <v>14</v>
      </c>
      <c r="I933" t="s">
        <v>22</v>
      </c>
      <c r="J933">
        <v>0</v>
      </c>
      <c r="K933" s="4" t="str" cm="1">
        <f t="array" ref="K933">_xlfn.IFS(J933&lt;=5,"0-5",J933&lt;=10,"6-10",J933&lt;=15,"11-15",J933&lt;=20,"16-20",J933&gt;20,"21+")</f>
        <v>0-5</v>
      </c>
      <c r="L933" t="s">
        <v>16</v>
      </c>
      <c r="M933" s="2" t="str">
        <f>TRIM(MID(L933,FIND(" ",L933)+1,LEN(L933)))</f>
        <v>100</v>
      </c>
      <c r="N933" s="8">
        <f t="shared" si="195"/>
        <v>100</v>
      </c>
      <c r="O933">
        <v>3</v>
      </c>
      <c r="P933" t="s">
        <v>23</v>
      </c>
      <c r="Q933" t="s">
        <v>2072</v>
      </c>
      <c r="R933" s="1">
        <v>0.64</v>
      </c>
      <c r="S933" s="3">
        <f t="shared" si="203"/>
        <v>0.64</v>
      </c>
    </row>
    <row r="934" spans="1:19" x14ac:dyDescent="0.3">
      <c r="A934" t="s">
        <v>1933</v>
      </c>
      <c r="B934" t="s">
        <v>1934</v>
      </c>
      <c r="C934" t="str">
        <f t="shared" si="201"/>
        <v>Anthony Walter</v>
      </c>
      <c r="D934" t="s">
        <v>53</v>
      </c>
      <c r="E934" t="str">
        <f t="shared" si="194"/>
        <v>Male</v>
      </c>
      <c r="F934">
        <v>41</v>
      </c>
      <c r="G934" t="s">
        <v>13</v>
      </c>
      <c r="H934" t="s">
        <v>14</v>
      </c>
      <c r="I934" t="s">
        <v>36</v>
      </c>
      <c r="J934">
        <v>15</v>
      </c>
      <c r="K934" s="4" t="str" cm="1">
        <f t="array" ref="K934">_xlfn.IFS(J934&lt;=5,"0-5",J934&lt;=10,"6-10",J934&lt;=15,"11-15",J934&lt;=20,"16-20",J934&gt;20,"21+")</f>
        <v>11-15</v>
      </c>
      <c r="L934">
        <v>40</v>
      </c>
      <c r="M934" s="2">
        <f>L934</f>
        <v>40</v>
      </c>
      <c r="N934" s="8">
        <f t="shared" si="195"/>
        <v>40</v>
      </c>
      <c r="O934">
        <v>3.4</v>
      </c>
      <c r="P934" t="b">
        <v>0</v>
      </c>
      <c r="Q934" t="s">
        <v>2072</v>
      </c>
      <c r="R934" s="1">
        <v>1</v>
      </c>
      <c r="S934" s="3">
        <f t="shared" si="203"/>
        <v>1</v>
      </c>
    </row>
    <row r="935" spans="1:19" x14ac:dyDescent="0.3">
      <c r="A935" t="s">
        <v>1935</v>
      </c>
      <c r="B935" t="s">
        <v>1936</v>
      </c>
      <c r="C935" t="str">
        <f t="shared" si="201"/>
        <v>Valerie Finley</v>
      </c>
      <c r="D935" t="s">
        <v>31</v>
      </c>
      <c r="E935" t="str">
        <f t="shared" si="194"/>
        <v>Female</v>
      </c>
      <c r="F935">
        <v>33</v>
      </c>
      <c r="G935" t="s">
        <v>41</v>
      </c>
      <c r="H935" t="s">
        <v>42</v>
      </c>
      <c r="I935" t="s">
        <v>9</v>
      </c>
      <c r="J935">
        <v>6</v>
      </c>
      <c r="K935" s="4" t="str" cm="1">
        <f t="array" ref="K935">_xlfn.IFS(J935&lt;=5,"0-5",J935&lt;=10,"6-10",J935&lt;=15,"11-15",J935&lt;=20,"16-20",J935&gt;20,"21+")</f>
        <v>6-10</v>
      </c>
      <c r="L935">
        <v>40</v>
      </c>
      <c r="M935" s="2">
        <f>L935</f>
        <v>40</v>
      </c>
      <c r="N935" s="8">
        <f t="shared" si="195"/>
        <v>40</v>
      </c>
      <c r="O935">
        <v>3.2</v>
      </c>
      <c r="P935">
        <v>1</v>
      </c>
      <c r="Q935" t="s">
        <v>2073</v>
      </c>
      <c r="R935" s="1">
        <v>0.95</v>
      </c>
      <c r="S935" s="3">
        <f t="shared" si="203"/>
        <v>0.95</v>
      </c>
    </row>
    <row r="936" spans="1:19" x14ac:dyDescent="0.3">
      <c r="A936" t="s">
        <v>1937</v>
      </c>
      <c r="B936" t="s">
        <v>1938</v>
      </c>
      <c r="C936" t="str">
        <f t="shared" si="201"/>
        <v>Deborah Kelley</v>
      </c>
      <c r="D936" t="s">
        <v>6</v>
      </c>
      <c r="E936" t="str">
        <f t="shared" si="194"/>
        <v>Female</v>
      </c>
      <c r="F936">
        <v>38</v>
      </c>
      <c r="G936" t="s">
        <v>171</v>
      </c>
      <c r="H936" t="s">
        <v>64</v>
      </c>
      <c r="I936" t="s">
        <v>15</v>
      </c>
      <c r="J936">
        <v>11</v>
      </c>
      <c r="K936" s="4" t="str" cm="1">
        <f t="array" ref="K936">_xlfn.IFS(J936&lt;=5,"0-5",J936&lt;=10,"6-10",J936&lt;=15,"11-15",J936&lt;=20,"16-20",J936&gt;20,"21+")</f>
        <v>11-15</v>
      </c>
      <c r="N936" s="8" t="str">
        <f t="shared" si="195"/>
        <v/>
      </c>
      <c r="O936">
        <v>2.8</v>
      </c>
      <c r="R936">
        <v>91</v>
      </c>
      <c r="S936" s="3">
        <f>R936/100</f>
        <v>0.91</v>
      </c>
    </row>
    <row r="937" spans="1:19" x14ac:dyDescent="0.3">
      <c r="A937" t="s">
        <v>1939</v>
      </c>
      <c r="B937" t="s">
        <v>1940</v>
      </c>
      <c r="C937" t="str">
        <f t="shared" si="201"/>
        <v>Kristina Miller</v>
      </c>
      <c r="D937" t="s">
        <v>26</v>
      </c>
      <c r="E937" t="str">
        <f t="shared" si="194"/>
        <v>Female</v>
      </c>
      <c r="F937">
        <v>26</v>
      </c>
      <c r="G937" t="s">
        <v>116</v>
      </c>
      <c r="H937" t="s">
        <v>117</v>
      </c>
      <c r="I937" t="s">
        <v>81</v>
      </c>
      <c r="J937">
        <v>8</v>
      </c>
      <c r="K937" s="4" t="str" cm="1">
        <f t="array" ref="K937">_xlfn.IFS(J937&lt;=5,"0-5",J937&lt;=10,"6-10",J937&lt;=15,"11-15",J937&lt;=20,"16-20",J937&gt;20,"21+")</f>
        <v>6-10</v>
      </c>
      <c r="L937" t="s">
        <v>306</v>
      </c>
      <c r="M937" s="2" t="str">
        <f>TRIM(MID(L937,FIND(" ",L937)+1,LEN(L937)))</f>
        <v>20</v>
      </c>
      <c r="N937" s="8">
        <f t="shared" si="195"/>
        <v>20</v>
      </c>
      <c r="O937">
        <v>4.0999999999999996</v>
      </c>
      <c r="P937" t="s">
        <v>60</v>
      </c>
      <c r="Q937" t="s">
        <v>2073</v>
      </c>
      <c r="R937" s="1">
        <v>0.82</v>
      </c>
      <c r="S937" s="3">
        <f t="shared" ref="S937:S939" si="204">R937</f>
        <v>0.82</v>
      </c>
    </row>
    <row r="938" spans="1:19" x14ac:dyDescent="0.3">
      <c r="A938" t="s">
        <v>1941</v>
      </c>
      <c r="B938" t="s">
        <v>1942</v>
      </c>
      <c r="C938" t="str">
        <f t="shared" si="201"/>
        <v>Anne Hampton</v>
      </c>
      <c r="D938" t="s">
        <v>6</v>
      </c>
      <c r="E938" t="str">
        <f t="shared" si="194"/>
        <v>Female</v>
      </c>
      <c r="F938">
        <v>43</v>
      </c>
      <c r="G938" t="s">
        <v>34</v>
      </c>
      <c r="H938" t="s">
        <v>35</v>
      </c>
      <c r="I938" t="s">
        <v>36</v>
      </c>
      <c r="J938">
        <v>3</v>
      </c>
      <c r="K938" s="4" t="str" cm="1">
        <f t="array" ref="K938">_xlfn.IFS(J938&lt;=5,"0-5",J938&lt;=10,"6-10",J938&lt;=15,"11-15",J938&lt;=20,"16-20",J938&gt;20,"21+")</f>
        <v>0-5</v>
      </c>
      <c r="L938">
        <v>20</v>
      </c>
      <c r="M938" s="2">
        <f>L938</f>
        <v>20</v>
      </c>
      <c r="N938" s="8">
        <f t="shared" si="195"/>
        <v>20</v>
      </c>
      <c r="O938">
        <v>0</v>
      </c>
      <c r="P938" t="s">
        <v>66</v>
      </c>
      <c r="Q938" t="s">
        <v>2073</v>
      </c>
      <c r="R938" s="1">
        <v>0.95</v>
      </c>
      <c r="S938" s="3">
        <f t="shared" si="204"/>
        <v>0.95</v>
      </c>
    </row>
    <row r="939" spans="1:19" x14ac:dyDescent="0.3">
      <c r="A939" t="s">
        <v>1943</v>
      </c>
      <c r="B939" t="s">
        <v>1944</v>
      </c>
      <c r="C939" t="str">
        <f t="shared" si="201"/>
        <v>Sandra Henry</v>
      </c>
      <c r="D939" t="s">
        <v>69</v>
      </c>
      <c r="E939" t="str">
        <f t="shared" si="194"/>
        <v>Female</v>
      </c>
      <c r="F939">
        <v>21</v>
      </c>
      <c r="G939" t="s">
        <v>7</v>
      </c>
      <c r="H939" t="s">
        <v>8</v>
      </c>
      <c r="I939" t="s">
        <v>70</v>
      </c>
      <c r="J939">
        <v>0</v>
      </c>
      <c r="K939" s="4" t="str" cm="1">
        <f t="array" ref="K939">_xlfn.IFS(J939&lt;=5,"0-5",J939&lt;=10,"6-10",J939&lt;=15,"11-15",J939&lt;=20,"16-20",J939&gt;20,"21+")</f>
        <v>0-5</v>
      </c>
      <c r="N939" s="8" t="str">
        <f t="shared" si="195"/>
        <v/>
      </c>
      <c r="O939">
        <v>0</v>
      </c>
      <c r="P939">
        <v>1</v>
      </c>
      <c r="Q939" t="s">
        <v>2073</v>
      </c>
      <c r="R939" s="1">
        <v>0.95</v>
      </c>
      <c r="S939" s="3">
        <f t="shared" si="204"/>
        <v>0.95</v>
      </c>
    </row>
    <row r="940" spans="1:19" x14ac:dyDescent="0.3">
      <c r="A940" t="s">
        <v>1945</v>
      </c>
      <c r="B940" t="s">
        <v>1946</v>
      </c>
      <c r="C940" t="str">
        <f t="shared" si="201"/>
        <v>Tony Hester</v>
      </c>
      <c r="D940" t="s">
        <v>53</v>
      </c>
      <c r="E940" t="str">
        <f t="shared" si="194"/>
        <v>Male</v>
      </c>
      <c r="F940">
        <v>47</v>
      </c>
      <c r="G940" t="s">
        <v>104</v>
      </c>
      <c r="H940" t="s">
        <v>105</v>
      </c>
      <c r="I940" t="s">
        <v>15</v>
      </c>
      <c r="J940">
        <v>7</v>
      </c>
      <c r="K940" s="4" t="str" cm="1">
        <f t="array" ref="K940">_xlfn.IFS(J940&lt;=5,"0-5",J940&lt;=10,"6-10",J940&lt;=15,"11-15",J940&lt;=20,"16-20",J940&gt;20,"21+")</f>
        <v>6-10</v>
      </c>
      <c r="L940" t="s">
        <v>101</v>
      </c>
      <c r="M940" s="2" t="str">
        <f>TRIM(MID(L940,FIND(" ",L940)+1,LEN(L940)))</f>
        <v>30</v>
      </c>
      <c r="N940" s="8">
        <f t="shared" si="195"/>
        <v>30</v>
      </c>
      <c r="R940">
        <v>69</v>
      </c>
      <c r="S940" s="3">
        <f>R940/100</f>
        <v>0.69</v>
      </c>
    </row>
    <row r="941" spans="1:19" x14ac:dyDescent="0.3">
      <c r="A941" t="s">
        <v>1947</v>
      </c>
      <c r="B941" t="s">
        <v>1948</v>
      </c>
      <c r="C941" t="str">
        <f t="shared" si="201"/>
        <v>Nathan Davis</v>
      </c>
      <c r="D941" t="s">
        <v>53</v>
      </c>
      <c r="E941" t="str">
        <f t="shared" si="194"/>
        <v>Male</v>
      </c>
      <c r="F941">
        <v>35</v>
      </c>
      <c r="G941" t="s">
        <v>182</v>
      </c>
      <c r="H941" t="s">
        <v>64</v>
      </c>
      <c r="I941" t="s">
        <v>22</v>
      </c>
      <c r="J941">
        <v>6</v>
      </c>
      <c r="K941" s="4" t="str" cm="1">
        <f t="array" ref="K941">_xlfn.IFS(J941&lt;=5,"0-5",J941&lt;=10,"6-10",J941&lt;=15,"11-15",J941&lt;=20,"16-20",J941&gt;20,"21+")</f>
        <v>6-10</v>
      </c>
      <c r="L941">
        <v>40</v>
      </c>
      <c r="M941" s="2">
        <f>L941</f>
        <v>40</v>
      </c>
      <c r="N941" s="8">
        <f t="shared" si="195"/>
        <v>40</v>
      </c>
      <c r="P941" t="s">
        <v>60</v>
      </c>
      <c r="Q941" t="s">
        <v>2073</v>
      </c>
      <c r="R941" s="1">
        <v>0.91</v>
      </c>
      <c r="S941" s="3">
        <f>R941</f>
        <v>0.91</v>
      </c>
    </row>
    <row r="942" spans="1:19" x14ac:dyDescent="0.3">
      <c r="A942" t="s">
        <v>1949</v>
      </c>
      <c r="B942" t="s">
        <v>1950</v>
      </c>
      <c r="C942" t="str">
        <f t="shared" si="201"/>
        <v>Erica Jackson</v>
      </c>
      <c r="D942" t="s">
        <v>69</v>
      </c>
      <c r="E942" t="str">
        <f t="shared" si="194"/>
        <v>Female</v>
      </c>
      <c r="F942">
        <v>37</v>
      </c>
      <c r="G942" t="s">
        <v>41</v>
      </c>
      <c r="H942" t="s">
        <v>42</v>
      </c>
      <c r="I942" t="s">
        <v>15</v>
      </c>
      <c r="J942">
        <v>9</v>
      </c>
      <c r="K942" s="4" t="str" cm="1">
        <f t="array" ref="K942">_xlfn.IFS(J942&lt;=5,"0-5",J942&lt;=10,"6-10",J942&lt;=15,"11-15",J942&lt;=20,"16-20",J942&gt;20,"21+")</f>
        <v>6-10</v>
      </c>
      <c r="L942" t="s">
        <v>37</v>
      </c>
      <c r="M942" s="2" t="str">
        <f>SUBSTITUTE(L942,"$","")</f>
        <v>30</v>
      </c>
      <c r="N942" s="8">
        <f t="shared" si="195"/>
        <v>30</v>
      </c>
      <c r="O942">
        <v>2.7</v>
      </c>
      <c r="P942">
        <v>1</v>
      </c>
      <c r="Q942" t="s">
        <v>2073</v>
      </c>
    </row>
    <row r="943" spans="1:19" x14ac:dyDescent="0.3">
      <c r="A943" t="s">
        <v>1951</v>
      </c>
      <c r="B943" t="s">
        <v>1952</v>
      </c>
      <c r="C943" t="str">
        <f t="shared" si="201"/>
        <v>Nancy Glover</v>
      </c>
      <c r="D943" t="s">
        <v>12</v>
      </c>
      <c r="E943" t="str">
        <f t="shared" si="194"/>
        <v>Female</v>
      </c>
      <c r="F943">
        <v>38</v>
      </c>
      <c r="G943" t="s">
        <v>99</v>
      </c>
      <c r="H943" t="s">
        <v>100</v>
      </c>
      <c r="I943" t="s">
        <v>36</v>
      </c>
      <c r="J943">
        <v>15</v>
      </c>
      <c r="K943" s="4" t="str" cm="1">
        <f t="array" ref="K943">_xlfn.IFS(J943&lt;=5,"0-5",J943&lt;=10,"6-10",J943&lt;=15,"11-15",J943&lt;=20,"16-20",J943&gt;20,"21+")</f>
        <v>11-15</v>
      </c>
      <c r="L943">
        <v>40</v>
      </c>
      <c r="M943" s="2">
        <f>L943</f>
        <v>40</v>
      </c>
      <c r="N943" s="8">
        <f t="shared" si="195"/>
        <v>40</v>
      </c>
      <c r="O943">
        <v>4</v>
      </c>
      <c r="R943" s="1">
        <v>0.62</v>
      </c>
      <c r="S943" s="3">
        <f t="shared" ref="S943:S954" si="205">R943</f>
        <v>0.62</v>
      </c>
    </row>
    <row r="944" spans="1:19" x14ac:dyDescent="0.3">
      <c r="A944" t="s">
        <v>1953</v>
      </c>
      <c r="B944" t="s">
        <v>1954</v>
      </c>
      <c r="C944" t="str">
        <f t="shared" si="201"/>
        <v>Richard Sanchez</v>
      </c>
      <c r="D944" t="s">
        <v>53</v>
      </c>
      <c r="E944" t="str">
        <f t="shared" si="194"/>
        <v>Male</v>
      </c>
      <c r="F944">
        <v>40</v>
      </c>
      <c r="G944" t="s">
        <v>120</v>
      </c>
      <c r="H944" t="s">
        <v>14</v>
      </c>
      <c r="I944" t="s">
        <v>43</v>
      </c>
      <c r="J944">
        <v>20</v>
      </c>
      <c r="K944" s="4" t="str" cm="1">
        <f t="array" ref="K944">_xlfn.IFS(J944&lt;=5,"0-5",J944&lt;=10,"6-10",J944&lt;=15,"11-15",J944&lt;=20,"16-20",J944&gt;20,"21+")</f>
        <v>16-20</v>
      </c>
      <c r="L944">
        <v>20</v>
      </c>
      <c r="M944" s="2">
        <f>L944</f>
        <v>20</v>
      </c>
      <c r="N944" s="8">
        <f t="shared" si="195"/>
        <v>20</v>
      </c>
      <c r="O944">
        <v>2.5</v>
      </c>
      <c r="P944">
        <v>0</v>
      </c>
      <c r="Q944" t="s">
        <v>2072</v>
      </c>
      <c r="R944" s="1">
        <v>0.81</v>
      </c>
      <c r="S944" s="3">
        <f t="shared" si="205"/>
        <v>0.81</v>
      </c>
    </row>
    <row r="945" spans="1:19" x14ac:dyDescent="0.3">
      <c r="A945" t="s">
        <v>1955</v>
      </c>
      <c r="B945" t="s">
        <v>1956</v>
      </c>
      <c r="C945" t="str">
        <f t="shared" si="201"/>
        <v>Savannah Reid</v>
      </c>
      <c r="D945" t="s">
        <v>6</v>
      </c>
      <c r="E945" t="str">
        <f t="shared" si="194"/>
        <v>Female</v>
      </c>
      <c r="F945">
        <v>46</v>
      </c>
      <c r="G945" t="s">
        <v>99</v>
      </c>
      <c r="H945" t="s">
        <v>100</v>
      </c>
      <c r="I945" t="s">
        <v>43</v>
      </c>
      <c r="J945">
        <v>16</v>
      </c>
      <c r="K945" s="4" t="str" cm="1">
        <f t="array" ref="K945">_xlfn.IFS(J945&lt;=5,"0-5",J945&lt;=10,"6-10",J945&lt;=15,"11-15",J945&lt;=20,"16-20",J945&gt;20,"21+")</f>
        <v>16-20</v>
      </c>
      <c r="L945">
        <v>75</v>
      </c>
      <c r="M945" s="2">
        <f>L945</f>
        <v>75</v>
      </c>
      <c r="N945" s="8">
        <f t="shared" si="195"/>
        <v>75</v>
      </c>
      <c r="O945">
        <v>0</v>
      </c>
      <c r="P945" t="s">
        <v>151</v>
      </c>
      <c r="Q945" t="s">
        <v>2072</v>
      </c>
      <c r="R945" s="1">
        <v>0.94</v>
      </c>
      <c r="S945" s="3">
        <f t="shared" si="205"/>
        <v>0.94</v>
      </c>
    </row>
    <row r="946" spans="1:19" x14ac:dyDescent="0.3">
      <c r="A946" t="s">
        <v>1957</v>
      </c>
      <c r="B946" t="s">
        <v>1958</v>
      </c>
      <c r="C946" t="str">
        <f t="shared" si="201"/>
        <v>Robert Salazar</v>
      </c>
      <c r="D946" t="s">
        <v>40</v>
      </c>
      <c r="E946" t="str">
        <f t="shared" si="194"/>
        <v>Male</v>
      </c>
      <c r="F946">
        <v>56</v>
      </c>
      <c r="G946" t="s">
        <v>131</v>
      </c>
      <c r="H946" t="s">
        <v>132</v>
      </c>
      <c r="I946" t="s">
        <v>81</v>
      </c>
      <c r="J946">
        <v>22</v>
      </c>
      <c r="K946" s="4" t="str" cm="1">
        <f t="array" ref="K946">_xlfn.IFS(J946&lt;=5,"0-5",J946&lt;=10,"6-10",J946&lt;=15,"11-15",J946&lt;=20,"16-20",J946&gt;20,"21+")</f>
        <v>21+</v>
      </c>
      <c r="L946" t="s">
        <v>101</v>
      </c>
      <c r="M946" s="2" t="str">
        <f>TRIM(MID(L946,FIND(" ",L946)+1,LEN(L946)))</f>
        <v>30</v>
      </c>
      <c r="N946" s="8">
        <f t="shared" si="195"/>
        <v>30</v>
      </c>
      <c r="P946" t="s">
        <v>151</v>
      </c>
      <c r="Q946" t="s">
        <v>2072</v>
      </c>
      <c r="R946" s="1">
        <v>0.95</v>
      </c>
      <c r="S946" s="3">
        <f t="shared" si="205"/>
        <v>0.95</v>
      </c>
    </row>
    <row r="947" spans="1:19" x14ac:dyDescent="0.3">
      <c r="A947" t="s">
        <v>1959</v>
      </c>
      <c r="B947" t="s">
        <v>1960</v>
      </c>
      <c r="C947" t="str">
        <f t="shared" si="201"/>
        <v>Hector Greer</v>
      </c>
      <c r="D947" t="s">
        <v>40</v>
      </c>
      <c r="E947" t="str">
        <f t="shared" si="194"/>
        <v>Male</v>
      </c>
      <c r="F947">
        <v>24</v>
      </c>
      <c r="G947" t="s">
        <v>54</v>
      </c>
      <c r="H947" t="s">
        <v>55</v>
      </c>
      <c r="I947" t="s">
        <v>22</v>
      </c>
      <c r="J947">
        <v>2</v>
      </c>
      <c r="K947" s="4" t="str" cm="1">
        <f t="array" ref="K947">_xlfn.IFS(J947&lt;=5,"0-5",J947&lt;=10,"6-10",J947&lt;=15,"11-15",J947&lt;=20,"16-20",J947&gt;20,"21+")</f>
        <v>0-5</v>
      </c>
      <c r="N947" s="8" t="str">
        <f t="shared" si="195"/>
        <v/>
      </c>
      <c r="O947">
        <v>1.6</v>
      </c>
      <c r="P947" t="s">
        <v>151</v>
      </c>
      <c r="Q947" t="s">
        <v>2072</v>
      </c>
      <c r="R947" s="1">
        <v>1</v>
      </c>
      <c r="S947" s="3">
        <f t="shared" si="205"/>
        <v>1</v>
      </c>
    </row>
    <row r="948" spans="1:19" x14ac:dyDescent="0.3">
      <c r="A948" t="s">
        <v>1961</v>
      </c>
      <c r="B948" t="s">
        <v>1962</v>
      </c>
      <c r="C948" t="str">
        <f t="shared" si="201"/>
        <v>Thomas Jackson</v>
      </c>
      <c r="D948" t="s">
        <v>84</v>
      </c>
      <c r="E948" t="str">
        <f t="shared" si="194"/>
        <v>Male</v>
      </c>
      <c r="G948" t="s">
        <v>171</v>
      </c>
      <c r="H948" t="s">
        <v>64</v>
      </c>
      <c r="I948" t="s">
        <v>36</v>
      </c>
      <c r="J948">
        <v>1</v>
      </c>
      <c r="K948" s="4" t="str" cm="1">
        <f t="array" ref="K948">_xlfn.IFS(J948&lt;=5,"0-5",J948&lt;=10,"6-10",J948&lt;=15,"11-15",J948&lt;=20,"16-20",J948&gt;20,"21+")</f>
        <v>0-5</v>
      </c>
      <c r="L948">
        <v>75</v>
      </c>
      <c r="M948" s="2">
        <f>L948</f>
        <v>75</v>
      </c>
      <c r="N948" s="8">
        <f t="shared" si="195"/>
        <v>75</v>
      </c>
      <c r="O948">
        <v>0</v>
      </c>
      <c r="P948" t="b">
        <v>1</v>
      </c>
      <c r="Q948" t="s">
        <v>2073</v>
      </c>
      <c r="R948" s="1">
        <v>0.94</v>
      </c>
      <c r="S948" s="3">
        <f t="shared" si="205"/>
        <v>0.94</v>
      </c>
    </row>
    <row r="949" spans="1:19" x14ac:dyDescent="0.3">
      <c r="A949" t="s">
        <v>1963</v>
      </c>
      <c r="B949" t="s">
        <v>1964</v>
      </c>
      <c r="C949" t="str">
        <f t="shared" si="201"/>
        <v>Tina Clark</v>
      </c>
      <c r="D949" t="s">
        <v>26</v>
      </c>
      <c r="E949" t="str">
        <f t="shared" si="194"/>
        <v>Female</v>
      </c>
      <c r="F949">
        <v>38</v>
      </c>
      <c r="G949" t="s">
        <v>54</v>
      </c>
      <c r="H949" t="s">
        <v>55</v>
      </c>
      <c r="I949" t="s">
        <v>15</v>
      </c>
      <c r="J949">
        <v>8</v>
      </c>
      <c r="K949" s="4" t="str" cm="1">
        <f t="array" ref="K949">_xlfn.IFS(J949&lt;=5,"0-5",J949&lt;=10,"6-10",J949&lt;=15,"11-15",J949&lt;=20,"16-20",J949&gt;20,"21+")</f>
        <v>6-10</v>
      </c>
      <c r="L949">
        <v>30</v>
      </c>
      <c r="M949" s="2">
        <f>L949</f>
        <v>30</v>
      </c>
      <c r="N949" s="8">
        <f t="shared" si="195"/>
        <v>30</v>
      </c>
      <c r="O949">
        <v>4</v>
      </c>
      <c r="P949">
        <v>1</v>
      </c>
      <c r="Q949" t="s">
        <v>2073</v>
      </c>
      <c r="R949" s="1">
        <v>0.92</v>
      </c>
      <c r="S949" s="3">
        <f t="shared" si="205"/>
        <v>0.92</v>
      </c>
    </row>
    <row r="950" spans="1:19" x14ac:dyDescent="0.3">
      <c r="A950" t="s">
        <v>1965</v>
      </c>
      <c r="B950" t="s">
        <v>1966</v>
      </c>
      <c r="C950" t="str">
        <f t="shared" si="201"/>
        <v>Heather Brown</v>
      </c>
      <c r="D950" t="s">
        <v>69</v>
      </c>
      <c r="E950" t="str">
        <f t="shared" si="194"/>
        <v>Female</v>
      </c>
      <c r="F950">
        <v>28</v>
      </c>
      <c r="G950" t="s">
        <v>127</v>
      </c>
      <c r="H950" t="s">
        <v>128</v>
      </c>
      <c r="I950" t="s">
        <v>81</v>
      </c>
      <c r="J950">
        <v>8</v>
      </c>
      <c r="K950" s="4" t="str" cm="1">
        <f t="array" ref="K950">_xlfn.IFS(J950&lt;=5,"0-5",J950&lt;=10,"6-10",J950&lt;=15,"11-15",J950&lt;=20,"16-20",J950&gt;20,"21+")</f>
        <v>6-10</v>
      </c>
      <c r="L950" t="s">
        <v>90</v>
      </c>
      <c r="M950" s="2" t="str">
        <f>TRIM(MID(L950,FIND(" ",L950)+1,LEN(L950)))</f>
        <v>50</v>
      </c>
      <c r="N950" s="8">
        <f t="shared" si="195"/>
        <v>50</v>
      </c>
      <c r="O950">
        <v>2.5</v>
      </c>
      <c r="P950" t="b">
        <v>1</v>
      </c>
      <c r="Q950" t="s">
        <v>2073</v>
      </c>
      <c r="R950" s="1">
        <v>0.95</v>
      </c>
      <c r="S950" s="3">
        <f t="shared" si="205"/>
        <v>0.95</v>
      </c>
    </row>
    <row r="951" spans="1:19" x14ac:dyDescent="0.3">
      <c r="A951" t="s">
        <v>1967</v>
      </c>
      <c r="B951" t="s">
        <v>1968</v>
      </c>
      <c r="C951" t="str">
        <f t="shared" si="201"/>
        <v>John Weaver</v>
      </c>
      <c r="D951" t="s">
        <v>40</v>
      </c>
      <c r="E951" t="str">
        <f t="shared" si="194"/>
        <v>Male</v>
      </c>
      <c r="F951">
        <v>25</v>
      </c>
      <c r="G951" t="s">
        <v>99</v>
      </c>
      <c r="H951" t="s">
        <v>100</v>
      </c>
      <c r="I951" t="s">
        <v>81</v>
      </c>
      <c r="J951">
        <v>7</v>
      </c>
      <c r="K951" s="4" t="str" cm="1">
        <f t="array" ref="K951">_xlfn.IFS(J951&lt;=5,"0-5",J951&lt;=10,"6-10",J951&lt;=15,"11-15",J951&lt;=20,"16-20",J951&gt;20,"21+")</f>
        <v>6-10</v>
      </c>
      <c r="L951" t="s">
        <v>113</v>
      </c>
      <c r="M951" s="2" t="str">
        <f>SUBSTITUTE(L951,"$","")</f>
        <v>20</v>
      </c>
      <c r="N951" s="8">
        <f t="shared" si="195"/>
        <v>20</v>
      </c>
      <c r="O951">
        <v>3.8</v>
      </c>
      <c r="R951" s="1">
        <v>0.97</v>
      </c>
      <c r="S951" s="3">
        <f t="shared" si="205"/>
        <v>0.97</v>
      </c>
    </row>
    <row r="952" spans="1:19" x14ac:dyDescent="0.3">
      <c r="A952" t="s">
        <v>1969</v>
      </c>
      <c r="B952" t="s">
        <v>1970</v>
      </c>
      <c r="C952" t="str">
        <f t="shared" si="201"/>
        <v>Bradley Harris</v>
      </c>
      <c r="D952" t="s">
        <v>89</v>
      </c>
      <c r="E952" t="str">
        <f t="shared" si="194"/>
        <v>Male</v>
      </c>
      <c r="F952">
        <v>41</v>
      </c>
      <c r="G952" t="s">
        <v>59</v>
      </c>
      <c r="H952" t="s">
        <v>14</v>
      </c>
      <c r="I952" t="s">
        <v>81</v>
      </c>
      <c r="J952">
        <v>8</v>
      </c>
      <c r="K952" s="4" t="str" cm="1">
        <f t="array" ref="K952">_xlfn.IFS(J952&lt;=5,"0-5",J952&lt;=10,"6-10",J952&lt;=15,"11-15",J952&lt;=20,"16-20",J952&gt;20,"21+")</f>
        <v>6-10</v>
      </c>
      <c r="L952">
        <v>50</v>
      </c>
      <c r="M952" s="2">
        <f>L952</f>
        <v>50</v>
      </c>
      <c r="N952" s="8">
        <f t="shared" si="195"/>
        <v>50</v>
      </c>
      <c r="O952">
        <v>4.8</v>
      </c>
      <c r="P952" t="s">
        <v>23</v>
      </c>
      <c r="Q952" t="s">
        <v>2072</v>
      </c>
      <c r="R952" s="1">
        <v>0.75</v>
      </c>
      <c r="S952" s="3">
        <f t="shared" si="205"/>
        <v>0.75</v>
      </c>
    </row>
    <row r="953" spans="1:19" x14ac:dyDescent="0.3">
      <c r="A953" t="s">
        <v>1971</v>
      </c>
      <c r="B953" t="s">
        <v>1972</v>
      </c>
      <c r="C953" t="str">
        <f t="shared" si="201"/>
        <v>Cassandra Macdonald</v>
      </c>
      <c r="D953" t="s">
        <v>6</v>
      </c>
      <c r="E953" t="str">
        <f t="shared" si="194"/>
        <v>Female</v>
      </c>
      <c r="F953">
        <v>45</v>
      </c>
      <c r="G953" t="s">
        <v>171</v>
      </c>
      <c r="H953" t="s">
        <v>64</v>
      </c>
      <c r="I953" t="s">
        <v>43</v>
      </c>
      <c r="J953">
        <v>6</v>
      </c>
      <c r="K953" s="4" t="str" cm="1">
        <f t="array" ref="K953">_xlfn.IFS(J953&lt;=5,"0-5",J953&lt;=10,"6-10",J953&lt;=15,"11-15",J953&lt;=20,"16-20",J953&gt;20,"21+")</f>
        <v>6-10</v>
      </c>
      <c r="L953">
        <v>40</v>
      </c>
      <c r="M953" s="2">
        <f>L953</f>
        <v>40</v>
      </c>
      <c r="N953" s="8">
        <f t="shared" si="195"/>
        <v>40</v>
      </c>
      <c r="O953">
        <v>2</v>
      </c>
      <c r="P953">
        <v>1</v>
      </c>
      <c r="Q953" t="s">
        <v>2073</v>
      </c>
      <c r="R953" s="1">
        <v>0.78</v>
      </c>
      <c r="S953" s="3">
        <f t="shared" si="205"/>
        <v>0.78</v>
      </c>
    </row>
    <row r="954" spans="1:19" x14ac:dyDescent="0.3">
      <c r="A954" t="s">
        <v>1973</v>
      </c>
      <c r="B954" t="s">
        <v>1974</v>
      </c>
      <c r="C954" t="str">
        <f t="shared" si="201"/>
        <v>Matthew White</v>
      </c>
      <c r="D954" t="s">
        <v>40</v>
      </c>
      <c r="E954" t="str">
        <f t="shared" si="194"/>
        <v>Male</v>
      </c>
      <c r="F954">
        <v>47</v>
      </c>
      <c r="G954" t="s">
        <v>54</v>
      </c>
      <c r="H954" t="s">
        <v>55</v>
      </c>
      <c r="I954" t="s">
        <v>81</v>
      </c>
      <c r="J954">
        <v>16</v>
      </c>
      <c r="K954" s="4" t="str" cm="1">
        <f t="array" ref="K954">_xlfn.IFS(J954&lt;=5,"0-5",J954&lt;=10,"6-10",J954&lt;=15,"11-15",J954&lt;=20,"16-20",J954&gt;20,"21+")</f>
        <v>16-20</v>
      </c>
      <c r="L954" t="s">
        <v>221</v>
      </c>
      <c r="M954" s="2" t="str">
        <f>SUBSTITUTE(L954,"$","")</f>
        <v>100</v>
      </c>
      <c r="N954" s="8">
        <f t="shared" si="195"/>
        <v>100</v>
      </c>
      <c r="O954">
        <v>3.3</v>
      </c>
      <c r="P954">
        <v>0</v>
      </c>
      <c r="Q954" t="s">
        <v>2072</v>
      </c>
      <c r="R954" s="1">
        <v>0.65</v>
      </c>
      <c r="S954" s="3">
        <f t="shared" si="205"/>
        <v>0.65</v>
      </c>
    </row>
    <row r="955" spans="1:19" x14ac:dyDescent="0.3">
      <c r="A955" t="s">
        <v>1975</v>
      </c>
      <c r="B955" t="s">
        <v>1976</v>
      </c>
      <c r="C955" t="str">
        <f t="shared" si="201"/>
        <v>Miss Kimberly Marshall</v>
      </c>
      <c r="D955" t="s">
        <v>26</v>
      </c>
      <c r="E955" t="str">
        <f t="shared" si="194"/>
        <v>Female</v>
      </c>
      <c r="F955">
        <v>59</v>
      </c>
      <c r="G955" t="s">
        <v>59</v>
      </c>
      <c r="H955" t="s">
        <v>14</v>
      </c>
      <c r="I955" t="s">
        <v>43</v>
      </c>
      <c r="J955">
        <v>40</v>
      </c>
      <c r="K955" s="4" t="str" cm="1">
        <f t="array" ref="K955">_xlfn.IFS(J955&lt;=5,"0-5",J955&lt;=10,"6-10",J955&lt;=15,"11-15",J955&lt;=20,"16-20",J955&gt;20,"21+")</f>
        <v>21+</v>
      </c>
      <c r="L955">
        <v>40</v>
      </c>
      <c r="M955" s="2">
        <f>L955</f>
        <v>40</v>
      </c>
      <c r="N955" s="8">
        <f t="shared" si="195"/>
        <v>40</v>
      </c>
      <c r="O955">
        <v>2.5</v>
      </c>
      <c r="P955" t="b">
        <v>1</v>
      </c>
      <c r="Q955" t="s">
        <v>2073</v>
      </c>
      <c r="R955">
        <v>70</v>
      </c>
      <c r="S955" s="3">
        <f t="shared" ref="S955:S956" si="206">R955/100</f>
        <v>0.7</v>
      </c>
    </row>
    <row r="956" spans="1:19" x14ac:dyDescent="0.3">
      <c r="A956" t="s">
        <v>1977</v>
      </c>
      <c r="B956" t="s">
        <v>1978</v>
      </c>
      <c r="C956" t="str">
        <f t="shared" si="201"/>
        <v>Laura Thompson</v>
      </c>
      <c r="D956" t="s">
        <v>69</v>
      </c>
      <c r="E956" t="str">
        <f t="shared" si="194"/>
        <v>Female</v>
      </c>
      <c r="F956">
        <v>25</v>
      </c>
      <c r="G956" t="s">
        <v>120</v>
      </c>
      <c r="H956" t="s">
        <v>14</v>
      </c>
      <c r="I956" t="s">
        <v>9</v>
      </c>
      <c r="J956">
        <v>6</v>
      </c>
      <c r="K956" s="4" t="str" cm="1">
        <f t="array" ref="K956">_xlfn.IFS(J956&lt;=5,"0-5",J956&lt;=10,"6-10",J956&lt;=15,"11-15",J956&lt;=20,"16-20",J956&gt;20,"21+")</f>
        <v>6-10</v>
      </c>
      <c r="L956" t="s">
        <v>221</v>
      </c>
      <c r="M956" s="2" t="str">
        <f>SUBSTITUTE(L956,"$","")</f>
        <v>100</v>
      </c>
      <c r="N956" s="8">
        <f t="shared" si="195"/>
        <v>100</v>
      </c>
      <c r="P956" t="s">
        <v>66</v>
      </c>
      <c r="Q956" t="s">
        <v>2073</v>
      </c>
      <c r="R956">
        <v>78</v>
      </c>
      <c r="S956" s="3">
        <f t="shared" si="206"/>
        <v>0.78</v>
      </c>
    </row>
    <row r="957" spans="1:19" x14ac:dyDescent="0.3">
      <c r="A957" t="s">
        <v>1979</v>
      </c>
      <c r="B957" t="s">
        <v>1980</v>
      </c>
      <c r="C957" t="str">
        <f t="shared" si="201"/>
        <v>Nathan Soto</v>
      </c>
      <c r="D957" t="s">
        <v>89</v>
      </c>
      <c r="E957" t="str">
        <f t="shared" si="194"/>
        <v>Male</v>
      </c>
      <c r="F957">
        <v>27</v>
      </c>
      <c r="G957" t="s">
        <v>13</v>
      </c>
      <c r="H957" t="s">
        <v>14</v>
      </c>
      <c r="I957" t="s">
        <v>27</v>
      </c>
      <c r="J957">
        <v>3</v>
      </c>
      <c r="K957" s="4" t="str" cm="1">
        <f t="array" ref="K957">_xlfn.IFS(J957&lt;=5,"0-5",J957&lt;=10,"6-10",J957&lt;=15,"11-15",J957&lt;=20,"16-20",J957&gt;20,"21+")</f>
        <v>0-5</v>
      </c>
      <c r="L957" t="s">
        <v>90</v>
      </c>
      <c r="M957" s="2" t="str">
        <f>TRIM(MID(L957,FIND(" ",L957)+1,LEN(L957)))</f>
        <v>50</v>
      </c>
      <c r="N957" s="8">
        <f t="shared" si="195"/>
        <v>50</v>
      </c>
      <c r="P957">
        <v>1</v>
      </c>
      <c r="Q957" t="s">
        <v>2073</v>
      </c>
      <c r="R957" s="1">
        <v>0.96</v>
      </c>
      <c r="S957" s="3">
        <f t="shared" ref="S957:S960" si="207">R957</f>
        <v>0.96</v>
      </c>
    </row>
    <row r="958" spans="1:19" x14ac:dyDescent="0.3">
      <c r="A958" t="s">
        <v>1981</v>
      </c>
      <c r="B958" t="s">
        <v>1982</v>
      </c>
      <c r="C958" t="str">
        <f t="shared" si="201"/>
        <v>Rhonda Hines</v>
      </c>
      <c r="D958" t="s">
        <v>26</v>
      </c>
      <c r="E958" t="str">
        <f t="shared" si="194"/>
        <v>Female</v>
      </c>
      <c r="F958">
        <v>57</v>
      </c>
      <c r="G958" t="s">
        <v>13</v>
      </c>
      <c r="H958" t="s">
        <v>14</v>
      </c>
      <c r="I958" t="s">
        <v>36</v>
      </c>
      <c r="J958">
        <v>5</v>
      </c>
      <c r="K958" s="4" t="str" cm="1">
        <f t="array" ref="K958">_xlfn.IFS(J958&lt;=5,"0-5",J958&lt;=10,"6-10",J958&lt;=15,"11-15",J958&lt;=20,"16-20",J958&gt;20,"21+")</f>
        <v>0-5</v>
      </c>
      <c r="L958" t="s">
        <v>16</v>
      </c>
      <c r="M958" s="2" t="str">
        <f>TRIM(MID(L958,FIND(" ",L958)+1,LEN(L958)))</f>
        <v>100</v>
      </c>
      <c r="N958" s="8">
        <f t="shared" si="195"/>
        <v>100</v>
      </c>
      <c r="O958">
        <v>0</v>
      </c>
      <c r="P958">
        <v>1</v>
      </c>
      <c r="Q958" t="s">
        <v>2073</v>
      </c>
      <c r="R958" s="1">
        <v>0.8</v>
      </c>
      <c r="S958" s="3">
        <f t="shared" si="207"/>
        <v>0.8</v>
      </c>
    </row>
    <row r="959" spans="1:19" x14ac:dyDescent="0.3">
      <c r="A959" t="s">
        <v>1983</v>
      </c>
      <c r="B959" t="s">
        <v>1984</v>
      </c>
      <c r="C959" t="str">
        <f t="shared" si="201"/>
        <v>Gabrielle Bowman</v>
      </c>
      <c r="D959" t="s">
        <v>26</v>
      </c>
      <c r="E959" t="str">
        <f t="shared" si="194"/>
        <v>Female</v>
      </c>
      <c r="F959">
        <v>34</v>
      </c>
      <c r="G959" t="s">
        <v>54</v>
      </c>
      <c r="H959" t="s">
        <v>55</v>
      </c>
      <c r="I959" t="s">
        <v>65</v>
      </c>
      <c r="J959">
        <v>12</v>
      </c>
      <c r="K959" s="4" t="str" cm="1">
        <f t="array" ref="K959">_xlfn.IFS(J959&lt;=5,"0-5",J959&lt;=10,"6-10",J959&lt;=15,"11-15",J959&lt;=20,"16-20",J959&gt;20,"21+")</f>
        <v>11-15</v>
      </c>
      <c r="L959" t="s">
        <v>113</v>
      </c>
      <c r="M959" s="2" t="str">
        <f>SUBSTITUTE(L959,"$","")</f>
        <v>20</v>
      </c>
      <c r="N959" s="8">
        <f t="shared" si="195"/>
        <v>20</v>
      </c>
      <c r="O959">
        <v>1.6</v>
      </c>
      <c r="P959" t="s">
        <v>60</v>
      </c>
      <c r="Q959" t="s">
        <v>2073</v>
      </c>
      <c r="R959" s="1">
        <v>0.64</v>
      </c>
      <c r="S959" s="3">
        <f t="shared" si="207"/>
        <v>0.64</v>
      </c>
    </row>
    <row r="960" spans="1:19" x14ac:dyDescent="0.3">
      <c r="A960" t="s">
        <v>1985</v>
      </c>
      <c r="B960" t="s">
        <v>1986</v>
      </c>
      <c r="C960" t="str">
        <f t="shared" si="201"/>
        <v>Julian Edwards</v>
      </c>
      <c r="D960" t="s">
        <v>84</v>
      </c>
      <c r="E960" t="str">
        <f t="shared" si="194"/>
        <v>Male</v>
      </c>
      <c r="F960">
        <v>55</v>
      </c>
      <c r="G960" t="s">
        <v>127</v>
      </c>
      <c r="H960" t="s">
        <v>128</v>
      </c>
      <c r="I960" t="s">
        <v>65</v>
      </c>
      <c r="J960">
        <v>33</v>
      </c>
      <c r="K960" s="4" t="str" cm="1">
        <f t="array" ref="K960">_xlfn.IFS(J960&lt;=5,"0-5",J960&lt;=10,"6-10",J960&lt;=15,"11-15",J960&lt;=20,"16-20",J960&gt;20,"21+")</f>
        <v>21+</v>
      </c>
      <c r="L960">
        <v>50</v>
      </c>
      <c r="M960" s="2">
        <f>L960</f>
        <v>50</v>
      </c>
      <c r="N960" s="8">
        <f t="shared" si="195"/>
        <v>50</v>
      </c>
      <c r="O960">
        <v>0</v>
      </c>
      <c r="P960" t="b">
        <v>0</v>
      </c>
      <c r="Q960" t="s">
        <v>2072</v>
      </c>
      <c r="R960" s="1">
        <v>0.92</v>
      </c>
      <c r="S960" s="3">
        <f t="shared" si="207"/>
        <v>0.92</v>
      </c>
    </row>
    <row r="961" spans="1:19" x14ac:dyDescent="0.3">
      <c r="A961" t="s">
        <v>1987</v>
      </c>
      <c r="B961" t="s">
        <v>1988</v>
      </c>
      <c r="C961" t="str">
        <f t="shared" si="201"/>
        <v>Nicholas Scott</v>
      </c>
      <c r="D961" t="s">
        <v>19</v>
      </c>
      <c r="E961" t="str">
        <f t="shared" si="194"/>
        <v>Male</v>
      </c>
      <c r="F961">
        <v>21</v>
      </c>
      <c r="G961" t="s">
        <v>131</v>
      </c>
      <c r="H961" t="s">
        <v>132</v>
      </c>
      <c r="I961" t="s">
        <v>9</v>
      </c>
      <c r="J961">
        <v>1</v>
      </c>
      <c r="K961" s="4" t="str" cm="1">
        <f t="array" ref="K961">_xlfn.IFS(J961&lt;=5,"0-5",J961&lt;=10,"6-10",J961&lt;=15,"11-15",J961&lt;=20,"16-20",J961&gt;20,"21+")</f>
        <v>0-5</v>
      </c>
      <c r="L961">
        <v>100</v>
      </c>
      <c r="M961" s="2">
        <f>L961</f>
        <v>100</v>
      </c>
      <c r="N961" s="8">
        <f t="shared" si="195"/>
        <v>100</v>
      </c>
      <c r="O961">
        <v>0</v>
      </c>
      <c r="P961">
        <v>1</v>
      </c>
      <c r="Q961" t="s">
        <v>2073</v>
      </c>
    </row>
    <row r="962" spans="1:19" x14ac:dyDescent="0.3">
      <c r="A962" t="s">
        <v>1989</v>
      </c>
      <c r="B962" t="s">
        <v>1990</v>
      </c>
      <c r="C962" t="str">
        <f t="shared" si="201"/>
        <v>Daniel Green</v>
      </c>
      <c r="D962" t="s">
        <v>53</v>
      </c>
      <c r="E962" t="str">
        <f t="shared" ref="E962:E1001" si="208">IF(LOWER(LEFT(D962,1))="f","Female","Male")</f>
        <v>Male</v>
      </c>
      <c r="F962">
        <v>53</v>
      </c>
      <c r="G962" t="s">
        <v>34</v>
      </c>
      <c r="H962" t="s">
        <v>35</v>
      </c>
      <c r="I962" t="s">
        <v>81</v>
      </c>
      <c r="J962">
        <v>27</v>
      </c>
      <c r="K962" s="4" t="str" cm="1">
        <f t="array" ref="K962">_xlfn.IFS(J962&lt;=5,"0-5",J962&lt;=10,"6-10",J962&lt;=15,"11-15",J962&lt;=20,"16-20",J962&gt;20,"21+")</f>
        <v>21+</v>
      </c>
      <c r="L962" t="s">
        <v>306</v>
      </c>
      <c r="M962" s="2" t="str">
        <f>TRIM(MID(L962,FIND(" ",L962)+1,LEN(L962)))</f>
        <v>20</v>
      </c>
      <c r="N962" s="8">
        <f t="shared" si="195"/>
        <v>20</v>
      </c>
      <c r="O962">
        <v>4.7</v>
      </c>
      <c r="P962" t="s">
        <v>60</v>
      </c>
      <c r="Q962" t="s">
        <v>2073</v>
      </c>
      <c r="R962">
        <v>71</v>
      </c>
      <c r="S962" s="3">
        <f>R962/100</f>
        <v>0.71</v>
      </c>
    </row>
    <row r="963" spans="1:19" x14ac:dyDescent="0.3">
      <c r="A963" t="s">
        <v>1991</v>
      </c>
      <c r="B963" t="s">
        <v>1992</v>
      </c>
      <c r="C963" t="str">
        <f t="shared" si="201"/>
        <v>Catherine Johnston</v>
      </c>
      <c r="D963" t="s">
        <v>6</v>
      </c>
      <c r="E963" t="str">
        <f t="shared" si="208"/>
        <v>Female</v>
      </c>
      <c r="F963">
        <v>21</v>
      </c>
      <c r="G963" t="s">
        <v>20</v>
      </c>
      <c r="H963" t="s">
        <v>21</v>
      </c>
      <c r="I963" t="s">
        <v>65</v>
      </c>
      <c r="J963">
        <v>1</v>
      </c>
      <c r="K963" s="4" t="str" cm="1">
        <f t="array" ref="K963">_xlfn.IFS(J963&lt;=5,"0-5",J963&lt;=10,"6-10",J963&lt;=15,"11-15",J963&lt;=20,"16-20",J963&gt;20,"21+")</f>
        <v>0-5</v>
      </c>
      <c r="L963" t="s">
        <v>221</v>
      </c>
      <c r="M963" s="2" t="str">
        <f>SUBSTITUTE(L963,"$","")</f>
        <v>100</v>
      </c>
      <c r="N963" s="8">
        <f t="shared" ref="N963:N1001" si="209">IF(M963="", "", VALUE(M963))</f>
        <v>100</v>
      </c>
      <c r="O963">
        <v>0</v>
      </c>
      <c r="P963" t="s">
        <v>60</v>
      </c>
      <c r="Q963" t="s">
        <v>2073</v>
      </c>
      <c r="R963" s="1">
        <v>0.95</v>
      </c>
      <c r="S963" s="3">
        <f t="shared" ref="S963:S965" si="210">R963</f>
        <v>0.95</v>
      </c>
    </row>
    <row r="964" spans="1:19" x14ac:dyDescent="0.3">
      <c r="A964" t="s">
        <v>1993</v>
      </c>
      <c r="B964" t="s">
        <v>1994</v>
      </c>
      <c r="C964" t="str">
        <f t="shared" si="201"/>
        <v>Brenda Koch</v>
      </c>
      <c r="D964" t="s">
        <v>12</v>
      </c>
      <c r="E964" t="str">
        <f t="shared" si="208"/>
        <v>Female</v>
      </c>
      <c r="F964">
        <v>36</v>
      </c>
      <c r="G964" t="s">
        <v>99</v>
      </c>
      <c r="H964" t="s">
        <v>100</v>
      </c>
      <c r="I964" t="s">
        <v>27</v>
      </c>
      <c r="K964" s="4" t="str" cm="1">
        <f t="array" ref="K964">_xlfn.IFS(J964&lt;=5,"0-5",J964&lt;=10,"6-10",J964&lt;=15,"11-15",J964&lt;=20,"16-20",J964&gt;20,"21+")</f>
        <v>0-5</v>
      </c>
      <c r="L964">
        <v>20</v>
      </c>
      <c r="M964" s="2">
        <f>L964</f>
        <v>20</v>
      </c>
      <c r="N964" s="8">
        <f t="shared" si="209"/>
        <v>20</v>
      </c>
      <c r="O964">
        <v>4.0999999999999996</v>
      </c>
      <c r="P964" t="s">
        <v>23</v>
      </c>
      <c r="Q964" t="s">
        <v>2072</v>
      </c>
      <c r="R964" s="1">
        <v>0.86</v>
      </c>
      <c r="S964" s="3">
        <f t="shared" si="210"/>
        <v>0.86</v>
      </c>
    </row>
    <row r="965" spans="1:19" x14ac:dyDescent="0.3">
      <c r="A965" t="s">
        <v>1995</v>
      </c>
      <c r="B965" t="s">
        <v>1996</v>
      </c>
      <c r="C965" t="str">
        <f>TRIM(MID(B965,FIND(" ",B965)+1,LEN(B965)))</f>
        <v>Robert Meza</v>
      </c>
      <c r="D965" t="s">
        <v>19</v>
      </c>
      <c r="E965" t="str">
        <f t="shared" si="208"/>
        <v>Male</v>
      </c>
      <c r="F965">
        <v>40</v>
      </c>
      <c r="G965" t="s">
        <v>20</v>
      </c>
      <c r="H965" t="s">
        <v>21</v>
      </c>
      <c r="I965" t="s">
        <v>36</v>
      </c>
      <c r="J965">
        <v>2</v>
      </c>
      <c r="K965" s="4" t="str" cm="1">
        <f t="array" ref="K965">_xlfn.IFS(J965&lt;=5,"0-5",J965&lt;=10,"6-10",J965&lt;=15,"11-15",J965&lt;=20,"16-20",J965&gt;20,"21+")</f>
        <v>0-5</v>
      </c>
      <c r="L965" t="s">
        <v>37</v>
      </c>
      <c r="M965" s="2" t="str">
        <f>SUBSTITUTE(L965,"$","")</f>
        <v>30</v>
      </c>
      <c r="N965" s="8">
        <f t="shared" si="209"/>
        <v>30</v>
      </c>
      <c r="O965">
        <v>1.3</v>
      </c>
      <c r="P965">
        <v>1</v>
      </c>
      <c r="Q965" t="s">
        <v>2073</v>
      </c>
      <c r="R965" s="1">
        <v>0.77</v>
      </c>
      <c r="S965" s="3">
        <f t="shared" si="210"/>
        <v>0.77</v>
      </c>
    </row>
    <row r="966" spans="1:19" x14ac:dyDescent="0.3">
      <c r="A966" t="s">
        <v>1997</v>
      </c>
      <c r="B966" t="s">
        <v>1998</v>
      </c>
      <c r="C966" t="str">
        <f t="shared" ref="C966:C1001" si="211">B966</f>
        <v>Latoya Brown</v>
      </c>
      <c r="D966" t="s">
        <v>69</v>
      </c>
      <c r="E966" t="str">
        <f t="shared" si="208"/>
        <v>Female</v>
      </c>
      <c r="F966">
        <v>59</v>
      </c>
      <c r="G966" t="s">
        <v>59</v>
      </c>
      <c r="H966" t="s">
        <v>14</v>
      </c>
      <c r="I966" t="s">
        <v>65</v>
      </c>
      <c r="J966">
        <v>40</v>
      </c>
      <c r="K966" s="4" t="str" cm="1">
        <f t="array" ref="K966">_xlfn.IFS(J966&lt;=5,"0-5",J966&lt;=10,"6-10",J966&lt;=15,"11-15",J966&lt;=20,"16-20",J966&gt;20,"21+")</f>
        <v>21+</v>
      </c>
      <c r="L966">
        <v>100</v>
      </c>
      <c r="M966" s="2">
        <f>L966</f>
        <v>100</v>
      </c>
      <c r="N966" s="8">
        <f t="shared" si="209"/>
        <v>100</v>
      </c>
      <c r="O966">
        <v>2.6</v>
      </c>
    </row>
    <row r="967" spans="1:19" x14ac:dyDescent="0.3">
      <c r="A967" t="s">
        <v>1999</v>
      </c>
      <c r="B967" t="s">
        <v>2000</v>
      </c>
      <c r="C967" t="str">
        <f t="shared" si="211"/>
        <v>David Osborne III</v>
      </c>
      <c r="D967" t="s">
        <v>40</v>
      </c>
      <c r="E967" t="str">
        <f t="shared" si="208"/>
        <v>Male</v>
      </c>
      <c r="F967">
        <v>45</v>
      </c>
      <c r="G967" t="s">
        <v>34</v>
      </c>
      <c r="H967" t="s">
        <v>35</v>
      </c>
      <c r="I967" t="s">
        <v>70</v>
      </c>
      <c r="J967">
        <v>4</v>
      </c>
      <c r="K967" s="4" t="str" cm="1">
        <f t="array" ref="K967">_xlfn.IFS(J967&lt;=5,"0-5",J967&lt;=10,"6-10",J967&lt;=15,"11-15",J967&lt;=20,"16-20",J967&gt;20,"21+")</f>
        <v>0-5</v>
      </c>
      <c r="L967" t="s">
        <v>113</v>
      </c>
      <c r="M967" s="2" t="str">
        <f>SUBSTITUTE(L967,"$","")</f>
        <v>20</v>
      </c>
      <c r="N967" s="8">
        <f t="shared" si="209"/>
        <v>20</v>
      </c>
      <c r="O967">
        <v>2.7</v>
      </c>
      <c r="R967" s="1">
        <v>0.72</v>
      </c>
      <c r="S967" s="3">
        <f t="shared" ref="S967:S969" si="212">R967</f>
        <v>0.72</v>
      </c>
    </row>
    <row r="968" spans="1:19" x14ac:dyDescent="0.3">
      <c r="A968" t="s">
        <v>2001</v>
      </c>
      <c r="B968" t="s">
        <v>2002</v>
      </c>
      <c r="C968" t="str">
        <f t="shared" si="211"/>
        <v>David Hooper</v>
      </c>
      <c r="D968" t="s">
        <v>53</v>
      </c>
      <c r="E968" t="str">
        <f t="shared" si="208"/>
        <v>Male</v>
      </c>
      <c r="F968">
        <v>44</v>
      </c>
      <c r="G968" t="s">
        <v>104</v>
      </c>
      <c r="H968" t="s">
        <v>105</v>
      </c>
      <c r="I968" t="s">
        <v>106</v>
      </c>
      <c r="J968">
        <v>9</v>
      </c>
      <c r="K968" s="4" t="str" cm="1">
        <f t="array" ref="K968">_xlfn.IFS(J968&lt;=5,"0-5",J968&lt;=10,"6-10",J968&lt;=15,"11-15",J968&lt;=20,"16-20",J968&gt;20,"21+")</f>
        <v>6-10</v>
      </c>
      <c r="L968">
        <v>40</v>
      </c>
      <c r="M968" s="2">
        <f>L968</f>
        <v>40</v>
      </c>
      <c r="N968" s="8">
        <f t="shared" si="209"/>
        <v>40</v>
      </c>
      <c r="P968">
        <v>0</v>
      </c>
      <c r="Q968" t="s">
        <v>2072</v>
      </c>
      <c r="R968" s="1">
        <v>0.7</v>
      </c>
      <c r="S968" s="3">
        <f t="shared" si="212"/>
        <v>0.7</v>
      </c>
    </row>
    <row r="969" spans="1:19" x14ac:dyDescent="0.3">
      <c r="A969" t="s">
        <v>2003</v>
      </c>
      <c r="B969" t="s">
        <v>2004</v>
      </c>
      <c r="C969" t="str">
        <f t="shared" si="211"/>
        <v>Sarah Miller</v>
      </c>
      <c r="D969" t="s">
        <v>12</v>
      </c>
      <c r="E969" t="str">
        <f t="shared" si="208"/>
        <v>Female</v>
      </c>
      <c r="F969">
        <v>36</v>
      </c>
      <c r="G969" t="s">
        <v>59</v>
      </c>
      <c r="H969" t="s">
        <v>14</v>
      </c>
      <c r="I969" t="s">
        <v>70</v>
      </c>
      <c r="J969">
        <v>13</v>
      </c>
      <c r="K969" s="4" t="str" cm="1">
        <f t="array" ref="K969">_xlfn.IFS(J969&lt;=5,"0-5",J969&lt;=10,"6-10",J969&lt;=15,"11-15",J969&lt;=20,"16-20",J969&gt;20,"21+")</f>
        <v>11-15</v>
      </c>
      <c r="L969">
        <v>30</v>
      </c>
      <c r="M969" s="2">
        <f>L969</f>
        <v>30</v>
      </c>
      <c r="N969" s="8">
        <f t="shared" si="209"/>
        <v>30</v>
      </c>
      <c r="O969">
        <v>3.6</v>
      </c>
      <c r="P969">
        <v>0</v>
      </c>
      <c r="Q969" t="s">
        <v>2072</v>
      </c>
      <c r="R969" s="1">
        <v>0.86</v>
      </c>
      <c r="S969" s="3">
        <f t="shared" si="212"/>
        <v>0.86</v>
      </c>
    </row>
    <row r="970" spans="1:19" x14ac:dyDescent="0.3">
      <c r="A970" t="s">
        <v>2005</v>
      </c>
      <c r="B970" t="s">
        <v>2006</v>
      </c>
      <c r="C970" t="str">
        <f t="shared" si="211"/>
        <v>Lisa Werner MD</v>
      </c>
      <c r="D970" t="s">
        <v>69</v>
      </c>
      <c r="E970" t="str">
        <f t="shared" si="208"/>
        <v>Female</v>
      </c>
      <c r="F970">
        <v>26</v>
      </c>
      <c r="G970" t="s">
        <v>85</v>
      </c>
      <c r="H970" t="s">
        <v>86</v>
      </c>
      <c r="I970" t="s">
        <v>22</v>
      </c>
      <c r="J970">
        <v>1</v>
      </c>
      <c r="K970" s="4" t="str" cm="1">
        <f t="array" ref="K970">_xlfn.IFS(J970&lt;=5,"0-5",J970&lt;=10,"6-10",J970&lt;=15,"11-15",J970&lt;=20,"16-20",J970&gt;20,"21+")</f>
        <v>0-5</v>
      </c>
      <c r="L970">
        <v>75</v>
      </c>
      <c r="M970" s="2">
        <f>L970</f>
        <v>75</v>
      </c>
      <c r="N970" s="8">
        <f t="shared" si="209"/>
        <v>75</v>
      </c>
      <c r="O970">
        <v>3</v>
      </c>
      <c r="P970">
        <v>1</v>
      </c>
      <c r="Q970" t="s">
        <v>2073</v>
      </c>
    </row>
    <row r="971" spans="1:19" x14ac:dyDescent="0.3">
      <c r="A971" t="s">
        <v>2007</v>
      </c>
      <c r="B971" t="s">
        <v>2008</v>
      </c>
      <c r="C971" t="str">
        <f t="shared" si="211"/>
        <v>Eric Jimenez</v>
      </c>
      <c r="D971" t="s">
        <v>40</v>
      </c>
      <c r="E971" t="str">
        <f t="shared" si="208"/>
        <v>Male</v>
      </c>
      <c r="F971">
        <v>49</v>
      </c>
      <c r="G971" t="s">
        <v>85</v>
      </c>
      <c r="H971" t="s">
        <v>86</v>
      </c>
      <c r="I971" t="s">
        <v>27</v>
      </c>
      <c r="J971">
        <v>1</v>
      </c>
      <c r="K971" s="4" t="str" cm="1">
        <f t="array" ref="K971">_xlfn.IFS(J971&lt;=5,"0-5",J971&lt;=10,"6-10",J971&lt;=15,"11-15",J971&lt;=20,"16-20",J971&gt;20,"21+")</f>
        <v>0-5</v>
      </c>
      <c r="N971" s="8" t="str">
        <f t="shared" si="209"/>
        <v/>
      </c>
      <c r="O971">
        <v>0</v>
      </c>
      <c r="P971">
        <v>0</v>
      </c>
      <c r="Q971" t="s">
        <v>2072</v>
      </c>
      <c r="R971" s="1">
        <v>0.82</v>
      </c>
      <c r="S971" s="3">
        <f t="shared" ref="S971:S977" si="213">R971</f>
        <v>0.82</v>
      </c>
    </row>
    <row r="972" spans="1:19" x14ac:dyDescent="0.3">
      <c r="A972" t="s">
        <v>2009</v>
      </c>
      <c r="B972" t="s">
        <v>2010</v>
      </c>
      <c r="C972" t="str">
        <f t="shared" si="211"/>
        <v>Jay Bush</v>
      </c>
      <c r="D972" t="s">
        <v>40</v>
      </c>
      <c r="E972" t="str">
        <f t="shared" si="208"/>
        <v>Male</v>
      </c>
      <c r="F972">
        <v>29</v>
      </c>
      <c r="G972" t="s">
        <v>127</v>
      </c>
      <c r="H972" t="s">
        <v>128</v>
      </c>
      <c r="I972" t="s">
        <v>15</v>
      </c>
      <c r="J972">
        <v>3</v>
      </c>
      <c r="K972" s="4" t="str" cm="1">
        <f t="array" ref="K972">_xlfn.IFS(J972&lt;=5,"0-5",J972&lt;=10,"6-10",J972&lt;=15,"11-15",J972&lt;=20,"16-20",J972&gt;20,"21+")</f>
        <v>0-5</v>
      </c>
      <c r="L972" t="s">
        <v>47</v>
      </c>
      <c r="M972" s="2" t="str">
        <f>TRIM(MID(L972,FIND(" ",L972)+1,LEN(L972)))</f>
        <v>40</v>
      </c>
      <c r="N972" s="8">
        <f t="shared" si="209"/>
        <v>40</v>
      </c>
      <c r="O972">
        <v>0</v>
      </c>
      <c r="P972" t="b">
        <v>1</v>
      </c>
      <c r="Q972" t="s">
        <v>2073</v>
      </c>
      <c r="R972" s="1">
        <v>0.81</v>
      </c>
      <c r="S972" s="3">
        <f t="shared" si="213"/>
        <v>0.81</v>
      </c>
    </row>
    <row r="973" spans="1:19" x14ac:dyDescent="0.3">
      <c r="A973" t="s">
        <v>2011</v>
      </c>
      <c r="B973" t="s">
        <v>2012</v>
      </c>
      <c r="C973" t="str">
        <f t="shared" si="211"/>
        <v>Johnny Rice</v>
      </c>
      <c r="D973" t="s">
        <v>40</v>
      </c>
      <c r="E973" t="str">
        <f t="shared" si="208"/>
        <v>Male</v>
      </c>
      <c r="F973">
        <v>32</v>
      </c>
      <c r="G973" t="s">
        <v>127</v>
      </c>
      <c r="H973" t="s">
        <v>128</v>
      </c>
      <c r="I973" t="s">
        <v>22</v>
      </c>
      <c r="J973">
        <v>1</v>
      </c>
      <c r="K973" s="4" t="str" cm="1">
        <f t="array" ref="K973">_xlfn.IFS(J973&lt;=5,"0-5",J973&lt;=10,"6-10",J973&lt;=15,"11-15",J973&lt;=20,"16-20",J973&gt;20,"21+")</f>
        <v>0-5</v>
      </c>
      <c r="L973" t="s">
        <v>28</v>
      </c>
      <c r="M973" s="2" t="str">
        <f>SUBSTITUTE(L973,"$","")</f>
        <v>40</v>
      </c>
      <c r="N973" s="8">
        <f t="shared" si="209"/>
        <v>40</v>
      </c>
      <c r="O973">
        <v>3.1</v>
      </c>
      <c r="P973">
        <v>1</v>
      </c>
      <c r="Q973" t="s">
        <v>2073</v>
      </c>
      <c r="R973" s="1">
        <v>0.76</v>
      </c>
      <c r="S973" s="3">
        <f t="shared" si="213"/>
        <v>0.76</v>
      </c>
    </row>
    <row r="974" spans="1:19" x14ac:dyDescent="0.3">
      <c r="A974" t="s">
        <v>2013</v>
      </c>
      <c r="B974" t="s">
        <v>2014</v>
      </c>
      <c r="C974" t="str">
        <f t="shared" si="211"/>
        <v>Matthew Strong</v>
      </c>
      <c r="D974" t="s">
        <v>53</v>
      </c>
      <c r="E974" t="str">
        <f t="shared" si="208"/>
        <v>Male</v>
      </c>
      <c r="F974">
        <v>24</v>
      </c>
      <c r="G974" t="s">
        <v>41</v>
      </c>
      <c r="H974" t="s">
        <v>42</v>
      </c>
      <c r="I974" t="s">
        <v>9</v>
      </c>
      <c r="J974">
        <v>3</v>
      </c>
      <c r="K974" s="4" t="str" cm="1">
        <f t="array" ref="K974">_xlfn.IFS(J974&lt;=5,"0-5",J974&lt;=10,"6-10",J974&lt;=15,"11-15",J974&lt;=20,"16-20",J974&gt;20,"21+")</f>
        <v>0-5</v>
      </c>
      <c r="L974" t="s">
        <v>101</v>
      </c>
      <c r="M974" s="2" t="str">
        <f>TRIM(MID(L974,FIND(" ",L974)+1,LEN(L974)))</f>
        <v>30</v>
      </c>
      <c r="N974" s="8">
        <f t="shared" si="209"/>
        <v>30</v>
      </c>
      <c r="O974">
        <v>3.9</v>
      </c>
      <c r="P974" t="s">
        <v>23</v>
      </c>
      <c r="Q974" t="s">
        <v>2072</v>
      </c>
      <c r="R974" s="1">
        <v>0.9</v>
      </c>
      <c r="S974" s="3">
        <f t="shared" si="213"/>
        <v>0.9</v>
      </c>
    </row>
    <row r="975" spans="1:19" x14ac:dyDescent="0.3">
      <c r="A975" t="s">
        <v>2015</v>
      </c>
      <c r="B975" t="s">
        <v>2016</v>
      </c>
      <c r="C975" t="str">
        <f t="shared" si="211"/>
        <v>Mark Chandler</v>
      </c>
      <c r="D975" t="s">
        <v>53</v>
      </c>
      <c r="E975" t="str">
        <f t="shared" si="208"/>
        <v>Male</v>
      </c>
      <c r="F975">
        <v>35</v>
      </c>
      <c r="G975" t="s">
        <v>104</v>
      </c>
      <c r="H975" t="s">
        <v>105</v>
      </c>
      <c r="I975" t="s">
        <v>81</v>
      </c>
      <c r="J975">
        <v>14</v>
      </c>
      <c r="K975" s="4" t="str" cm="1">
        <f t="array" ref="K975">_xlfn.IFS(J975&lt;=5,"0-5",J975&lt;=10,"6-10",J975&lt;=15,"11-15",J975&lt;=20,"16-20",J975&gt;20,"21+")</f>
        <v>11-15</v>
      </c>
      <c r="L975">
        <v>30</v>
      </c>
      <c r="M975" s="2">
        <f>L975</f>
        <v>30</v>
      </c>
      <c r="N975" s="8">
        <f t="shared" si="209"/>
        <v>30</v>
      </c>
      <c r="O975">
        <v>1.6</v>
      </c>
      <c r="P975" t="s">
        <v>66</v>
      </c>
      <c r="Q975" t="s">
        <v>2073</v>
      </c>
      <c r="R975" s="1">
        <v>0.67</v>
      </c>
      <c r="S975" s="3">
        <f t="shared" si="213"/>
        <v>0.67</v>
      </c>
    </row>
    <row r="976" spans="1:19" x14ac:dyDescent="0.3">
      <c r="A976" t="s">
        <v>2017</v>
      </c>
      <c r="B976" t="s">
        <v>2018</v>
      </c>
      <c r="C976" t="str">
        <f t="shared" si="211"/>
        <v>Crystal Brown</v>
      </c>
      <c r="D976" t="s">
        <v>31</v>
      </c>
      <c r="E976" t="str">
        <f t="shared" si="208"/>
        <v>Female</v>
      </c>
      <c r="F976">
        <v>43</v>
      </c>
      <c r="G976" t="s">
        <v>182</v>
      </c>
      <c r="H976" t="s">
        <v>64</v>
      </c>
      <c r="I976" t="s">
        <v>9</v>
      </c>
      <c r="J976">
        <v>2</v>
      </c>
      <c r="K976" s="4" t="str" cm="1">
        <f t="array" ref="K976">_xlfn.IFS(J976&lt;=5,"0-5",J976&lt;=10,"6-10",J976&lt;=15,"11-15",J976&lt;=20,"16-20",J976&gt;20,"21+")</f>
        <v>0-5</v>
      </c>
      <c r="N976" s="8" t="str">
        <f t="shared" si="209"/>
        <v/>
      </c>
      <c r="O976">
        <v>1.8</v>
      </c>
      <c r="P976" t="s">
        <v>151</v>
      </c>
      <c r="Q976" t="s">
        <v>2072</v>
      </c>
      <c r="R976" s="1">
        <v>0.61</v>
      </c>
      <c r="S976" s="3">
        <f t="shared" si="213"/>
        <v>0.61</v>
      </c>
    </row>
    <row r="977" spans="1:19" x14ac:dyDescent="0.3">
      <c r="A977" t="s">
        <v>2019</v>
      </c>
      <c r="B977" t="s">
        <v>2020</v>
      </c>
      <c r="C977" t="str">
        <f t="shared" si="211"/>
        <v>Timothy Barton</v>
      </c>
      <c r="D977" t="s">
        <v>19</v>
      </c>
      <c r="E977" t="str">
        <f t="shared" si="208"/>
        <v>Male</v>
      </c>
      <c r="F977">
        <v>53</v>
      </c>
      <c r="G977" t="s">
        <v>104</v>
      </c>
      <c r="H977" t="s">
        <v>105</v>
      </c>
      <c r="I977" t="s">
        <v>106</v>
      </c>
      <c r="J977">
        <v>27</v>
      </c>
      <c r="K977" s="4" t="str" cm="1">
        <f t="array" ref="K977">_xlfn.IFS(J977&lt;=5,"0-5",J977&lt;=10,"6-10",J977&lt;=15,"11-15",J977&lt;=20,"16-20",J977&gt;20,"21+")</f>
        <v>21+</v>
      </c>
      <c r="L977">
        <v>100</v>
      </c>
      <c r="M977" s="2">
        <f>L977</f>
        <v>100</v>
      </c>
      <c r="N977" s="8">
        <f t="shared" si="209"/>
        <v>100</v>
      </c>
      <c r="O977">
        <v>3.7</v>
      </c>
      <c r="P977" t="s">
        <v>151</v>
      </c>
      <c r="Q977" t="s">
        <v>2072</v>
      </c>
      <c r="R977" s="1">
        <v>0.73</v>
      </c>
      <c r="S977" s="3">
        <f t="shared" si="213"/>
        <v>0.73</v>
      </c>
    </row>
    <row r="978" spans="1:19" x14ac:dyDescent="0.3">
      <c r="A978" t="s">
        <v>2021</v>
      </c>
      <c r="B978" t="s">
        <v>2022</v>
      </c>
      <c r="C978" t="str">
        <f t="shared" si="211"/>
        <v>Lisa Hickman</v>
      </c>
      <c r="D978" t="s">
        <v>26</v>
      </c>
      <c r="E978" t="str">
        <f t="shared" si="208"/>
        <v>Female</v>
      </c>
      <c r="F978">
        <v>38</v>
      </c>
      <c r="G978" t="s">
        <v>116</v>
      </c>
      <c r="H978" t="s">
        <v>117</v>
      </c>
      <c r="I978" t="s">
        <v>81</v>
      </c>
      <c r="J978">
        <v>7</v>
      </c>
      <c r="K978" s="4" t="str" cm="1">
        <f t="array" ref="K978">_xlfn.IFS(J978&lt;=5,"0-5",J978&lt;=10,"6-10",J978&lt;=15,"11-15",J978&lt;=20,"16-20",J978&gt;20,"21+")</f>
        <v>6-10</v>
      </c>
      <c r="L978">
        <v>75</v>
      </c>
      <c r="M978" s="2">
        <f>L978</f>
        <v>75</v>
      </c>
      <c r="N978" s="8">
        <f t="shared" si="209"/>
        <v>75</v>
      </c>
      <c r="P978">
        <v>0</v>
      </c>
      <c r="Q978" t="s">
        <v>2072</v>
      </c>
    </row>
    <row r="979" spans="1:19" x14ac:dyDescent="0.3">
      <c r="A979" t="s">
        <v>2023</v>
      </c>
      <c r="B979" t="s">
        <v>2024</v>
      </c>
      <c r="C979" t="str">
        <f t="shared" si="211"/>
        <v>Alan Mendoza</v>
      </c>
      <c r="D979" t="s">
        <v>89</v>
      </c>
      <c r="E979" t="str">
        <f t="shared" si="208"/>
        <v>Male</v>
      </c>
      <c r="F979">
        <v>57</v>
      </c>
      <c r="G979" t="s">
        <v>59</v>
      </c>
      <c r="H979" t="s">
        <v>14</v>
      </c>
      <c r="I979" t="s">
        <v>70</v>
      </c>
      <c r="J979">
        <v>29</v>
      </c>
      <c r="K979" s="4" t="str" cm="1">
        <f t="array" ref="K979">_xlfn.IFS(J979&lt;=5,"0-5",J979&lt;=10,"6-10",J979&lt;=15,"11-15",J979&lt;=20,"16-20",J979&gt;20,"21+")</f>
        <v>21+</v>
      </c>
      <c r="L979">
        <v>75</v>
      </c>
      <c r="M979" s="2">
        <f>L979</f>
        <v>75</v>
      </c>
      <c r="N979" s="8">
        <f t="shared" si="209"/>
        <v>75</v>
      </c>
      <c r="O979">
        <v>4.0999999999999996</v>
      </c>
      <c r="P979" t="s">
        <v>23</v>
      </c>
      <c r="Q979" t="s">
        <v>2072</v>
      </c>
      <c r="R979" s="1">
        <v>0.9</v>
      </c>
      <c r="S979" s="3">
        <f t="shared" ref="S979:S981" si="214">R979</f>
        <v>0.9</v>
      </c>
    </row>
    <row r="980" spans="1:19" x14ac:dyDescent="0.3">
      <c r="A980" t="s">
        <v>2025</v>
      </c>
      <c r="B980" t="s">
        <v>2026</v>
      </c>
      <c r="C980" t="str">
        <f t="shared" si="211"/>
        <v>Jason Sanders</v>
      </c>
      <c r="D980" t="s">
        <v>53</v>
      </c>
      <c r="E980" t="str">
        <f t="shared" si="208"/>
        <v>Male</v>
      </c>
      <c r="F980">
        <v>27</v>
      </c>
      <c r="G980" t="s">
        <v>167</v>
      </c>
      <c r="H980" t="s">
        <v>168</v>
      </c>
      <c r="I980" t="s">
        <v>9</v>
      </c>
      <c r="J980">
        <v>5</v>
      </c>
      <c r="K980" s="4" t="str" cm="1">
        <f t="array" ref="K980">_xlfn.IFS(J980&lt;=5,"0-5",J980&lt;=10,"6-10",J980&lt;=15,"11-15",J980&lt;=20,"16-20",J980&gt;20,"21+")</f>
        <v>0-5</v>
      </c>
      <c r="L980" t="s">
        <v>162</v>
      </c>
      <c r="M980" s="2" t="str">
        <f>SUBSTITUTE(L980,"$","")</f>
        <v>75</v>
      </c>
      <c r="N980" s="8">
        <f t="shared" si="209"/>
        <v>75</v>
      </c>
      <c r="O980">
        <v>1.4</v>
      </c>
      <c r="P980" t="b">
        <v>1</v>
      </c>
      <c r="Q980" t="s">
        <v>2073</v>
      </c>
      <c r="R980" s="1">
        <v>0.64</v>
      </c>
      <c r="S980" s="3">
        <f t="shared" si="214"/>
        <v>0.64</v>
      </c>
    </row>
    <row r="981" spans="1:19" x14ac:dyDescent="0.3">
      <c r="A981" t="s">
        <v>2027</v>
      </c>
      <c r="B981" t="s">
        <v>2028</v>
      </c>
      <c r="C981" t="str">
        <f t="shared" si="211"/>
        <v>Charles Dean</v>
      </c>
      <c r="D981" t="s">
        <v>40</v>
      </c>
      <c r="E981" t="str">
        <f t="shared" si="208"/>
        <v>Male</v>
      </c>
      <c r="F981">
        <v>43</v>
      </c>
      <c r="G981" t="s">
        <v>63</v>
      </c>
      <c r="H981" t="s">
        <v>64</v>
      </c>
      <c r="I981" t="s">
        <v>27</v>
      </c>
      <c r="J981">
        <v>2</v>
      </c>
      <c r="K981" s="4" t="str" cm="1">
        <f t="array" ref="K981">_xlfn.IFS(J981&lt;=5,"0-5",J981&lt;=10,"6-10",J981&lt;=15,"11-15",J981&lt;=20,"16-20",J981&gt;20,"21+")</f>
        <v>0-5</v>
      </c>
      <c r="L981">
        <v>100</v>
      </c>
      <c r="M981" s="2">
        <f>L981</f>
        <v>100</v>
      </c>
      <c r="N981" s="8">
        <f t="shared" si="209"/>
        <v>100</v>
      </c>
      <c r="O981">
        <v>1.1000000000000001</v>
      </c>
      <c r="P981">
        <v>1</v>
      </c>
      <c r="Q981" t="s">
        <v>2073</v>
      </c>
      <c r="R981" s="1">
        <v>0.63</v>
      </c>
      <c r="S981" s="3">
        <f t="shared" si="214"/>
        <v>0.63</v>
      </c>
    </row>
    <row r="982" spans="1:19" x14ac:dyDescent="0.3">
      <c r="A982" t="s">
        <v>2029</v>
      </c>
      <c r="B982" t="s">
        <v>2030</v>
      </c>
      <c r="C982" t="str">
        <f t="shared" si="211"/>
        <v>Blake Newton</v>
      </c>
      <c r="D982" t="s">
        <v>19</v>
      </c>
      <c r="E982" t="str">
        <f t="shared" si="208"/>
        <v>Male</v>
      </c>
      <c r="F982">
        <v>48</v>
      </c>
      <c r="G982" t="s">
        <v>120</v>
      </c>
      <c r="H982" t="s">
        <v>14</v>
      </c>
      <c r="I982" t="s">
        <v>43</v>
      </c>
      <c r="J982">
        <v>18</v>
      </c>
      <c r="K982" s="4" t="str" cm="1">
        <f t="array" ref="K982">_xlfn.IFS(J982&lt;=5,"0-5",J982&lt;=10,"6-10",J982&lt;=15,"11-15",J982&lt;=20,"16-20",J982&gt;20,"21+")</f>
        <v>16-20</v>
      </c>
      <c r="L982" t="s">
        <v>28</v>
      </c>
      <c r="M982" s="2" t="str">
        <f>SUBSTITUTE(L982,"$","")</f>
        <v>40</v>
      </c>
      <c r="N982" s="8">
        <f t="shared" si="209"/>
        <v>40</v>
      </c>
      <c r="O982">
        <v>3.9</v>
      </c>
    </row>
    <row r="983" spans="1:19" x14ac:dyDescent="0.3">
      <c r="A983" t="s">
        <v>2031</v>
      </c>
      <c r="B983" t="s">
        <v>2032</v>
      </c>
      <c r="C983" t="str">
        <f t="shared" si="211"/>
        <v>David Gonzalez</v>
      </c>
      <c r="D983" t="s">
        <v>84</v>
      </c>
      <c r="E983" t="str">
        <f t="shared" si="208"/>
        <v>Male</v>
      </c>
      <c r="F983">
        <v>26</v>
      </c>
      <c r="G983" t="s">
        <v>99</v>
      </c>
      <c r="H983" t="s">
        <v>100</v>
      </c>
      <c r="I983" t="s">
        <v>70</v>
      </c>
      <c r="J983">
        <v>8</v>
      </c>
      <c r="K983" s="4" t="str" cm="1">
        <f t="array" ref="K983">_xlfn.IFS(J983&lt;=5,"0-5",J983&lt;=10,"6-10",J983&lt;=15,"11-15",J983&lt;=20,"16-20",J983&gt;20,"21+")</f>
        <v>6-10</v>
      </c>
      <c r="L983">
        <v>20</v>
      </c>
      <c r="M983" s="2">
        <f>L983</f>
        <v>20</v>
      </c>
      <c r="N983" s="8">
        <f t="shared" si="209"/>
        <v>20</v>
      </c>
      <c r="O983">
        <v>3.6</v>
      </c>
      <c r="P983">
        <v>0</v>
      </c>
      <c r="Q983" t="s">
        <v>2072</v>
      </c>
      <c r="R983" s="1">
        <v>0.67</v>
      </c>
      <c r="S983" s="3">
        <f t="shared" ref="S983:S984" si="215">R983</f>
        <v>0.67</v>
      </c>
    </row>
    <row r="984" spans="1:19" x14ac:dyDescent="0.3">
      <c r="A984" t="s">
        <v>2033</v>
      </c>
      <c r="B984" t="s">
        <v>2034</v>
      </c>
      <c r="C984" t="str">
        <f t="shared" si="211"/>
        <v>Cindy Williams</v>
      </c>
      <c r="D984" t="s">
        <v>69</v>
      </c>
      <c r="E984" t="str">
        <f t="shared" si="208"/>
        <v>Female</v>
      </c>
      <c r="G984" t="s">
        <v>145</v>
      </c>
      <c r="H984" t="s">
        <v>146</v>
      </c>
      <c r="I984" t="s">
        <v>22</v>
      </c>
      <c r="J984">
        <v>0</v>
      </c>
      <c r="K984" s="4" t="str" cm="1">
        <f t="array" ref="K984">_xlfn.IFS(J984&lt;=5,"0-5",J984&lt;=10,"6-10",J984&lt;=15,"11-15",J984&lt;=20,"16-20",J984&gt;20,"21+")</f>
        <v>0-5</v>
      </c>
      <c r="L984" t="s">
        <v>28</v>
      </c>
      <c r="M984" s="2" t="str">
        <f>SUBSTITUTE(L984,"$","")</f>
        <v>40</v>
      </c>
      <c r="N984" s="8">
        <f t="shared" si="209"/>
        <v>40</v>
      </c>
      <c r="O984">
        <v>0</v>
      </c>
      <c r="P984" t="s">
        <v>151</v>
      </c>
      <c r="Q984" t="s">
        <v>2072</v>
      </c>
      <c r="R984" s="1">
        <v>0.97</v>
      </c>
      <c r="S984" s="3">
        <f t="shared" si="215"/>
        <v>0.97</v>
      </c>
    </row>
    <row r="985" spans="1:19" x14ac:dyDescent="0.3">
      <c r="A985" t="s">
        <v>2035</v>
      </c>
      <c r="B985" t="s">
        <v>2036</v>
      </c>
      <c r="C985" t="str">
        <f t="shared" si="211"/>
        <v>Laura Wong DDS</v>
      </c>
      <c r="D985" t="s">
        <v>31</v>
      </c>
      <c r="E985" t="str">
        <f t="shared" si="208"/>
        <v>Female</v>
      </c>
      <c r="F985">
        <v>50</v>
      </c>
      <c r="G985" t="s">
        <v>7</v>
      </c>
      <c r="H985" t="s">
        <v>8</v>
      </c>
      <c r="I985" t="s">
        <v>43</v>
      </c>
      <c r="J985">
        <v>16</v>
      </c>
      <c r="K985" s="4" t="str" cm="1">
        <f t="array" ref="K985">_xlfn.IFS(J985&lt;=5,"0-5",J985&lt;=10,"6-10",J985&lt;=15,"11-15",J985&lt;=20,"16-20",J985&gt;20,"21+")</f>
        <v>16-20</v>
      </c>
      <c r="L985" t="s">
        <v>162</v>
      </c>
      <c r="M985" s="2" t="str">
        <f>SUBSTITUTE(L985,"$","")</f>
        <v>75</v>
      </c>
      <c r="N985" s="8">
        <f t="shared" si="209"/>
        <v>75</v>
      </c>
      <c r="O985">
        <v>4.5</v>
      </c>
      <c r="P985">
        <v>0</v>
      </c>
      <c r="Q985" t="s">
        <v>2072</v>
      </c>
      <c r="R985">
        <v>69</v>
      </c>
      <c r="S985" s="3">
        <f>R985/100</f>
        <v>0.69</v>
      </c>
    </row>
    <row r="986" spans="1:19" x14ac:dyDescent="0.3">
      <c r="A986" t="s">
        <v>2037</v>
      </c>
      <c r="B986" t="s">
        <v>2038</v>
      </c>
      <c r="C986" t="str">
        <f t="shared" si="211"/>
        <v>Robert Moran</v>
      </c>
      <c r="D986" t="s">
        <v>40</v>
      </c>
      <c r="E986" t="str">
        <f t="shared" si="208"/>
        <v>Male</v>
      </c>
      <c r="F986">
        <v>48</v>
      </c>
      <c r="G986" t="s">
        <v>145</v>
      </c>
      <c r="H986" t="s">
        <v>146</v>
      </c>
      <c r="I986" t="s">
        <v>27</v>
      </c>
      <c r="J986">
        <v>8</v>
      </c>
      <c r="K986" s="4" t="str" cm="1">
        <f t="array" ref="K986">_xlfn.IFS(J986&lt;=5,"0-5",J986&lt;=10,"6-10",J986&lt;=15,"11-15",J986&lt;=20,"16-20",J986&gt;20,"21+")</f>
        <v>6-10</v>
      </c>
      <c r="L986">
        <v>50</v>
      </c>
      <c r="M986" s="2">
        <f>L986</f>
        <v>50</v>
      </c>
      <c r="N986" s="8">
        <f t="shared" si="209"/>
        <v>50</v>
      </c>
      <c r="P986">
        <v>1</v>
      </c>
      <c r="Q986" t="s">
        <v>2073</v>
      </c>
      <c r="R986" s="1">
        <v>0.73</v>
      </c>
      <c r="S986" s="3">
        <f t="shared" ref="S986:S987" si="216">R986</f>
        <v>0.73</v>
      </c>
    </row>
    <row r="987" spans="1:19" x14ac:dyDescent="0.3">
      <c r="A987" t="s">
        <v>2039</v>
      </c>
      <c r="B987" t="s">
        <v>2040</v>
      </c>
      <c r="C987" t="str">
        <f t="shared" si="211"/>
        <v>Bradley Wu</v>
      </c>
      <c r="D987" t="s">
        <v>40</v>
      </c>
      <c r="E987" t="str">
        <f t="shared" si="208"/>
        <v>Male</v>
      </c>
      <c r="F987">
        <v>60</v>
      </c>
      <c r="G987" t="s">
        <v>182</v>
      </c>
      <c r="H987" t="s">
        <v>64</v>
      </c>
      <c r="I987" t="s">
        <v>9</v>
      </c>
      <c r="J987">
        <v>39</v>
      </c>
      <c r="K987" s="4" t="str" cm="1">
        <f t="array" ref="K987">_xlfn.IFS(J987&lt;=5,"0-5",J987&lt;=10,"6-10",J987&lt;=15,"11-15",J987&lt;=20,"16-20",J987&gt;20,"21+")</f>
        <v>21+</v>
      </c>
      <c r="L987">
        <v>20</v>
      </c>
      <c r="M987" s="2">
        <f>L987</f>
        <v>20</v>
      </c>
      <c r="N987" s="8">
        <f t="shared" si="209"/>
        <v>20</v>
      </c>
      <c r="O987">
        <v>1.4</v>
      </c>
      <c r="P987" t="b">
        <v>1</v>
      </c>
      <c r="Q987" t="s">
        <v>2073</v>
      </c>
      <c r="R987" s="1">
        <v>0.86</v>
      </c>
      <c r="S987" s="3">
        <f t="shared" si="216"/>
        <v>0.86</v>
      </c>
    </row>
    <row r="988" spans="1:19" x14ac:dyDescent="0.3">
      <c r="A988" t="s">
        <v>2041</v>
      </c>
      <c r="B988" t="s">
        <v>2042</v>
      </c>
      <c r="C988" t="str">
        <f t="shared" si="211"/>
        <v>Daniel Thomas</v>
      </c>
      <c r="D988" t="s">
        <v>89</v>
      </c>
      <c r="E988" t="str">
        <f t="shared" si="208"/>
        <v>Male</v>
      </c>
      <c r="F988">
        <v>26</v>
      </c>
      <c r="G988" t="s">
        <v>131</v>
      </c>
      <c r="H988" t="s">
        <v>132</v>
      </c>
      <c r="I988" t="s">
        <v>106</v>
      </c>
      <c r="K988" s="4" t="str" cm="1">
        <f t="array" ref="K988">_xlfn.IFS(J988&lt;=5,"0-5",J988&lt;=10,"6-10",J988&lt;=15,"11-15",J988&lt;=20,"16-20",J988&gt;20,"21+")</f>
        <v>0-5</v>
      </c>
      <c r="L988">
        <v>50</v>
      </c>
      <c r="M988" s="2">
        <f>L988</f>
        <v>50</v>
      </c>
      <c r="N988" s="8">
        <f t="shared" si="209"/>
        <v>50</v>
      </c>
      <c r="O988">
        <v>0</v>
      </c>
      <c r="P988" t="s">
        <v>60</v>
      </c>
      <c r="Q988" t="s">
        <v>2073</v>
      </c>
      <c r="R988">
        <v>81</v>
      </c>
      <c r="S988" s="3">
        <f>R988/100</f>
        <v>0.81</v>
      </c>
    </row>
    <row r="989" spans="1:19" x14ac:dyDescent="0.3">
      <c r="A989" t="s">
        <v>2043</v>
      </c>
      <c r="B989" t="s">
        <v>2044</v>
      </c>
      <c r="C989" t="str">
        <f t="shared" si="211"/>
        <v>Michelle Peterson</v>
      </c>
      <c r="D989" t="s">
        <v>12</v>
      </c>
      <c r="E989" t="str">
        <f t="shared" si="208"/>
        <v>Female</v>
      </c>
      <c r="F989">
        <v>35</v>
      </c>
      <c r="G989" t="s">
        <v>104</v>
      </c>
      <c r="H989" t="s">
        <v>105</v>
      </c>
      <c r="I989" t="s">
        <v>22</v>
      </c>
      <c r="J989">
        <v>16</v>
      </c>
      <c r="K989" s="4" t="str" cm="1">
        <f t="array" ref="K989">_xlfn.IFS(J989&lt;=5,"0-5",J989&lt;=10,"6-10",J989&lt;=15,"11-15",J989&lt;=20,"16-20",J989&gt;20,"21+")</f>
        <v>16-20</v>
      </c>
      <c r="L989" t="s">
        <v>16</v>
      </c>
      <c r="M989" s="2" t="str">
        <f>TRIM(MID(L989,FIND(" ",L989)+1,LEN(L989)))</f>
        <v>100</v>
      </c>
      <c r="N989" s="8">
        <f t="shared" si="209"/>
        <v>100</v>
      </c>
      <c r="O989">
        <v>4.3</v>
      </c>
      <c r="P989">
        <v>1</v>
      </c>
      <c r="Q989" t="s">
        <v>2073</v>
      </c>
      <c r="R989" s="1">
        <v>0.74</v>
      </c>
      <c r="S989" s="3">
        <f>R989</f>
        <v>0.74</v>
      </c>
    </row>
    <row r="990" spans="1:19" x14ac:dyDescent="0.3">
      <c r="A990" t="s">
        <v>2045</v>
      </c>
      <c r="B990" t="s">
        <v>2046</v>
      </c>
      <c r="C990" t="str">
        <f t="shared" si="211"/>
        <v>Seth Thomas</v>
      </c>
      <c r="D990" t="s">
        <v>89</v>
      </c>
      <c r="E990" t="str">
        <f t="shared" si="208"/>
        <v>Male</v>
      </c>
      <c r="F990">
        <v>23</v>
      </c>
      <c r="G990" t="s">
        <v>50</v>
      </c>
      <c r="H990" t="s">
        <v>14</v>
      </c>
      <c r="I990" t="s">
        <v>9</v>
      </c>
      <c r="J990">
        <v>4</v>
      </c>
      <c r="K990" s="4" t="str" cm="1">
        <f t="array" ref="K990">_xlfn.IFS(J990&lt;=5,"0-5",J990&lt;=10,"6-10",J990&lt;=15,"11-15",J990&lt;=20,"16-20",J990&gt;20,"21+")</f>
        <v>0-5</v>
      </c>
      <c r="L990" t="s">
        <v>221</v>
      </c>
      <c r="M990" s="2" t="str">
        <f>SUBSTITUTE(L990,"$","")</f>
        <v>100</v>
      </c>
      <c r="N990" s="8">
        <f t="shared" si="209"/>
        <v>100</v>
      </c>
      <c r="O990">
        <v>2.2000000000000002</v>
      </c>
      <c r="P990">
        <v>1</v>
      </c>
      <c r="Q990" t="s">
        <v>2073</v>
      </c>
      <c r="R990">
        <v>64</v>
      </c>
      <c r="S990" s="3">
        <f>R990/100</f>
        <v>0.64</v>
      </c>
    </row>
    <row r="991" spans="1:19" x14ac:dyDescent="0.3">
      <c r="A991" t="s">
        <v>2047</v>
      </c>
      <c r="B991" t="s">
        <v>2048</v>
      </c>
      <c r="C991" t="str">
        <f t="shared" si="211"/>
        <v>Evan Ramos</v>
      </c>
      <c r="D991" t="s">
        <v>89</v>
      </c>
      <c r="E991" t="str">
        <f t="shared" si="208"/>
        <v>Male</v>
      </c>
      <c r="F991">
        <v>37</v>
      </c>
      <c r="G991" t="s">
        <v>13</v>
      </c>
      <c r="H991" t="s">
        <v>14</v>
      </c>
      <c r="I991" t="s">
        <v>22</v>
      </c>
      <c r="J991">
        <v>4</v>
      </c>
      <c r="K991" s="4" t="str" cm="1">
        <f t="array" ref="K991">_xlfn.IFS(J991&lt;=5,"0-5",J991&lt;=10,"6-10",J991&lt;=15,"11-15",J991&lt;=20,"16-20",J991&gt;20,"21+")</f>
        <v>0-5</v>
      </c>
      <c r="L991">
        <v>75</v>
      </c>
      <c r="M991" s="2">
        <f>L991</f>
        <v>75</v>
      </c>
      <c r="N991" s="8">
        <f t="shared" si="209"/>
        <v>75</v>
      </c>
      <c r="O991">
        <v>3.2</v>
      </c>
      <c r="P991" t="b">
        <v>0</v>
      </c>
      <c r="Q991" t="s">
        <v>2072</v>
      </c>
      <c r="R991" s="1">
        <v>0.76</v>
      </c>
      <c r="S991" s="3">
        <f>R991</f>
        <v>0.76</v>
      </c>
    </row>
    <row r="992" spans="1:19" x14ac:dyDescent="0.3">
      <c r="A992" t="s">
        <v>2049</v>
      </c>
      <c r="B992" t="s">
        <v>2050</v>
      </c>
      <c r="C992" t="str">
        <f t="shared" si="211"/>
        <v>Michelle Solis</v>
      </c>
      <c r="D992" t="s">
        <v>12</v>
      </c>
      <c r="E992" t="str">
        <f t="shared" si="208"/>
        <v>Female</v>
      </c>
      <c r="F992">
        <v>21</v>
      </c>
      <c r="G992" t="s">
        <v>63</v>
      </c>
      <c r="H992" t="s">
        <v>64</v>
      </c>
      <c r="I992" t="s">
        <v>36</v>
      </c>
      <c r="J992">
        <v>2</v>
      </c>
      <c r="K992" s="4" t="str" cm="1">
        <f t="array" ref="K992">_xlfn.IFS(J992&lt;=5,"0-5",J992&lt;=10,"6-10",J992&lt;=15,"11-15",J992&lt;=20,"16-20",J992&gt;20,"21+")</f>
        <v>0-5</v>
      </c>
      <c r="L992">
        <v>100</v>
      </c>
      <c r="M992" s="2">
        <f>L992</f>
        <v>100</v>
      </c>
      <c r="N992" s="8">
        <f t="shared" si="209"/>
        <v>100</v>
      </c>
      <c r="O992">
        <v>3.7</v>
      </c>
      <c r="P992" t="s">
        <v>60</v>
      </c>
      <c r="Q992" t="s">
        <v>2073</v>
      </c>
      <c r="R992">
        <v>73</v>
      </c>
      <c r="S992" s="3">
        <f>R992/100</f>
        <v>0.73</v>
      </c>
    </row>
    <row r="993" spans="1:19" x14ac:dyDescent="0.3">
      <c r="A993" t="s">
        <v>2051</v>
      </c>
      <c r="B993" t="s">
        <v>2052</v>
      </c>
      <c r="C993" t="str">
        <f t="shared" si="211"/>
        <v>Charlotte Taylor</v>
      </c>
      <c r="D993" t="s">
        <v>12</v>
      </c>
      <c r="E993" t="str">
        <f t="shared" si="208"/>
        <v>Female</v>
      </c>
      <c r="F993">
        <v>58</v>
      </c>
      <c r="G993" t="s">
        <v>20</v>
      </c>
      <c r="H993" t="s">
        <v>21</v>
      </c>
      <c r="I993" t="s">
        <v>65</v>
      </c>
      <c r="J993">
        <v>37</v>
      </c>
      <c r="K993" s="4" t="str" cm="1">
        <f t="array" ref="K993">_xlfn.IFS(J993&lt;=5,"0-5",J993&lt;=10,"6-10",J993&lt;=15,"11-15",J993&lt;=20,"16-20",J993&gt;20,"21+")</f>
        <v>21+</v>
      </c>
      <c r="L993" t="s">
        <v>90</v>
      </c>
      <c r="M993" s="2" t="str">
        <f>TRIM(MID(L993,FIND(" ",L993)+1,LEN(L993)))</f>
        <v>50</v>
      </c>
      <c r="N993" s="8">
        <f t="shared" si="209"/>
        <v>50</v>
      </c>
      <c r="O993">
        <v>4.9000000000000004</v>
      </c>
      <c r="P993" t="b">
        <v>0</v>
      </c>
      <c r="Q993" t="s">
        <v>2072</v>
      </c>
      <c r="R993" s="1">
        <v>0.69</v>
      </c>
      <c r="S993" s="3">
        <f t="shared" ref="S993:S994" si="217">R993</f>
        <v>0.69</v>
      </c>
    </row>
    <row r="994" spans="1:19" x14ac:dyDescent="0.3">
      <c r="A994" t="s">
        <v>2053</v>
      </c>
      <c r="B994" t="s">
        <v>2054</v>
      </c>
      <c r="C994" t="str">
        <f t="shared" si="211"/>
        <v>Sandra Preston</v>
      </c>
      <c r="D994" t="s">
        <v>69</v>
      </c>
      <c r="E994" t="str">
        <f t="shared" si="208"/>
        <v>Female</v>
      </c>
      <c r="F994">
        <v>52</v>
      </c>
      <c r="G994" t="s">
        <v>41</v>
      </c>
      <c r="H994" t="s">
        <v>42</v>
      </c>
      <c r="I994" t="s">
        <v>15</v>
      </c>
      <c r="J994">
        <v>32</v>
      </c>
      <c r="K994" s="4" t="str" cm="1">
        <f t="array" ref="K994">_xlfn.IFS(J994&lt;=5,"0-5",J994&lt;=10,"6-10",J994&lt;=15,"11-15",J994&lt;=20,"16-20",J994&gt;20,"21+")</f>
        <v>21+</v>
      </c>
      <c r="L994" t="s">
        <v>162</v>
      </c>
      <c r="M994" s="2" t="str">
        <f>SUBSTITUTE(L994,"$","")</f>
        <v>75</v>
      </c>
      <c r="N994" s="8">
        <f t="shared" si="209"/>
        <v>75</v>
      </c>
      <c r="O994">
        <v>3.2</v>
      </c>
      <c r="P994">
        <v>0</v>
      </c>
      <c r="Q994" t="s">
        <v>2072</v>
      </c>
      <c r="R994" s="1">
        <v>0.79</v>
      </c>
      <c r="S994" s="3">
        <f t="shared" si="217"/>
        <v>0.79</v>
      </c>
    </row>
    <row r="995" spans="1:19" x14ac:dyDescent="0.3">
      <c r="A995" t="s">
        <v>2055</v>
      </c>
      <c r="B995" t="s">
        <v>2056</v>
      </c>
      <c r="C995" t="str">
        <f t="shared" si="211"/>
        <v>Jim Weiss</v>
      </c>
      <c r="D995" t="s">
        <v>19</v>
      </c>
      <c r="E995" t="str">
        <f t="shared" si="208"/>
        <v>Male</v>
      </c>
      <c r="F995">
        <v>46</v>
      </c>
      <c r="G995" t="s">
        <v>116</v>
      </c>
      <c r="H995" t="s">
        <v>117</v>
      </c>
      <c r="I995" t="s">
        <v>15</v>
      </c>
      <c r="J995">
        <v>8</v>
      </c>
      <c r="K995" s="4" t="str" cm="1">
        <f t="array" ref="K995">_xlfn.IFS(J995&lt;=5,"0-5",J995&lt;=10,"6-10",J995&lt;=15,"11-15",J995&lt;=20,"16-20",J995&gt;20,"21+")</f>
        <v>6-10</v>
      </c>
      <c r="L995">
        <v>20</v>
      </c>
      <c r="M995" s="2">
        <f>L995</f>
        <v>20</v>
      </c>
      <c r="N995" s="8">
        <f t="shared" si="209"/>
        <v>20</v>
      </c>
      <c r="O995">
        <v>2.2000000000000002</v>
      </c>
      <c r="R995">
        <v>89</v>
      </c>
      <c r="S995" s="3">
        <f>R995/100</f>
        <v>0.89</v>
      </c>
    </row>
    <row r="996" spans="1:19" x14ac:dyDescent="0.3">
      <c r="A996" t="s">
        <v>2057</v>
      </c>
      <c r="B996" t="s">
        <v>2058</v>
      </c>
      <c r="C996" t="str">
        <f t="shared" si="211"/>
        <v>Jennifer Hinton</v>
      </c>
      <c r="D996" t="s">
        <v>69</v>
      </c>
      <c r="E996" t="str">
        <f t="shared" si="208"/>
        <v>Female</v>
      </c>
      <c r="F996">
        <v>34</v>
      </c>
      <c r="G996" t="s">
        <v>145</v>
      </c>
      <c r="H996" t="s">
        <v>146</v>
      </c>
      <c r="I996" t="s">
        <v>81</v>
      </c>
      <c r="J996">
        <v>8</v>
      </c>
      <c r="K996" s="4" t="str" cm="1">
        <f t="array" ref="K996">_xlfn.IFS(J996&lt;=5,"0-5",J996&lt;=10,"6-10",J996&lt;=15,"11-15",J996&lt;=20,"16-20",J996&gt;20,"21+")</f>
        <v>6-10</v>
      </c>
      <c r="L996">
        <v>30</v>
      </c>
      <c r="M996" s="2">
        <f>L996</f>
        <v>30</v>
      </c>
      <c r="N996" s="8">
        <f t="shared" si="209"/>
        <v>30</v>
      </c>
      <c r="O996">
        <v>3.9</v>
      </c>
      <c r="P996" t="s">
        <v>66</v>
      </c>
      <c r="Q996" t="s">
        <v>2073</v>
      </c>
      <c r="R996" s="1">
        <v>0.95</v>
      </c>
      <c r="S996" s="3">
        <f t="shared" ref="S996:S997" si="218">R996</f>
        <v>0.95</v>
      </c>
    </row>
    <row r="997" spans="1:19" x14ac:dyDescent="0.3">
      <c r="A997" t="s">
        <v>2059</v>
      </c>
      <c r="B997" t="s">
        <v>2060</v>
      </c>
      <c r="C997" t="str">
        <f t="shared" si="211"/>
        <v>Albert Wilcox</v>
      </c>
      <c r="D997" t="s">
        <v>89</v>
      </c>
      <c r="E997" t="str">
        <f t="shared" si="208"/>
        <v>Male</v>
      </c>
      <c r="F997">
        <v>56</v>
      </c>
      <c r="G997" t="s">
        <v>54</v>
      </c>
      <c r="H997" t="s">
        <v>55</v>
      </c>
      <c r="I997" t="s">
        <v>81</v>
      </c>
      <c r="J997">
        <v>13</v>
      </c>
      <c r="K997" s="4" t="str" cm="1">
        <f t="array" ref="K997">_xlfn.IFS(J997&lt;=5,"0-5",J997&lt;=10,"6-10",J997&lt;=15,"11-15",J997&lt;=20,"16-20",J997&gt;20,"21+")</f>
        <v>11-15</v>
      </c>
      <c r="L997">
        <v>100</v>
      </c>
      <c r="M997" s="2">
        <f>L997</f>
        <v>100</v>
      </c>
      <c r="N997" s="8">
        <f t="shared" si="209"/>
        <v>100</v>
      </c>
      <c r="O997">
        <v>0</v>
      </c>
      <c r="P997" t="s">
        <v>151</v>
      </c>
      <c r="Q997" t="s">
        <v>2072</v>
      </c>
      <c r="R997" s="1">
        <v>0.68</v>
      </c>
      <c r="S997" s="3">
        <f t="shared" si="218"/>
        <v>0.68</v>
      </c>
    </row>
    <row r="998" spans="1:19" x14ac:dyDescent="0.3">
      <c r="A998" t="s">
        <v>2061</v>
      </c>
      <c r="B998" t="s">
        <v>2062</v>
      </c>
      <c r="C998" t="str">
        <f t="shared" si="211"/>
        <v>Cheryl Norris</v>
      </c>
      <c r="D998" t="s">
        <v>6</v>
      </c>
      <c r="E998" t="str">
        <f t="shared" si="208"/>
        <v>Female</v>
      </c>
      <c r="F998">
        <v>26</v>
      </c>
      <c r="G998" t="s">
        <v>20</v>
      </c>
      <c r="H998" t="s">
        <v>21</v>
      </c>
      <c r="I998" t="s">
        <v>9</v>
      </c>
      <c r="J998">
        <v>6</v>
      </c>
      <c r="K998" s="4" t="str" cm="1">
        <f t="array" ref="K998">_xlfn.IFS(J998&lt;=5,"0-5",J998&lt;=10,"6-10",J998&lt;=15,"11-15",J998&lt;=20,"16-20",J998&gt;20,"21+")</f>
        <v>6-10</v>
      </c>
      <c r="L998" t="s">
        <v>47</v>
      </c>
      <c r="M998" s="2" t="str">
        <f>TRIM(MID(L998,FIND(" ",L998)+1,LEN(L998)))</f>
        <v>40</v>
      </c>
      <c r="N998" s="8">
        <f t="shared" si="209"/>
        <v>40</v>
      </c>
      <c r="O998">
        <v>2.8</v>
      </c>
      <c r="P998" t="s">
        <v>23</v>
      </c>
      <c r="Q998" t="s">
        <v>2072</v>
      </c>
      <c r="R998">
        <v>82</v>
      </c>
      <c r="S998" s="3">
        <f>R998/100</f>
        <v>0.82</v>
      </c>
    </row>
    <row r="999" spans="1:19" x14ac:dyDescent="0.3">
      <c r="A999" t="s">
        <v>2063</v>
      </c>
      <c r="B999" t="s">
        <v>2064</v>
      </c>
      <c r="C999" t="str">
        <f t="shared" si="211"/>
        <v>Kathy Watkins</v>
      </c>
      <c r="D999" t="s">
        <v>31</v>
      </c>
      <c r="E999" t="str">
        <f t="shared" si="208"/>
        <v>Female</v>
      </c>
      <c r="F999">
        <v>37</v>
      </c>
      <c r="G999" t="s">
        <v>77</v>
      </c>
      <c r="H999" t="s">
        <v>78</v>
      </c>
      <c r="I999" t="s">
        <v>43</v>
      </c>
      <c r="J999">
        <v>15</v>
      </c>
      <c r="K999" s="4" t="str" cm="1">
        <f t="array" ref="K999">_xlfn.IFS(J999&lt;=5,"0-5",J999&lt;=10,"6-10",J999&lt;=15,"11-15",J999&lt;=20,"16-20",J999&gt;20,"21+")</f>
        <v>11-15</v>
      </c>
      <c r="L999">
        <v>75</v>
      </c>
      <c r="M999" s="2">
        <f>L999</f>
        <v>75</v>
      </c>
      <c r="N999" s="8">
        <f t="shared" si="209"/>
        <v>75</v>
      </c>
      <c r="P999" t="b">
        <v>0</v>
      </c>
      <c r="Q999" t="s">
        <v>2072</v>
      </c>
      <c r="R999" s="1">
        <v>0.94</v>
      </c>
      <c r="S999" s="3">
        <f>R999</f>
        <v>0.94</v>
      </c>
    </row>
    <row r="1000" spans="1:19" x14ac:dyDescent="0.3">
      <c r="A1000" t="s">
        <v>2065</v>
      </c>
      <c r="B1000" t="s">
        <v>2066</v>
      </c>
      <c r="C1000" t="str">
        <f t="shared" si="211"/>
        <v>John Obrien</v>
      </c>
      <c r="D1000" t="s">
        <v>40</v>
      </c>
      <c r="E1000" t="str">
        <f t="shared" si="208"/>
        <v>Male</v>
      </c>
      <c r="F1000">
        <v>46</v>
      </c>
      <c r="G1000" t="s">
        <v>116</v>
      </c>
      <c r="H1000" t="s">
        <v>117</v>
      </c>
      <c r="I1000" t="s">
        <v>106</v>
      </c>
      <c r="J1000">
        <v>22</v>
      </c>
      <c r="K1000" s="4" t="str" cm="1">
        <f t="array" ref="K1000">_xlfn.IFS(J1000&lt;=5,"0-5",J1000&lt;=10,"6-10",J1000&lt;=15,"11-15",J1000&lt;=20,"16-20",J1000&gt;20,"21+")</f>
        <v>21+</v>
      </c>
      <c r="L1000">
        <v>100</v>
      </c>
      <c r="M1000" s="2">
        <f>L1000</f>
        <v>100</v>
      </c>
      <c r="N1000" s="8">
        <f t="shared" si="209"/>
        <v>100</v>
      </c>
      <c r="O1000">
        <v>2.8</v>
      </c>
      <c r="P1000" t="s">
        <v>60</v>
      </c>
      <c r="Q1000" t="s">
        <v>2073</v>
      </c>
      <c r="R1000">
        <v>97</v>
      </c>
      <c r="S1000" s="3">
        <f t="shared" ref="S1000:S1001" si="219">R1000/100</f>
        <v>0.97</v>
      </c>
    </row>
    <row r="1001" spans="1:19" x14ac:dyDescent="0.3">
      <c r="A1001" t="s">
        <v>2067</v>
      </c>
      <c r="B1001" t="s">
        <v>2068</v>
      </c>
      <c r="C1001" t="str">
        <f t="shared" si="211"/>
        <v>Dawn Green</v>
      </c>
      <c r="D1001" t="s">
        <v>69</v>
      </c>
      <c r="E1001" t="str">
        <f t="shared" si="208"/>
        <v>Female</v>
      </c>
      <c r="F1001">
        <v>36</v>
      </c>
      <c r="G1001" t="s">
        <v>171</v>
      </c>
      <c r="H1001" t="s">
        <v>64</v>
      </c>
      <c r="I1001" t="s">
        <v>65</v>
      </c>
      <c r="J1001">
        <v>18</v>
      </c>
      <c r="K1001" s="4" t="str" cm="1">
        <f t="array" ref="K1001">_xlfn.IFS(J1001&lt;=5,"0-5",J1001&lt;=10,"6-10",J1001&lt;=15,"11-15",J1001&lt;=20,"16-20",J1001&gt;20,"21+")</f>
        <v>16-20</v>
      </c>
      <c r="L1001" t="s">
        <v>113</v>
      </c>
      <c r="M1001" s="2" t="str">
        <f>SUBSTITUTE(L1001,"$","")</f>
        <v>20</v>
      </c>
      <c r="N1001" s="8">
        <f t="shared" si="209"/>
        <v>20</v>
      </c>
      <c r="O1001">
        <v>1.7</v>
      </c>
      <c r="P1001">
        <v>1</v>
      </c>
      <c r="Q1001" t="s">
        <v>2073</v>
      </c>
      <c r="R1001">
        <v>72</v>
      </c>
      <c r="S1001" s="3">
        <f t="shared" si="219"/>
        <v>0.72</v>
      </c>
    </row>
  </sheetData>
  <autoFilter ref="A1:R1001" xr:uid="{527D9495-DDCE-4F30-960F-C109C7802584}"/>
  <conditionalFormatting sqref="A1:A1048576">
    <cfRule type="duplicateValues" dxfId="1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84B6-F354-4930-BE3E-BB8D10F67659}">
  <dimension ref="A3:N25"/>
  <sheetViews>
    <sheetView workbookViewId="0">
      <selection activeCell="K4" sqref="K4"/>
    </sheetView>
  </sheetViews>
  <sheetFormatPr defaultRowHeight="14.4" x14ac:dyDescent="0.3"/>
  <cols>
    <col min="1" max="1" width="21.44140625" bestFit="1" customWidth="1"/>
    <col min="2" max="2" width="16" bestFit="1" customWidth="1"/>
    <col min="4" max="4" width="12.5546875" bestFit="1" customWidth="1"/>
    <col min="5" max="5" width="20.44140625" bestFit="1" customWidth="1"/>
    <col min="7" max="7" width="12.5546875" bestFit="1" customWidth="1"/>
    <col min="8" max="8" width="20.44140625" bestFit="1" customWidth="1"/>
    <col min="10" max="10" width="12.5546875" bestFit="1" customWidth="1"/>
    <col min="11" max="11" width="20.44140625" bestFit="1" customWidth="1"/>
    <col min="13" max="13" width="14" bestFit="1" customWidth="1"/>
    <col min="14" max="14" width="20.44140625" bestFit="1" customWidth="1"/>
  </cols>
  <sheetData>
    <row r="3" spans="1:14" x14ac:dyDescent="0.3">
      <c r="A3" s="5" t="s">
        <v>2085</v>
      </c>
      <c r="B3" t="s">
        <v>2088</v>
      </c>
      <c r="D3" s="5" t="s">
        <v>2085</v>
      </c>
      <c r="E3" t="s">
        <v>2084</v>
      </c>
      <c r="G3" s="5" t="s">
        <v>2085</v>
      </c>
      <c r="H3" t="s">
        <v>2084</v>
      </c>
      <c r="J3" s="5" t="s">
        <v>2085</v>
      </c>
      <c r="K3" t="s">
        <v>2084</v>
      </c>
      <c r="M3" s="5" t="s">
        <v>2085</v>
      </c>
      <c r="N3" t="s">
        <v>2084</v>
      </c>
    </row>
    <row r="4" spans="1:14" x14ac:dyDescent="0.3">
      <c r="A4" s="6" t="s">
        <v>81</v>
      </c>
      <c r="B4" s="2">
        <v>2.8106796116504866</v>
      </c>
      <c r="D4" s="6" t="s">
        <v>2089</v>
      </c>
      <c r="E4" s="1">
        <v>0.39100000000000001</v>
      </c>
      <c r="G4" s="6" t="s">
        <v>2094</v>
      </c>
      <c r="H4" s="1">
        <v>0.157</v>
      </c>
      <c r="J4" s="6" t="s">
        <v>14</v>
      </c>
      <c r="K4" s="8">
        <v>215</v>
      </c>
      <c r="M4" s="6" t="s">
        <v>104</v>
      </c>
      <c r="N4" s="8">
        <v>68</v>
      </c>
    </row>
    <row r="5" spans="1:14" x14ac:dyDescent="0.3">
      <c r="A5" s="6" t="s">
        <v>106</v>
      </c>
      <c r="B5" s="2">
        <v>2.5741176470588236</v>
      </c>
      <c r="D5" s="6" t="s">
        <v>2093</v>
      </c>
      <c r="E5" s="1">
        <v>0.18</v>
      </c>
      <c r="G5" s="6" t="s">
        <v>2099</v>
      </c>
      <c r="H5" s="1">
        <v>0.13400000000000001</v>
      </c>
      <c r="J5" s="6" t="s">
        <v>64</v>
      </c>
      <c r="K5" s="8">
        <v>142</v>
      </c>
      <c r="M5" s="6" t="s">
        <v>120</v>
      </c>
      <c r="N5" s="8">
        <v>65</v>
      </c>
    </row>
    <row r="6" spans="1:14" x14ac:dyDescent="0.3">
      <c r="A6" s="6" t="s">
        <v>15</v>
      </c>
      <c r="B6" s="2">
        <v>2.5476744186046507</v>
      </c>
      <c r="D6" s="6" t="s">
        <v>2090</v>
      </c>
      <c r="E6" s="1">
        <v>0.158</v>
      </c>
      <c r="G6" s="6" t="s">
        <v>2097</v>
      </c>
      <c r="H6" s="1">
        <v>0.17100000000000001</v>
      </c>
      <c r="J6" s="6" t="s">
        <v>105</v>
      </c>
      <c r="K6" s="8">
        <v>68</v>
      </c>
      <c r="M6" s="6" t="s">
        <v>20</v>
      </c>
      <c r="N6" s="8">
        <v>52</v>
      </c>
    </row>
    <row r="7" spans="1:14" x14ac:dyDescent="0.3">
      <c r="A7" s="6" t="s">
        <v>65</v>
      </c>
      <c r="B7" s="2">
        <v>2.5237623762376242</v>
      </c>
      <c r="D7" s="6" t="s">
        <v>2091</v>
      </c>
      <c r="E7" s="1">
        <v>9.4E-2</v>
      </c>
      <c r="G7" s="6" t="s">
        <v>2096</v>
      </c>
      <c r="H7" s="1">
        <v>0.15</v>
      </c>
      <c r="J7" s="6" t="s">
        <v>21</v>
      </c>
      <c r="K7" s="8">
        <v>52</v>
      </c>
      <c r="M7" s="6" t="s">
        <v>13</v>
      </c>
      <c r="N7" s="8">
        <v>51</v>
      </c>
    </row>
    <row r="8" spans="1:14" x14ac:dyDescent="0.3">
      <c r="A8" s="6" t="s">
        <v>22</v>
      </c>
      <c r="B8" s="2">
        <v>2.5105882352941169</v>
      </c>
      <c r="D8" s="6" t="s">
        <v>2092</v>
      </c>
      <c r="E8" s="1">
        <v>0.17699999999999999</v>
      </c>
      <c r="G8" s="6" t="s">
        <v>2095</v>
      </c>
      <c r="H8" s="1">
        <v>0.14199999999999999</v>
      </c>
      <c r="J8" s="6" t="s">
        <v>35</v>
      </c>
      <c r="K8" s="8">
        <v>51</v>
      </c>
      <c r="M8" s="6" t="s">
        <v>34</v>
      </c>
      <c r="N8" s="8">
        <v>51</v>
      </c>
    </row>
    <row r="9" spans="1:14" x14ac:dyDescent="0.3">
      <c r="A9" s="6" t="s">
        <v>70</v>
      </c>
      <c r="B9" s="2">
        <v>2.4714285714285711</v>
      </c>
      <c r="D9" s="6" t="s">
        <v>2086</v>
      </c>
      <c r="E9" s="7">
        <v>1</v>
      </c>
      <c r="G9" s="6"/>
      <c r="H9" s="1">
        <v>9.4E-2</v>
      </c>
      <c r="J9" s="6" t="s">
        <v>168</v>
      </c>
      <c r="K9" s="8">
        <v>49</v>
      </c>
      <c r="M9" s="6" t="s">
        <v>171</v>
      </c>
      <c r="N9" s="8">
        <v>50</v>
      </c>
    </row>
    <row r="10" spans="1:14" x14ac:dyDescent="0.3">
      <c r="A10" s="6" t="s">
        <v>27</v>
      </c>
      <c r="B10" s="2">
        <v>2.4361702127659566</v>
      </c>
      <c r="G10" s="6" t="s">
        <v>2098</v>
      </c>
      <c r="H10" s="1">
        <v>0.152</v>
      </c>
      <c r="J10" s="6" t="s">
        <v>117</v>
      </c>
      <c r="K10" s="8">
        <v>47</v>
      </c>
      <c r="M10" s="6" t="s">
        <v>59</v>
      </c>
      <c r="N10" s="8">
        <v>50</v>
      </c>
    </row>
    <row r="11" spans="1:14" x14ac:dyDescent="0.3">
      <c r="A11" s="6" t="s">
        <v>43</v>
      </c>
      <c r="B11" s="2">
        <v>2.4267441860465122</v>
      </c>
      <c r="G11" s="6" t="s">
        <v>2086</v>
      </c>
      <c r="H11" s="1">
        <v>1</v>
      </c>
      <c r="J11" s="6" t="s">
        <v>42</v>
      </c>
      <c r="K11" s="8">
        <v>46</v>
      </c>
      <c r="M11" s="6" t="s">
        <v>167</v>
      </c>
      <c r="N11" s="8">
        <v>49</v>
      </c>
    </row>
    <row r="12" spans="1:14" x14ac:dyDescent="0.3">
      <c r="A12" s="6" t="s">
        <v>36</v>
      </c>
      <c r="B12" s="2">
        <v>2.4168539325842695</v>
      </c>
      <c r="J12" s="6" t="s">
        <v>86</v>
      </c>
      <c r="K12" s="8">
        <v>45</v>
      </c>
      <c r="M12" s="6" t="s">
        <v>50</v>
      </c>
      <c r="N12" s="8">
        <v>49</v>
      </c>
    </row>
    <row r="13" spans="1:14" x14ac:dyDescent="0.3">
      <c r="A13" s="6" t="s">
        <v>9</v>
      </c>
      <c r="B13" s="2">
        <v>2.3655913978494625</v>
      </c>
      <c r="J13" s="6" t="s">
        <v>55</v>
      </c>
      <c r="K13" s="8">
        <v>45</v>
      </c>
      <c r="M13" s="6" t="s">
        <v>63</v>
      </c>
      <c r="N13" s="8">
        <v>47</v>
      </c>
    </row>
    <row r="14" spans="1:14" x14ac:dyDescent="0.3">
      <c r="A14" s="6" t="s">
        <v>2086</v>
      </c>
      <c r="B14" s="2">
        <v>2.5125695216907653</v>
      </c>
      <c r="J14" s="6" t="s">
        <v>146</v>
      </c>
      <c r="K14" s="8">
        <v>44</v>
      </c>
      <c r="M14" s="6" t="s">
        <v>116</v>
      </c>
      <c r="N14" s="8">
        <v>47</v>
      </c>
    </row>
    <row r="15" spans="1:14" x14ac:dyDescent="0.3">
      <c r="J15" s="6" t="s">
        <v>128</v>
      </c>
      <c r="K15" s="8">
        <v>44</v>
      </c>
      <c r="M15" s="6" t="s">
        <v>41</v>
      </c>
      <c r="N15" s="8">
        <v>46</v>
      </c>
    </row>
    <row r="16" spans="1:14" x14ac:dyDescent="0.3">
      <c r="J16" s="6" t="s">
        <v>8</v>
      </c>
      <c r="K16" s="8">
        <v>42</v>
      </c>
      <c r="M16" s="6" t="s">
        <v>182</v>
      </c>
      <c r="N16" s="8">
        <v>45</v>
      </c>
    </row>
    <row r="17" spans="10:14" x14ac:dyDescent="0.3">
      <c r="J17" s="6" t="s">
        <v>132</v>
      </c>
      <c r="K17" s="8">
        <v>42</v>
      </c>
      <c r="M17" s="6" t="s">
        <v>54</v>
      </c>
      <c r="N17" s="8">
        <v>45</v>
      </c>
    </row>
    <row r="18" spans="10:14" x14ac:dyDescent="0.3">
      <c r="J18" s="6" t="s">
        <v>78</v>
      </c>
      <c r="K18" s="8">
        <v>37</v>
      </c>
      <c r="M18" s="6" t="s">
        <v>85</v>
      </c>
      <c r="N18" s="8">
        <v>45</v>
      </c>
    </row>
    <row r="19" spans="10:14" x14ac:dyDescent="0.3">
      <c r="J19" s="6" t="s">
        <v>100</v>
      </c>
      <c r="K19" s="8">
        <v>31</v>
      </c>
      <c r="M19" s="6" t="s">
        <v>145</v>
      </c>
      <c r="N19" s="8">
        <v>44</v>
      </c>
    </row>
    <row r="20" spans="10:14" x14ac:dyDescent="0.3">
      <c r="J20" s="6" t="s">
        <v>2086</v>
      </c>
      <c r="K20" s="8">
        <v>1000</v>
      </c>
      <c r="M20" s="6" t="s">
        <v>127</v>
      </c>
      <c r="N20" s="8">
        <v>44</v>
      </c>
    </row>
    <row r="21" spans="10:14" x14ac:dyDescent="0.3">
      <c r="M21" s="6" t="s">
        <v>131</v>
      </c>
      <c r="N21" s="8">
        <v>42</v>
      </c>
    </row>
    <row r="22" spans="10:14" x14ac:dyDescent="0.3">
      <c r="M22" s="6" t="s">
        <v>7</v>
      </c>
      <c r="N22" s="8">
        <v>42</v>
      </c>
    </row>
    <row r="23" spans="10:14" x14ac:dyDescent="0.3">
      <c r="M23" s="6" t="s">
        <v>77</v>
      </c>
      <c r="N23" s="8">
        <v>37</v>
      </c>
    </row>
    <row r="24" spans="10:14" x14ac:dyDescent="0.3">
      <c r="M24" s="6" t="s">
        <v>99</v>
      </c>
      <c r="N24" s="8">
        <v>31</v>
      </c>
    </row>
    <row r="25" spans="10:14" x14ac:dyDescent="0.3">
      <c r="M25" s="6" t="s">
        <v>2086</v>
      </c>
      <c r="N25" s="8">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51BC-00CC-4050-B118-4563D93DC466}">
  <sheetPr>
    <tabColor theme="5"/>
  </sheetPr>
  <dimension ref="A1"/>
  <sheetViews>
    <sheetView showGridLines="0" workbookViewId="0">
      <selection activeCell="I26" sqref="I2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9495-DDCE-4F30-960F-C109C7802584}">
  <dimension ref="A1:S1001"/>
  <sheetViews>
    <sheetView workbookViewId="0">
      <selection activeCell="J3" sqref="J3"/>
    </sheetView>
  </sheetViews>
  <sheetFormatPr defaultRowHeight="14.4" x14ac:dyDescent="0.3"/>
  <cols>
    <col min="1" max="1" width="14.5546875" bestFit="1" customWidth="1"/>
    <col min="2" max="2" width="22.77734375" hidden="1" customWidth="1"/>
    <col min="3" max="3" width="22.77734375" customWidth="1"/>
    <col min="4" max="4" width="8.77734375" hidden="1" customWidth="1"/>
    <col min="5" max="5" width="14.6640625" customWidth="1"/>
    <col min="6" max="6" width="8.6640625" customWidth="1"/>
    <col min="7" max="7" width="14" bestFit="1" customWidth="1"/>
    <col min="8" max="8" width="10.44140625" bestFit="1" customWidth="1"/>
    <col min="9" max="9" width="21.44140625" bestFit="1" customWidth="1"/>
    <col min="10" max="10" width="20.44140625" customWidth="1"/>
    <col min="11" max="11" width="20.44140625" style="4" customWidth="1"/>
    <col min="12" max="12" width="17.77734375" hidden="1" customWidth="1"/>
    <col min="13" max="13" width="17.77734375" style="2" hidden="1" customWidth="1"/>
    <col min="14" max="14" width="17.77734375" style="8" customWidth="1"/>
    <col min="15" max="15" width="9.88671875" customWidth="1"/>
    <col min="16" max="16" width="13.44140625" hidden="1" customWidth="1"/>
    <col min="17" max="17" width="13.44140625" customWidth="1"/>
    <col min="18" max="18" width="18.21875" hidden="1" customWidth="1"/>
    <col min="19" max="19" width="20.44140625" style="3" customWidth="1"/>
  </cols>
  <sheetData>
    <row r="1" spans="1:19" x14ac:dyDescent="0.3">
      <c r="A1" s="10" t="s">
        <v>2078</v>
      </c>
      <c r="B1" s="10" t="s">
        <v>0</v>
      </c>
      <c r="C1" s="10" t="s">
        <v>2077</v>
      </c>
      <c r="D1" s="10" t="s">
        <v>2087</v>
      </c>
      <c r="E1" s="10" t="s">
        <v>2069</v>
      </c>
      <c r="F1" s="10" t="s">
        <v>2079</v>
      </c>
      <c r="G1" s="10" t="s">
        <v>2076</v>
      </c>
      <c r="H1" s="10" t="s">
        <v>2080</v>
      </c>
      <c r="I1" s="10" t="s">
        <v>2075</v>
      </c>
      <c r="J1" s="10" t="s">
        <v>2081</v>
      </c>
      <c r="K1" s="11" t="s">
        <v>2070</v>
      </c>
      <c r="L1" s="10" t="s">
        <v>1</v>
      </c>
      <c r="M1" s="12" t="s">
        <v>2100</v>
      </c>
      <c r="N1" s="13" t="s">
        <v>2071</v>
      </c>
      <c r="O1" s="10" t="s">
        <v>2082</v>
      </c>
      <c r="P1" s="10" t="s">
        <v>2</v>
      </c>
      <c r="Q1" s="10" t="s">
        <v>2074</v>
      </c>
      <c r="R1" s="10" t="s">
        <v>3</v>
      </c>
      <c r="S1" s="14" t="s">
        <v>2083</v>
      </c>
    </row>
    <row r="2" spans="1:19" x14ac:dyDescent="0.3">
      <c r="A2" t="s">
        <v>4</v>
      </c>
      <c r="B2" t="s">
        <v>5</v>
      </c>
      <c r="C2" t="str">
        <f>TRIM(MID(B2,FIND(" ",B2)+1,LEN(B2)))</f>
        <v>Nicole Kidd</v>
      </c>
      <c r="D2" t="s">
        <v>6</v>
      </c>
      <c r="E2" t="str">
        <f t="shared" ref="E2:E65" si="0">IF(LOWER(LEFT(D2,1))="f","Female","Male")</f>
        <v>Female</v>
      </c>
      <c r="F2">
        <v>52</v>
      </c>
      <c r="G2" t="s">
        <v>7</v>
      </c>
      <c r="H2" t="s">
        <v>8</v>
      </c>
      <c r="I2" t="s">
        <v>9</v>
      </c>
      <c r="J2">
        <v>11</v>
      </c>
      <c r="K2" s="4" t="str" cm="1">
        <f t="array" ref="K2">_xlfn.IFS(J2&lt;=5,"0-5",J2&lt;=10,"6-10",J2&lt;=15,"11-15",J2&lt;=20,"16-20",J2&gt;20,"21+")</f>
        <v>11-15</v>
      </c>
      <c r="L2">
        <v>100</v>
      </c>
      <c r="M2" s="2">
        <f>L2</f>
        <v>100</v>
      </c>
      <c r="N2" s="8">
        <f>IF(M2="", "", VALUE(M2))</f>
        <v>100</v>
      </c>
      <c r="P2">
        <v>0</v>
      </c>
      <c r="Q2" t="s">
        <v>2072</v>
      </c>
    </row>
    <row r="3" spans="1:19" x14ac:dyDescent="0.3">
      <c r="A3" t="s">
        <v>10</v>
      </c>
      <c r="B3" t="s">
        <v>11</v>
      </c>
      <c r="C3" t="str">
        <f>B3</f>
        <v>Vanessa Garcia</v>
      </c>
      <c r="D3" t="s">
        <v>12</v>
      </c>
      <c r="E3" t="str">
        <f t="shared" si="0"/>
        <v>Female</v>
      </c>
      <c r="F3">
        <v>52</v>
      </c>
      <c r="G3" t="s">
        <v>13</v>
      </c>
      <c r="H3" t="s">
        <v>14</v>
      </c>
      <c r="I3" t="s">
        <v>15</v>
      </c>
      <c r="J3">
        <v>34</v>
      </c>
      <c r="K3" s="4" t="str" cm="1">
        <f t="array" ref="K3">_xlfn.IFS(J3&lt;=5,"0-5",J3&lt;=10,"6-10",J3&lt;=15,"11-15",J3&lt;=20,"16-20",J3&gt;20,"21+")</f>
        <v>21+</v>
      </c>
      <c r="L3" t="s">
        <v>16</v>
      </c>
      <c r="M3" s="2" t="str">
        <f>TRIM(MID(L3,FIND(" ",L3)+1,LEN(L3)))</f>
        <v>100</v>
      </c>
      <c r="N3" s="8">
        <f t="shared" ref="N3:N66" si="1">IF(M3="", "", VALUE(M3))</f>
        <v>100</v>
      </c>
      <c r="O3">
        <v>3.3</v>
      </c>
      <c r="P3">
        <v>1</v>
      </c>
      <c r="Q3" t="s">
        <v>2073</v>
      </c>
      <c r="R3" s="1">
        <v>0.84</v>
      </c>
      <c r="S3" s="3">
        <f>R3</f>
        <v>0.84</v>
      </c>
    </row>
    <row r="4" spans="1:19" x14ac:dyDescent="0.3">
      <c r="A4" t="s">
        <v>17</v>
      </c>
      <c r="B4" t="s">
        <v>18</v>
      </c>
      <c r="C4" t="str">
        <f t="shared" ref="C4:C47" si="2">B4</f>
        <v>Juan Nelson</v>
      </c>
      <c r="D4" t="s">
        <v>19</v>
      </c>
      <c r="E4" t="str">
        <f t="shared" si="0"/>
        <v>Male</v>
      </c>
      <c r="F4">
        <v>53</v>
      </c>
      <c r="G4" t="s">
        <v>20</v>
      </c>
      <c r="H4" t="s">
        <v>21</v>
      </c>
      <c r="I4" t="s">
        <v>22</v>
      </c>
      <c r="J4">
        <v>31</v>
      </c>
      <c r="K4" s="4" t="str" cm="1">
        <f t="array" ref="K4">_xlfn.IFS(J4&lt;=5,"0-5",J4&lt;=10,"6-10",J4&lt;=15,"11-15",J4&lt;=20,"16-20",J4&gt;20,"21+")</f>
        <v>21+</v>
      </c>
      <c r="L4">
        <v>50</v>
      </c>
      <c r="M4" s="2">
        <f>L4</f>
        <v>50</v>
      </c>
      <c r="N4" s="8">
        <f t="shared" si="1"/>
        <v>50</v>
      </c>
      <c r="O4">
        <v>0</v>
      </c>
      <c r="P4" t="s">
        <v>23</v>
      </c>
      <c r="Q4" t="s">
        <v>2072</v>
      </c>
      <c r="R4" s="1">
        <v>0.71</v>
      </c>
      <c r="S4" s="3">
        <f t="shared" ref="S4:S6" si="3">R4</f>
        <v>0.71</v>
      </c>
    </row>
    <row r="5" spans="1:19" x14ac:dyDescent="0.3">
      <c r="A5" t="s">
        <v>24</v>
      </c>
      <c r="B5" t="s">
        <v>25</v>
      </c>
      <c r="C5" t="str">
        <f t="shared" si="2"/>
        <v>Amanda Spencer</v>
      </c>
      <c r="D5" t="s">
        <v>26</v>
      </c>
      <c r="E5" t="str">
        <f t="shared" si="0"/>
        <v>Female</v>
      </c>
      <c r="F5">
        <v>38</v>
      </c>
      <c r="G5" t="s">
        <v>13</v>
      </c>
      <c r="H5" t="s">
        <v>14</v>
      </c>
      <c r="I5" t="s">
        <v>27</v>
      </c>
      <c r="J5">
        <v>4</v>
      </c>
      <c r="K5" s="4" t="str" cm="1">
        <f t="array" ref="K5">_xlfn.IFS(J5&lt;=5,"0-5",J5&lt;=10,"6-10",J5&lt;=15,"11-15",J5&lt;=20,"16-20",J5&gt;20,"21+")</f>
        <v>0-5</v>
      </c>
      <c r="L5" t="s">
        <v>28</v>
      </c>
      <c r="M5" s="2" t="str">
        <f>SUBSTITUTE(L5,"$","")</f>
        <v>40</v>
      </c>
      <c r="N5" s="8">
        <f t="shared" si="1"/>
        <v>40</v>
      </c>
      <c r="O5">
        <v>1.5</v>
      </c>
      <c r="P5" t="s">
        <v>23</v>
      </c>
      <c r="Q5" t="s">
        <v>2072</v>
      </c>
      <c r="R5" s="1">
        <v>0.9</v>
      </c>
      <c r="S5" s="3">
        <f t="shared" si="3"/>
        <v>0.9</v>
      </c>
    </row>
    <row r="6" spans="1:19" x14ac:dyDescent="0.3">
      <c r="A6" t="s">
        <v>29</v>
      </c>
      <c r="B6" t="s">
        <v>30</v>
      </c>
      <c r="C6" t="str">
        <f t="shared" si="2"/>
        <v>Lynn Curtis DDS</v>
      </c>
      <c r="D6" t="s">
        <v>31</v>
      </c>
      <c r="E6" t="str">
        <f t="shared" si="0"/>
        <v>Female</v>
      </c>
      <c r="F6">
        <v>53</v>
      </c>
      <c r="G6" t="s">
        <v>20</v>
      </c>
      <c r="H6" t="s">
        <v>21</v>
      </c>
      <c r="I6" t="s">
        <v>27</v>
      </c>
      <c r="J6">
        <v>27</v>
      </c>
      <c r="K6" s="4" t="str" cm="1">
        <f t="array" ref="K6">_xlfn.IFS(J6&lt;=5,"0-5",J6&lt;=10,"6-10",J6&lt;=15,"11-15",J6&lt;=20,"16-20",J6&gt;20,"21+")</f>
        <v>21+</v>
      </c>
      <c r="L6">
        <v>30</v>
      </c>
      <c r="M6" s="2">
        <f>L6</f>
        <v>30</v>
      </c>
      <c r="N6" s="8">
        <f t="shared" si="1"/>
        <v>30</v>
      </c>
      <c r="O6">
        <v>4.8</v>
      </c>
      <c r="P6">
        <v>0</v>
      </c>
      <c r="Q6" t="s">
        <v>2072</v>
      </c>
      <c r="R6" s="1">
        <v>0.83</v>
      </c>
      <c r="S6" s="3">
        <f t="shared" si="3"/>
        <v>0.83</v>
      </c>
    </row>
    <row r="7" spans="1:19" x14ac:dyDescent="0.3">
      <c r="A7" t="s">
        <v>32</v>
      </c>
      <c r="B7" t="s">
        <v>33</v>
      </c>
      <c r="C7" t="str">
        <f t="shared" si="2"/>
        <v>Lisa Johnson</v>
      </c>
      <c r="D7" t="s">
        <v>31</v>
      </c>
      <c r="E7" t="str">
        <f t="shared" si="0"/>
        <v>Female</v>
      </c>
      <c r="F7">
        <v>59</v>
      </c>
      <c r="G7" t="s">
        <v>34</v>
      </c>
      <c r="H7" t="s">
        <v>35</v>
      </c>
      <c r="I7" t="s">
        <v>36</v>
      </c>
      <c r="J7">
        <v>14</v>
      </c>
      <c r="K7" s="4" t="str" cm="1">
        <f t="array" ref="K7">_xlfn.IFS(J7&lt;=5,"0-5",J7&lt;=10,"6-10",J7&lt;=15,"11-15",J7&lt;=20,"16-20",J7&gt;20,"21+")</f>
        <v>11-15</v>
      </c>
      <c r="L7" t="s">
        <v>37</v>
      </c>
      <c r="M7" s="2" t="str">
        <f>SUBSTITUTE(L7,"$","")</f>
        <v>30</v>
      </c>
      <c r="N7" s="8">
        <f t="shared" si="1"/>
        <v>30</v>
      </c>
      <c r="O7">
        <v>2.4</v>
      </c>
      <c r="P7" t="b">
        <v>0</v>
      </c>
      <c r="Q7" t="s">
        <v>2072</v>
      </c>
    </row>
    <row r="8" spans="1:19" x14ac:dyDescent="0.3">
      <c r="A8" t="s">
        <v>38</v>
      </c>
      <c r="B8" t="s">
        <v>39</v>
      </c>
      <c r="C8" t="str">
        <f t="shared" si="2"/>
        <v>Eric Myers</v>
      </c>
      <c r="D8" t="s">
        <v>40</v>
      </c>
      <c r="E8" t="str">
        <f t="shared" si="0"/>
        <v>Male</v>
      </c>
      <c r="F8">
        <v>52</v>
      </c>
      <c r="G8" t="s">
        <v>41</v>
      </c>
      <c r="H8" t="s">
        <v>42</v>
      </c>
      <c r="I8" t="s">
        <v>43</v>
      </c>
      <c r="J8">
        <v>10</v>
      </c>
      <c r="K8" s="4" t="str" cm="1">
        <f t="array" ref="K8">_xlfn.IFS(J8&lt;=5,"0-5",J8&lt;=10,"6-10",J8&lt;=15,"11-15",J8&lt;=20,"16-20",J8&gt;20,"21+")</f>
        <v>6-10</v>
      </c>
      <c r="L8" t="s">
        <v>44</v>
      </c>
      <c r="M8" s="2" t="str">
        <f>TRIM(MID(L8,FIND(" ",L8)+1,LEN(L8)))</f>
        <v>75</v>
      </c>
      <c r="N8" s="8">
        <f t="shared" si="1"/>
        <v>75</v>
      </c>
      <c r="O8">
        <v>3.1</v>
      </c>
      <c r="P8">
        <v>0</v>
      </c>
      <c r="Q8" t="s">
        <v>2072</v>
      </c>
      <c r="R8" s="1">
        <v>0.94</v>
      </c>
      <c r="S8" s="3">
        <f t="shared" ref="S8:S10" si="4">R8</f>
        <v>0.94</v>
      </c>
    </row>
    <row r="9" spans="1:19" x14ac:dyDescent="0.3">
      <c r="A9" t="s">
        <v>45</v>
      </c>
      <c r="B9" t="s">
        <v>46</v>
      </c>
      <c r="C9" t="str">
        <f t="shared" si="2"/>
        <v>Ricky Graham</v>
      </c>
      <c r="D9" t="s">
        <v>19</v>
      </c>
      <c r="E9" t="str">
        <f t="shared" si="0"/>
        <v>Male</v>
      </c>
      <c r="F9">
        <v>43</v>
      </c>
      <c r="G9" t="s">
        <v>7</v>
      </c>
      <c r="H9" t="s">
        <v>8</v>
      </c>
      <c r="I9" t="s">
        <v>9</v>
      </c>
      <c r="J9">
        <v>14</v>
      </c>
      <c r="K9" s="4" t="str" cm="1">
        <f t="array" ref="K9">_xlfn.IFS(J9&lt;=5,"0-5",J9&lt;=10,"6-10",J9&lt;=15,"11-15",J9&lt;=20,"16-20",J9&gt;20,"21+")</f>
        <v>11-15</v>
      </c>
      <c r="L9" t="s">
        <v>47</v>
      </c>
      <c r="M9" s="2" t="str">
        <f>TRIM(MID(L9,FIND(" ",L9)+1,LEN(L9)))</f>
        <v>40</v>
      </c>
      <c r="N9" s="8">
        <f t="shared" si="1"/>
        <v>40</v>
      </c>
      <c r="O9">
        <v>4.5999999999999996</v>
      </c>
      <c r="P9" t="b">
        <v>0</v>
      </c>
      <c r="Q9" t="s">
        <v>2072</v>
      </c>
      <c r="R9" s="1">
        <v>0.94</v>
      </c>
      <c r="S9" s="3">
        <f t="shared" si="4"/>
        <v>0.94</v>
      </c>
    </row>
    <row r="10" spans="1:19" x14ac:dyDescent="0.3">
      <c r="A10" t="s">
        <v>48</v>
      </c>
      <c r="B10" t="s">
        <v>49</v>
      </c>
      <c r="C10" t="str">
        <f t="shared" si="2"/>
        <v>Sean Martin</v>
      </c>
      <c r="D10" t="s">
        <v>19</v>
      </c>
      <c r="E10" t="str">
        <f t="shared" si="0"/>
        <v>Male</v>
      </c>
      <c r="F10">
        <v>26</v>
      </c>
      <c r="G10" t="s">
        <v>50</v>
      </c>
      <c r="H10" t="s">
        <v>14</v>
      </c>
      <c r="I10" t="s">
        <v>9</v>
      </c>
      <c r="J10">
        <v>4</v>
      </c>
      <c r="K10" s="4" t="str" cm="1">
        <f t="array" ref="K10">_xlfn.IFS(J10&lt;=5,"0-5",J10&lt;=10,"6-10",J10&lt;=15,"11-15",J10&lt;=20,"16-20",J10&gt;20,"21+")</f>
        <v>0-5</v>
      </c>
      <c r="N10" s="8" t="str">
        <f t="shared" si="1"/>
        <v/>
      </c>
      <c r="O10">
        <v>4</v>
      </c>
      <c r="P10" t="b">
        <v>1</v>
      </c>
      <c r="Q10" t="s">
        <v>2073</v>
      </c>
      <c r="R10" s="1">
        <v>0.76</v>
      </c>
      <c r="S10" s="3">
        <f t="shared" si="4"/>
        <v>0.76</v>
      </c>
    </row>
    <row r="11" spans="1:19" x14ac:dyDescent="0.3">
      <c r="A11" t="s">
        <v>51</v>
      </c>
      <c r="B11" t="s">
        <v>52</v>
      </c>
      <c r="C11" t="str">
        <f t="shared" si="2"/>
        <v>Matthew Lloyd</v>
      </c>
      <c r="D11" t="s">
        <v>53</v>
      </c>
      <c r="E11" t="str">
        <f t="shared" si="0"/>
        <v>Male</v>
      </c>
      <c r="F11">
        <v>52</v>
      </c>
      <c r="G11" t="s">
        <v>54</v>
      </c>
      <c r="H11" t="s">
        <v>55</v>
      </c>
      <c r="I11" t="s">
        <v>36</v>
      </c>
      <c r="J11">
        <v>22</v>
      </c>
      <c r="K11" s="4" t="str" cm="1">
        <f t="array" ref="K11">_xlfn.IFS(J11&lt;=5,"0-5",J11&lt;=10,"6-10",J11&lt;=15,"11-15",J11&lt;=20,"16-20",J11&gt;20,"21+")</f>
        <v>21+</v>
      </c>
      <c r="L11" t="s">
        <v>56</v>
      </c>
      <c r="M11" s="2" t="str">
        <f>SUBSTITUTE(L11,"$","")</f>
        <v>50</v>
      </c>
      <c r="N11" s="8">
        <f t="shared" si="1"/>
        <v>50</v>
      </c>
      <c r="P11">
        <v>1</v>
      </c>
      <c r="Q11" t="s">
        <v>2073</v>
      </c>
    </row>
    <row r="12" spans="1:19" x14ac:dyDescent="0.3">
      <c r="A12" t="s">
        <v>57</v>
      </c>
      <c r="B12" t="s">
        <v>58</v>
      </c>
      <c r="C12" t="str">
        <f t="shared" si="2"/>
        <v>Gavin Randall</v>
      </c>
      <c r="D12" t="s">
        <v>40</v>
      </c>
      <c r="E12" t="str">
        <f t="shared" si="0"/>
        <v>Male</v>
      </c>
      <c r="F12">
        <v>40</v>
      </c>
      <c r="G12" t="s">
        <v>59</v>
      </c>
      <c r="H12" t="s">
        <v>14</v>
      </c>
      <c r="I12" t="s">
        <v>43</v>
      </c>
      <c r="J12">
        <v>17</v>
      </c>
      <c r="K12" s="4" t="str" cm="1">
        <f t="array" ref="K12">_xlfn.IFS(J12&lt;=5,"0-5",J12&lt;=10,"6-10",J12&lt;=15,"11-15",J12&lt;=20,"16-20",J12&gt;20,"21+")</f>
        <v>16-20</v>
      </c>
      <c r="L12">
        <v>40</v>
      </c>
      <c r="M12" s="2">
        <f>L12</f>
        <v>40</v>
      </c>
      <c r="N12" s="8">
        <f t="shared" si="1"/>
        <v>40</v>
      </c>
      <c r="O12">
        <v>3.6</v>
      </c>
      <c r="P12" t="s">
        <v>60</v>
      </c>
      <c r="Q12" t="s">
        <v>2073</v>
      </c>
      <c r="R12" s="1">
        <v>0.77</v>
      </c>
      <c r="S12" s="3">
        <f t="shared" ref="S12:S23" si="5">R12</f>
        <v>0.77</v>
      </c>
    </row>
    <row r="13" spans="1:19" x14ac:dyDescent="0.3">
      <c r="A13" t="s">
        <v>61</v>
      </c>
      <c r="B13" t="s">
        <v>62</v>
      </c>
      <c r="C13" t="str">
        <f t="shared" si="2"/>
        <v>Michelle Curtis</v>
      </c>
      <c r="D13" t="s">
        <v>12</v>
      </c>
      <c r="E13" t="str">
        <f t="shared" si="0"/>
        <v>Female</v>
      </c>
      <c r="F13">
        <v>55</v>
      </c>
      <c r="G13" t="s">
        <v>63</v>
      </c>
      <c r="H13" t="s">
        <v>64</v>
      </c>
      <c r="I13" t="s">
        <v>65</v>
      </c>
      <c r="J13">
        <v>15</v>
      </c>
      <c r="K13" s="4" t="str" cm="1">
        <f t="array" ref="K13">_xlfn.IFS(J13&lt;=5,"0-5",J13&lt;=10,"6-10",J13&lt;=15,"11-15",J13&lt;=20,"16-20",J13&gt;20,"21+")</f>
        <v>11-15</v>
      </c>
      <c r="N13" s="8" t="str">
        <f t="shared" si="1"/>
        <v/>
      </c>
      <c r="P13" t="s">
        <v>66</v>
      </c>
      <c r="Q13" t="s">
        <v>2073</v>
      </c>
      <c r="R13" s="1">
        <v>0.86</v>
      </c>
      <c r="S13" s="3">
        <f t="shared" si="5"/>
        <v>0.86</v>
      </c>
    </row>
    <row r="14" spans="1:19" x14ac:dyDescent="0.3">
      <c r="A14" t="s">
        <v>67</v>
      </c>
      <c r="B14" t="s">
        <v>68</v>
      </c>
      <c r="C14" t="str">
        <f t="shared" si="2"/>
        <v>Alice Schneider</v>
      </c>
      <c r="D14" t="s">
        <v>69</v>
      </c>
      <c r="E14" t="str">
        <f t="shared" si="0"/>
        <v>Female</v>
      </c>
      <c r="F14">
        <v>57</v>
      </c>
      <c r="G14" t="s">
        <v>59</v>
      </c>
      <c r="H14" t="s">
        <v>14</v>
      </c>
      <c r="I14" t="s">
        <v>70</v>
      </c>
      <c r="J14">
        <v>18</v>
      </c>
      <c r="K14" s="4" t="str" cm="1">
        <f t="array" ref="K14">_xlfn.IFS(J14&lt;=5,"0-5",J14&lt;=10,"6-10",J14&lt;=15,"11-15",J14&lt;=20,"16-20",J14&gt;20,"21+")</f>
        <v>16-20</v>
      </c>
      <c r="N14" s="8" t="str">
        <f t="shared" si="1"/>
        <v/>
      </c>
      <c r="O14">
        <v>2</v>
      </c>
      <c r="P14">
        <v>0</v>
      </c>
      <c r="Q14" t="s">
        <v>2072</v>
      </c>
      <c r="R14" s="1">
        <v>0.86</v>
      </c>
      <c r="S14" s="3">
        <f t="shared" si="5"/>
        <v>0.86</v>
      </c>
    </row>
    <row r="15" spans="1:19" x14ac:dyDescent="0.3">
      <c r="A15" t="s">
        <v>71</v>
      </c>
      <c r="B15" t="s">
        <v>72</v>
      </c>
      <c r="C15" t="str">
        <f t="shared" si="2"/>
        <v>Phillip Shelton</v>
      </c>
      <c r="D15" t="s">
        <v>53</v>
      </c>
      <c r="E15" t="str">
        <f t="shared" si="0"/>
        <v>Male</v>
      </c>
      <c r="F15">
        <v>38</v>
      </c>
      <c r="G15" t="s">
        <v>63</v>
      </c>
      <c r="H15" t="s">
        <v>64</v>
      </c>
      <c r="I15" t="s">
        <v>22</v>
      </c>
      <c r="J15">
        <v>20</v>
      </c>
      <c r="K15" s="4" t="str" cm="1">
        <f t="array" ref="K15">_xlfn.IFS(J15&lt;=5,"0-5",J15&lt;=10,"6-10",J15&lt;=15,"11-15",J15&lt;=20,"16-20",J15&gt;20,"21+")</f>
        <v>16-20</v>
      </c>
      <c r="L15" t="s">
        <v>44</v>
      </c>
      <c r="M15" s="2" t="str">
        <f>TRIM(MID(L15,FIND(" ",L15)+1,LEN(L15)))</f>
        <v>75</v>
      </c>
      <c r="N15" s="8">
        <f t="shared" si="1"/>
        <v>75</v>
      </c>
      <c r="O15">
        <v>2.9</v>
      </c>
      <c r="P15">
        <v>1</v>
      </c>
      <c r="Q15" t="s">
        <v>2073</v>
      </c>
      <c r="R15" s="1">
        <v>0.93</v>
      </c>
      <c r="S15" s="3">
        <f t="shared" si="5"/>
        <v>0.93</v>
      </c>
    </row>
    <row r="16" spans="1:19" x14ac:dyDescent="0.3">
      <c r="A16" t="s">
        <v>73</v>
      </c>
      <c r="B16" t="s">
        <v>74</v>
      </c>
      <c r="C16" t="str">
        <f t="shared" si="2"/>
        <v>Edward Ferguson</v>
      </c>
      <c r="D16" t="s">
        <v>53</v>
      </c>
      <c r="E16" t="str">
        <f t="shared" si="0"/>
        <v>Male</v>
      </c>
      <c r="F16">
        <v>50</v>
      </c>
      <c r="G16" t="s">
        <v>20</v>
      </c>
      <c r="H16" t="s">
        <v>21</v>
      </c>
      <c r="I16" t="s">
        <v>43</v>
      </c>
      <c r="J16">
        <v>22</v>
      </c>
      <c r="K16" s="4" t="str" cm="1">
        <f t="array" ref="K16">_xlfn.IFS(J16&lt;=5,"0-5",J16&lt;=10,"6-10",J16&lt;=15,"11-15",J16&lt;=20,"16-20",J16&gt;20,"21+")</f>
        <v>21+</v>
      </c>
      <c r="L16">
        <v>75</v>
      </c>
      <c r="M16" s="2">
        <f>L16</f>
        <v>75</v>
      </c>
      <c r="N16" s="8">
        <f t="shared" si="1"/>
        <v>75</v>
      </c>
      <c r="O16">
        <v>3.7</v>
      </c>
      <c r="P16">
        <v>1</v>
      </c>
      <c r="Q16" t="s">
        <v>2073</v>
      </c>
      <c r="R16" s="1">
        <v>0.7</v>
      </c>
      <c r="S16" s="3">
        <f t="shared" si="5"/>
        <v>0.7</v>
      </c>
    </row>
    <row r="17" spans="1:19" x14ac:dyDescent="0.3">
      <c r="A17" t="s">
        <v>75</v>
      </c>
      <c r="B17" t="s">
        <v>76</v>
      </c>
      <c r="C17" t="str">
        <f t="shared" si="2"/>
        <v>Wyatt Stout</v>
      </c>
      <c r="D17" t="s">
        <v>40</v>
      </c>
      <c r="E17" t="str">
        <f t="shared" si="0"/>
        <v>Male</v>
      </c>
      <c r="F17">
        <v>42</v>
      </c>
      <c r="G17" t="s">
        <v>77</v>
      </c>
      <c r="H17" t="s">
        <v>78</v>
      </c>
      <c r="I17" t="s">
        <v>43</v>
      </c>
      <c r="J17">
        <v>0</v>
      </c>
      <c r="K17" s="4" t="str" cm="1">
        <f t="array" ref="K17">_xlfn.IFS(J17&lt;=5,"0-5",J17&lt;=10,"6-10",J17&lt;=15,"11-15",J17&lt;=20,"16-20",J17&gt;20,"21+")</f>
        <v>0-5</v>
      </c>
      <c r="L17" t="s">
        <v>37</v>
      </c>
      <c r="M17" s="2" t="str">
        <f>SUBSTITUTE(L17,"$","")</f>
        <v>30</v>
      </c>
      <c r="N17" s="8">
        <f t="shared" si="1"/>
        <v>30</v>
      </c>
      <c r="O17">
        <v>1.2</v>
      </c>
      <c r="P17">
        <v>0</v>
      </c>
      <c r="Q17" t="s">
        <v>2072</v>
      </c>
      <c r="R17" s="1">
        <v>0.69</v>
      </c>
      <c r="S17" s="3">
        <f t="shared" si="5"/>
        <v>0.69</v>
      </c>
    </row>
    <row r="18" spans="1:19" x14ac:dyDescent="0.3">
      <c r="A18" t="s">
        <v>79</v>
      </c>
      <c r="B18" t="s">
        <v>80</v>
      </c>
      <c r="C18" t="str">
        <f t="shared" si="2"/>
        <v>Laura Johnson</v>
      </c>
      <c r="D18" t="s">
        <v>69</v>
      </c>
      <c r="E18" t="str">
        <f t="shared" si="0"/>
        <v>Female</v>
      </c>
      <c r="F18">
        <v>39</v>
      </c>
      <c r="G18" t="s">
        <v>13</v>
      </c>
      <c r="H18" t="s">
        <v>14</v>
      </c>
      <c r="I18" t="s">
        <v>81</v>
      </c>
      <c r="J18">
        <v>13</v>
      </c>
      <c r="K18" s="4" t="str" cm="1">
        <f t="array" ref="K18">_xlfn.IFS(J18&lt;=5,"0-5",J18&lt;=10,"6-10",J18&lt;=15,"11-15",J18&lt;=20,"16-20",J18&gt;20,"21+")</f>
        <v>11-15</v>
      </c>
      <c r="L18" t="s">
        <v>37</v>
      </c>
      <c r="M18" s="2" t="str">
        <f>SUBSTITUTE(L18,"$","")</f>
        <v>30</v>
      </c>
      <c r="N18" s="8">
        <f t="shared" si="1"/>
        <v>30</v>
      </c>
      <c r="O18">
        <v>2.5</v>
      </c>
      <c r="P18" t="b">
        <v>0</v>
      </c>
      <c r="Q18" t="s">
        <v>2072</v>
      </c>
      <c r="R18" s="1">
        <v>0.6</v>
      </c>
      <c r="S18" s="3">
        <f t="shared" si="5"/>
        <v>0.6</v>
      </c>
    </row>
    <row r="19" spans="1:19" x14ac:dyDescent="0.3">
      <c r="A19" t="s">
        <v>82</v>
      </c>
      <c r="B19" t="s">
        <v>83</v>
      </c>
      <c r="C19" t="str">
        <f t="shared" si="2"/>
        <v>Scott Burns</v>
      </c>
      <c r="D19" t="s">
        <v>84</v>
      </c>
      <c r="E19" t="str">
        <f t="shared" si="0"/>
        <v>Male</v>
      </c>
      <c r="F19">
        <v>56</v>
      </c>
      <c r="G19" t="s">
        <v>85</v>
      </c>
      <c r="H19" t="s">
        <v>86</v>
      </c>
      <c r="I19" t="s">
        <v>9</v>
      </c>
      <c r="K19" s="4" t="str" cm="1">
        <f t="array" ref="K19">_xlfn.IFS(J19&lt;=5,"0-5",J19&lt;=10,"6-10",J19&lt;=15,"11-15",J19&lt;=20,"16-20",J19&gt;20,"21+")</f>
        <v>0-5</v>
      </c>
      <c r="N19" s="8" t="str">
        <f t="shared" si="1"/>
        <v/>
      </c>
      <c r="R19" s="1">
        <v>0.87</v>
      </c>
      <c r="S19" s="3">
        <f t="shared" si="5"/>
        <v>0.87</v>
      </c>
    </row>
    <row r="20" spans="1:19" x14ac:dyDescent="0.3">
      <c r="A20" t="s">
        <v>87</v>
      </c>
      <c r="B20" t="s">
        <v>88</v>
      </c>
      <c r="C20" t="str">
        <f t="shared" si="2"/>
        <v>Tyler Aguirre</v>
      </c>
      <c r="D20" t="s">
        <v>89</v>
      </c>
      <c r="E20" t="str">
        <f t="shared" si="0"/>
        <v>Male</v>
      </c>
      <c r="F20">
        <v>56</v>
      </c>
      <c r="G20" t="s">
        <v>50</v>
      </c>
      <c r="H20" t="s">
        <v>14</v>
      </c>
      <c r="I20" t="s">
        <v>65</v>
      </c>
      <c r="J20">
        <v>31</v>
      </c>
      <c r="K20" s="4" t="str" cm="1">
        <f t="array" ref="K20">_xlfn.IFS(J20&lt;=5,"0-5",J20&lt;=10,"6-10",J20&lt;=15,"11-15",J20&lt;=20,"16-20",J20&gt;20,"21+")</f>
        <v>21+</v>
      </c>
      <c r="L20" t="s">
        <v>90</v>
      </c>
      <c r="M20" s="2" t="str">
        <f>TRIM(MID(L20,FIND(" ",L20)+1,LEN(L20)))</f>
        <v>50</v>
      </c>
      <c r="N20" s="8">
        <f t="shared" si="1"/>
        <v>50</v>
      </c>
      <c r="O20">
        <v>1.1000000000000001</v>
      </c>
      <c r="P20" t="s">
        <v>23</v>
      </c>
      <c r="Q20" t="s">
        <v>2072</v>
      </c>
      <c r="R20" s="1">
        <v>0.75</v>
      </c>
      <c r="S20" s="3">
        <f t="shared" si="5"/>
        <v>0.75</v>
      </c>
    </row>
    <row r="21" spans="1:19" x14ac:dyDescent="0.3">
      <c r="A21" t="s">
        <v>91</v>
      </c>
      <c r="B21" t="s">
        <v>92</v>
      </c>
      <c r="C21" t="str">
        <f t="shared" si="2"/>
        <v>Matthew Lawson</v>
      </c>
      <c r="D21" t="s">
        <v>89</v>
      </c>
      <c r="E21" t="str">
        <f t="shared" si="0"/>
        <v>Male</v>
      </c>
      <c r="F21">
        <v>57</v>
      </c>
      <c r="G21" t="s">
        <v>7</v>
      </c>
      <c r="H21" t="s">
        <v>8</v>
      </c>
      <c r="I21" t="s">
        <v>27</v>
      </c>
      <c r="J21">
        <v>3</v>
      </c>
      <c r="K21" s="4" t="str" cm="1">
        <f t="array" ref="K21">_xlfn.IFS(J21&lt;=5,"0-5",J21&lt;=10,"6-10",J21&lt;=15,"11-15",J21&lt;=20,"16-20",J21&gt;20,"21+")</f>
        <v>0-5</v>
      </c>
      <c r="L21" t="s">
        <v>16</v>
      </c>
      <c r="M21" s="2" t="str">
        <f>TRIM(MID(L21,FIND(" ",L21)+1,LEN(L21)))</f>
        <v>100</v>
      </c>
      <c r="N21" s="8">
        <f t="shared" si="1"/>
        <v>100</v>
      </c>
      <c r="O21">
        <v>1.8</v>
      </c>
      <c r="P21" t="s">
        <v>60</v>
      </c>
      <c r="Q21" t="s">
        <v>2073</v>
      </c>
      <c r="R21" s="1">
        <v>0.68</v>
      </c>
      <c r="S21" s="3">
        <f t="shared" si="5"/>
        <v>0.68</v>
      </c>
    </row>
    <row r="22" spans="1:19" x14ac:dyDescent="0.3">
      <c r="A22" t="s">
        <v>93</v>
      </c>
      <c r="B22" t="s">
        <v>94</v>
      </c>
      <c r="C22" t="str">
        <f t="shared" si="2"/>
        <v>James Cherry</v>
      </c>
      <c r="D22" t="s">
        <v>89</v>
      </c>
      <c r="E22" t="str">
        <f t="shared" si="0"/>
        <v>Male</v>
      </c>
      <c r="G22" t="s">
        <v>41</v>
      </c>
      <c r="H22" t="s">
        <v>42</v>
      </c>
      <c r="I22" t="s">
        <v>36</v>
      </c>
      <c r="J22">
        <v>9</v>
      </c>
      <c r="K22" s="4" t="str" cm="1">
        <f t="array" ref="K22">_xlfn.IFS(J22&lt;=5,"0-5",J22&lt;=10,"6-10",J22&lt;=15,"11-15",J22&lt;=20,"16-20",J22&gt;20,"21+")</f>
        <v>6-10</v>
      </c>
      <c r="L22">
        <v>50</v>
      </c>
      <c r="M22" s="2">
        <f>L22</f>
        <v>50</v>
      </c>
      <c r="N22" s="8">
        <f t="shared" si="1"/>
        <v>50</v>
      </c>
      <c r="O22">
        <v>1.8</v>
      </c>
      <c r="P22" t="b">
        <v>0</v>
      </c>
      <c r="Q22" t="s">
        <v>2072</v>
      </c>
      <c r="R22" s="1">
        <v>0.65</v>
      </c>
      <c r="S22" s="3">
        <f t="shared" si="5"/>
        <v>0.65</v>
      </c>
    </row>
    <row r="23" spans="1:19" x14ac:dyDescent="0.3">
      <c r="A23" t="s">
        <v>95</v>
      </c>
      <c r="B23" t="s">
        <v>96</v>
      </c>
      <c r="C23" t="str">
        <f t="shared" si="2"/>
        <v>Samuel Sanford</v>
      </c>
      <c r="D23" t="s">
        <v>40</v>
      </c>
      <c r="E23" t="str">
        <f t="shared" si="0"/>
        <v>Male</v>
      </c>
      <c r="F23">
        <v>51</v>
      </c>
      <c r="G23" t="s">
        <v>77</v>
      </c>
      <c r="H23" t="s">
        <v>78</v>
      </c>
      <c r="I23" t="s">
        <v>81</v>
      </c>
      <c r="K23" s="4" t="str" cm="1">
        <f t="array" ref="K23">_xlfn.IFS(J23&lt;=5,"0-5",J23&lt;=10,"6-10",J23&lt;=15,"11-15",J23&lt;=20,"16-20",J23&gt;20,"21+")</f>
        <v>0-5</v>
      </c>
      <c r="N23" s="8" t="str">
        <f t="shared" si="1"/>
        <v/>
      </c>
      <c r="O23">
        <v>2.4</v>
      </c>
      <c r="P23" t="s">
        <v>23</v>
      </c>
      <c r="Q23" t="s">
        <v>2072</v>
      </c>
      <c r="R23" s="1">
        <v>0.69</v>
      </c>
      <c r="S23" s="3">
        <f t="shared" si="5"/>
        <v>0.69</v>
      </c>
    </row>
    <row r="24" spans="1:19" x14ac:dyDescent="0.3">
      <c r="A24" t="s">
        <v>97</v>
      </c>
      <c r="B24" t="s">
        <v>98</v>
      </c>
      <c r="C24" t="str">
        <f t="shared" si="2"/>
        <v>Cesar Greene</v>
      </c>
      <c r="D24" t="s">
        <v>40</v>
      </c>
      <c r="E24" t="str">
        <f t="shared" si="0"/>
        <v>Male</v>
      </c>
      <c r="F24">
        <v>51</v>
      </c>
      <c r="G24" t="s">
        <v>99</v>
      </c>
      <c r="H24" t="s">
        <v>100</v>
      </c>
      <c r="I24" t="s">
        <v>70</v>
      </c>
      <c r="J24">
        <v>21</v>
      </c>
      <c r="K24" s="4" t="str" cm="1">
        <f t="array" ref="K24">_xlfn.IFS(J24&lt;=5,"0-5",J24&lt;=10,"6-10",J24&lt;=15,"11-15",J24&lt;=20,"16-20",J24&gt;20,"21+")</f>
        <v>21+</v>
      </c>
      <c r="L24" t="s">
        <v>101</v>
      </c>
      <c r="M24" s="2" t="str">
        <f>TRIM(MID(L24,FIND(" ",L24)+1,LEN(L24)))</f>
        <v>30</v>
      </c>
      <c r="N24" s="8">
        <f t="shared" si="1"/>
        <v>30</v>
      </c>
      <c r="O24">
        <v>4.7</v>
      </c>
      <c r="P24" t="s">
        <v>23</v>
      </c>
      <c r="Q24" t="s">
        <v>2072</v>
      </c>
    </row>
    <row r="25" spans="1:19" x14ac:dyDescent="0.3">
      <c r="A25" t="s">
        <v>102</v>
      </c>
      <c r="B25" t="s">
        <v>103</v>
      </c>
      <c r="C25" t="str">
        <f t="shared" si="2"/>
        <v>Melanie Carter</v>
      </c>
      <c r="D25" t="s">
        <v>31</v>
      </c>
      <c r="E25" t="str">
        <f t="shared" si="0"/>
        <v>Female</v>
      </c>
      <c r="F25">
        <v>51</v>
      </c>
      <c r="G25" t="s">
        <v>104</v>
      </c>
      <c r="H25" t="s">
        <v>105</v>
      </c>
      <c r="I25" t="s">
        <v>106</v>
      </c>
      <c r="J25">
        <v>15</v>
      </c>
      <c r="K25" s="4" t="str" cm="1">
        <f t="array" ref="K25">_xlfn.IFS(J25&lt;=5,"0-5",J25&lt;=10,"6-10",J25&lt;=15,"11-15",J25&lt;=20,"16-20",J25&gt;20,"21+")</f>
        <v>11-15</v>
      </c>
      <c r="L25" t="s">
        <v>56</v>
      </c>
      <c r="M25" s="2" t="str">
        <f>SUBSTITUTE(L25,"$","")</f>
        <v>50</v>
      </c>
      <c r="N25" s="8">
        <f t="shared" si="1"/>
        <v>50</v>
      </c>
      <c r="O25">
        <v>1.3</v>
      </c>
      <c r="P25">
        <v>1</v>
      </c>
      <c r="Q25" t="s">
        <v>2073</v>
      </c>
      <c r="R25" s="1">
        <v>1</v>
      </c>
      <c r="S25" s="3">
        <f>R25</f>
        <v>1</v>
      </c>
    </row>
    <row r="26" spans="1:19" x14ac:dyDescent="0.3">
      <c r="A26" t="s">
        <v>107</v>
      </c>
      <c r="B26" t="s">
        <v>108</v>
      </c>
      <c r="C26" t="str">
        <f t="shared" si="2"/>
        <v>Jennifer Martin</v>
      </c>
      <c r="D26" t="s">
        <v>6</v>
      </c>
      <c r="E26" t="str">
        <f t="shared" si="0"/>
        <v>Female</v>
      </c>
      <c r="F26">
        <v>54</v>
      </c>
      <c r="G26" t="s">
        <v>41</v>
      </c>
      <c r="H26" t="s">
        <v>42</v>
      </c>
      <c r="I26" t="s">
        <v>106</v>
      </c>
      <c r="J26">
        <v>13</v>
      </c>
      <c r="K26" s="4" t="str" cm="1">
        <f t="array" ref="K26">_xlfn.IFS(J26&lt;=5,"0-5",J26&lt;=10,"6-10",J26&lt;=15,"11-15",J26&lt;=20,"16-20",J26&gt;20,"21+")</f>
        <v>11-15</v>
      </c>
      <c r="L26">
        <v>75</v>
      </c>
      <c r="M26" s="2">
        <f>L26</f>
        <v>75</v>
      </c>
      <c r="N26" s="8">
        <f t="shared" si="1"/>
        <v>75</v>
      </c>
      <c r="O26">
        <v>2.9</v>
      </c>
      <c r="R26">
        <v>92</v>
      </c>
      <c r="S26" s="3">
        <f>R26/100</f>
        <v>0.92</v>
      </c>
    </row>
    <row r="27" spans="1:19" x14ac:dyDescent="0.3">
      <c r="A27" t="s">
        <v>109</v>
      </c>
      <c r="B27" t="s">
        <v>110</v>
      </c>
      <c r="C27" t="str">
        <f t="shared" si="2"/>
        <v>Anna Mccann</v>
      </c>
      <c r="D27" t="s">
        <v>12</v>
      </c>
      <c r="E27" t="str">
        <f t="shared" si="0"/>
        <v>Female</v>
      </c>
      <c r="F27">
        <v>22</v>
      </c>
      <c r="G27" t="s">
        <v>104</v>
      </c>
      <c r="H27" t="s">
        <v>105</v>
      </c>
      <c r="I27" t="s">
        <v>81</v>
      </c>
      <c r="J27">
        <v>0</v>
      </c>
      <c r="K27" s="4" t="str" cm="1">
        <f t="array" ref="K27">_xlfn.IFS(J27&lt;=5,"0-5",J27&lt;=10,"6-10",J27&lt;=15,"11-15",J27&lt;=20,"16-20",J27&gt;20,"21+")</f>
        <v>0-5</v>
      </c>
      <c r="L27" t="s">
        <v>101</v>
      </c>
      <c r="M27" s="2" t="str">
        <f>TRIM(MID(L27,FIND(" ",L27)+1,LEN(L27)))</f>
        <v>30</v>
      </c>
      <c r="N27" s="8">
        <f t="shared" si="1"/>
        <v>30</v>
      </c>
      <c r="O27">
        <v>1.2</v>
      </c>
      <c r="P27">
        <v>1</v>
      </c>
      <c r="Q27" t="s">
        <v>2073</v>
      </c>
      <c r="R27" s="1">
        <v>0.7</v>
      </c>
      <c r="S27" s="3">
        <f>R27</f>
        <v>0.7</v>
      </c>
    </row>
    <row r="28" spans="1:19" x14ac:dyDescent="0.3">
      <c r="A28" t="s">
        <v>111</v>
      </c>
      <c r="B28" t="s">
        <v>112</v>
      </c>
      <c r="C28" t="str">
        <f t="shared" si="2"/>
        <v>Marissa Bass</v>
      </c>
      <c r="D28" t="s">
        <v>31</v>
      </c>
      <c r="E28" t="str">
        <f t="shared" si="0"/>
        <v>Female</v>
      </c>
      <c r="F28">
        <v>34</v>
      </c>
      <c r="G28" t="s">
        <v>77</v>
      </c>
      <c r="H28" t="s">
        <v>78</v>
      </c>
      <c r="I28" t="s">
        <v>9</v>
      </c>
      <c r="J28">
        <v>8</v>
      </c>
      <c r="K28" s="4" t="str" cm="1">
        <f t="array" ref="K28">_xlfn.IFS(J28&lt;=5,"0-5",J28&lt;=10,"6-10",J28&lt;=15,"11-15",J28&lt;=20,"16-20",J28&gt;20,"21+")</f>
        <v>6-10</v>
      </c>
      <c r="L28" t="s">
        <v>113</v>
      </c>
      <c r="M28" s="2" t="str">
        <f>SUBSTITUTE(L28,"$","")</f>
        <v>20</v>
      </c>
      <c r="N28" s="8">
        <f t="shared" si="1"/>
        <v>20</v>
      </c>
      <c r="O28">
        <v>0</v>
      </c>
      <c r="P28" t="b">
        <v>1</v>
      </c>
      <c r="Q28" t="s">
        <v>2073</v>
      </c>
      <c r="R28" s="1">
        <v>0.89</v>
      </c>
      <c r="S28" s="3">
        <f>R28</f>
        <v>0.89</v>
      </c>
    </row>
    <row r="29" spans="1:19" x14ac:dyDescent="0.3">
      <c r="A29" t="s">
        <v>114</v>
      </c>
      <c r="B29" t="s">
        <v>115</v>
      </c>
      <c r="C29" t="str">
        <f t="shared" si="2"/>
        <v>Alexis Day</v>
      </c>
      <c r="D29" t="s">
        <v>69</v>
      </c>
      <c r="E29" t="str">
        <f t="shared" si="0"/>
        <v>Female</v>
      </c>
      <c r="F29">
        <v>36</v>
      </c>
      <c r="G29" t="s">
        <v>116</v>
      </c>
      <c r="H29" t="s">
        <v>117</v>
      </c>
      <c r="I29" t="s">
        <v>22</v>
      </c>
      <c r="J29">
        <v>11</v>
      </c>
      <c r="K29" s="4" t="str" cm="1">
        <f t="array" ref="K29">_xlfn.IFS(J29&lt;=5,"0-5",J29&lt;=10,"6-10",J29&lt;=15,"11-15",J29&lt;=20,"16-20",J29&gt;20,"21+")</f>
        <v>11-15</v>
      </c>
      <c r="N29" s="8" t="str">
        <f t="shared" si="1"/>
        <v/>
      </c>
      <c r="O29">
        <v>1.8</v>
      </c>
      <c r="P29" t="s">
        <v>66</v>
      </c>
      <c r="Q29" t="s">
        <v>2073</v>
      </c>
      <c r="R29" s="1">
        <v>0.86</v>
      </c>
      <c r="S29" s="3">
        <f>R29</f>
        <v>0.86</v>
      </c>
    </row>
    <row r="30" spans="1:19" x14ac:dyDescent="0.3">
      <c r="A30" t="s">
        <v>118</v>
      </c>
      <c r="B30" t="s">
        <v>119</v>
      </c>
      <c r="C30" t="str">
        <f t="shared" si="2"/>
        <v>Megan Jones</v>
      </c>
      <c r="D30" t="s">
        <v>31</v>
      </c>
      <c r="E30" t="str">
        <f t="shared" si="0"/>
        <v>Female</v>
      </c>
      <c r="F30">
        <v>47</v>
      </c>
      <c r="G30" t="s">
        <v>120</v>
      </c>
      <c r="H30" t="s">
        <v>14</v>
      </c>
      <c r="I30" t="s">
        <v>36</v>
      </c>
      <c r="J30">
        <v>22</v>
      </c>
      <c r="K30" s="4" t="str" cm="1">
        <f t="array" ref="K30">_xlfn.IFS(J30&lt;=5,"0-5",J30&lt;=10,"6-10",J30&lt;=15,"11-15",J30&lt;=20,"16-20",J30&gt;20,"21+")</f>
        <v>21+</v>
      </c>
      <c r="L30">
        <v>30</v>
      </c>
      <c r="M30" s="2">
        <f>L30</f>
        <v>30</v>
      </c>
      <c r="N30" s="8">
        <f t="shared" si="1"/>
        <v>30</v>
      </c>
      <c r="O30">
        <v>1.3</v>
      </c>
      <c r="P30">
        <v>0</v>
      </c>
      <c r="Q30" t="s">
        <v>2072</v>
      </c>
      <c r="R30" s="1">
        <v>0.62</v>
      </c>
      <c r="S30" s="3">
        <f>R30</f>
        <v>0.62</v>
      </c>
    </row>
    <row r="31" spans="1:19" x14ac:dyDescent="0.3">
      <c r="A31" t="s">
        <v>121</v>
      </c>
      <c r="B31" t="s">
        <v>122</v>
      </c>
      <c r="C31" t="str">
        <f t="shared" si="2"/>
        <v>Lori Smith</v>
      </c>
      <c r="D31" t="s">
        <v>12</v>
      </c>
      <c r="E31" t="str">
        <f t="shared" si="0"/>
        <v>Female</v>
      </c>
      <c r="F31">
        <v>41</v>
      </c>
      <c r="G31" t="s">
        <v>34</v>
      </c>
      <c r="H31" t="s">
        <v>35</v>
      </c>
      <c r="I31" t="s">
        <v>43</v>
      </c>
      <c r="J31">
        <v>14</v>
      </c>
      <c r="K31" s="4" t="str" cm="1">
        <f t="array" ref="K31">_xlfn.IFS(J31&lt;=5,"0-5",J31&lt;=10,"6-10",J31&lt;=15,"11-15",J31&lt;=20,"16-20",J31&gt;20,"21+")</f>
        <v>11-15</v>
      </c>
      <c r="L31" t="s">
        <v>44</v>
      </c>
      <c r="M31" s="2" t="str">
        <f>TRIM(MID(L31,FIND(" ",L31)+1,LEN(L31)))</f>
        <v>75</v>
      </c>
      <c r="N31" s="8">
        <f t="shared" si="1"/>
        <v>75</v>
      </c>
      <c r="O31">
        <v>1.2</v>
      </c>
      <c r="P31">
        <v>0</v>
      </c>
      <c r="Q31" t="s">
        <v>2072</v>
      </c>
    </row>
    <row r="32" spans="1:19" x14ac:dyDescent="0.3">
      <c r="A32" t="s">
        <v>123</v>
      </c>
      <c r="B32" t="s">
        <v>124</v>
      </c>
      <c r="C32" t="str">
        <f t="shared" si="2"/>
        <v>Eric Carpenter</v>
      </c>
      <c r="D32" t="s">
        <v>89</v>
      </c>
      <c r="E32" t="str">
        <f t="shared" si="0"/>
        <v>Male</v>
      </c>
      <c r="F32">
        <v>22</v>
      </c>
      <c r="G32" t="s">
        <v>34</v>
      </c>
      <c r="H32" t="s">
        <v>35</v>
      </c>
      <c r="I32" t="s">
        <v>81</v>
      </c>
      <c r="J32">
        <v>4</v>
      </c>
      <c r="K32" s="4" t="str" cm="1">
        <f t="array" ref="K32">_xlfn.IFS(J32&lt;=5,"0-5",J32&lt;=10,"6-10",J32&lt;=15,"11-15",J32&lt;=20,"16-20",J32&gt;20,"21+")</f>
        <v>0-5</v>
      </c>
      <c r="N32" s="8" t="str">
        <f t="shared" si="1"/>
        <v/>
      </c>
      <c r="O32">
        <v>1</v>
      </c>
      <c r="P32" t="s">
        <v>60</v>
      </c>
      <c r="Q32" t="s">
        <v>2073</v>
      </c>
    </row>
    <row r="33" spans="1:19" x14ac:dyDescent="0.3">
      <c r="A33" t="s">
        <v>125</v>
      </c>
      <c r="B33" t="s">
        <v>126</v>
      </c>
      <c r="C33" t="str">
        <f t="shared" si="2"/>
        <v>Timothy Daniels</v>
      </c>
      <c r="D33" t="s">
        <v>89</v>
      </c>
      <c r="E33" t="str">
        <f t="shared" si="0"/>
        <v>Male</v>
      </c>
      <c r="F33">
        <v>38</v>
      </c>
      <c r="G33" t="s">
        <v>127</v>
      </c>
      <c r="H33" t="s">
        <v>128</v>
      </c>
      <c r="I33" t="s">
        <v>106</v>
      </c>
      <c r="J33">
        <v>19</v>
      </c>
      <c r="K33" s="4" t="str" cm="1">
        <f t="array" ref="K33">_xlfn.IFS(J33&lt;=5,"0-5",J33&lt;=10,"6-10",J33&lt;=15,"11-15",J33&lt;=20,"16-20",J33&gt;20,"21+")</f>
        <v>16-20</v>
      </c>
      <c r="L33" t="s">
        <v>16</v>
      </c>
      <c r="M33" s="2" t="str">
        <f>TRIM(MID(L33,FIND(" ",L33)+1,LEN(L33)))</f>
        <v>100</v>
      </c>
      <c r="N33" s="8">
        <f t="shared" si="1"/>
        <v>100</v>
      </c>
      <c r="O33">
        <v>4.2</v>
      </c>
      <c r="P33" t="s">
        <v>23</v>
      </c>
      <c r="Q33" t="s">
        <v>2072</v>
      </c>
      <c r="R33" s="1">
        <v>0.68</v>
      </c>
      <c r="S33" s="3">
        <f t="shared" ref="S33:S34" si="6">R33</f>
        <v>0.68</v>
      </c>
    </row>
    <row r="34" spans="1:19" x14ac:dyDescent="0.3">
      <c r="A34" t="s">
        <v>129</v>
      </c>
      <c r="B34" t="s">
        <v>130</v>
      </c>
      <c r="C34" t="str">
        <f t="shared" si="2"/>
        <v>Robert Nelson</v>
      </c>
      <c r="D34" t="s">
        <v>84</v>
      </c>
      <c r="E34" t="str">
        <f t="shared" si="0"/>
        <v>Male</v>
      </c>
      <c r="F34">
        <v>46</v>
      </c>
      <c r="G34" t="s">
        <v>131</v>
      </c>
      <c r="H34" t="s">
        <v>132</v>
      </c>
      <c r="I34" t="s">
        <v>36</v>
      </c>
      <c r="J34">
        <v>9</v>
      </c>
      <c r="K34" s="4" t="str" cm="1">
        <f t="array" ref="K34">_xlfn.IFS(J34&lt;=5,"0-5",J34&lt;=10,"6-10",J34&lt;=15,"11-15",J34&lt;=20,"16-20",J34&gt;20,"21+")</f>
        <v>6-10</v>
      </c>
      <c r="L34">
        <v>20</v>
      </c>
      <c r="M34" s="2">
        <f>L34</f>
        <v>20</v>
      </c>
      <c r="N34" s="8">
        <f t="shared" si="1"/>
        <v>20</v>
      </c>
      <c r="O34">
        <v>1.4</v>
      </c>
      <c r="P34" t="b">
        <v>1</v>
      </c>
      <c r="Q34" t="s">
        <v>2073</v>
      </c>
      <c r="R34" s="1">
        <v>0.76</v>
      </c>
      <c r="S34" s="3">
        <f t="shared" si="6"/>
        <v>0.76</v>
      </c>
    </row>
    <row r="35" spans="1:19" x14ac:dyDescent="0.3">
      <c r="A35" t="s">
        <v>133</v>
      </c>
      <c r="B35" t="s">
        <v>134</v>
      </c>
      <c r="C35" t="str">
        <f t="shared" si="2"/>
        <v>Michael Anderson</v>
      </c>
      <c r="D35" t="s">
        <v>19</v>
      </c>
      <c r="E35" t="str">
        <f t="shared" si="0"/>
        <v>Male</v>
      </c>
      <c r="G35" t="s">
        <v>104</v>
      </c>
      <c r="H35" t="s">
        <v>105</v>
      </c>
      <c r="I35" t="s">
        <v>36</v>
      </c>
      <c r="J35">
        <v>9</v>
      </c>
      <c r="K35" s="4" t="str" cm="1">
        <f t="array" ref="K35">_xlfn.IFS(J35&lt;=5,"0-5",J35&lt;=10,"6-10",J35&lt;=15,"11-15",J35&lt;=20,"16-20",J35&gt;20,"21+")</f>
        <v>6-10</v>
      </c>
      <c r="L35">
        <v>40</v>
      </c>
      <c r="M35" s="2">
        <f>L35</f>
        <v>40</v>
      </c>
      <c r="N35" s="8">
        <f t="shared" si="1"/>
        <v>40</v>
      </c>
      <c r="O35">
        <v>2.4</v>
      </c>
      <c r="P35" t="s">
        <v>60</v>
      </c>
      <c r="Q35" t="s">
        <v>2073</v>
      </c>
      <c r="R35">
        <v>82</v>
      </c>
      <c r="S35" s="3">
        <f>R35/100</f>
        <v>0.82</v>
      </c>
    </row>
    <row r="36" spans="1:19" x14ac:dyDescent="0.3">
      <c r="A36" t="s">
        <v>135</v>
      </c>
      <c r="B36" t="s">
        <v>136</v>
      </c>
      <c r="C36" t="str">
        <f t="shared" si="2"/>
        <v>Jessica Snyder</v>
      </c>
      <c r="D36" t="s">
        <v>12</v>
      </c>
      <c r="E36" t="str">
        <f t="shared" si="0"/>
        <v>Female</v>
      </c>
      <c r="F36">
        <v>54</v>
      </c>
      <c r="G36" t="s">
        <v>50</v>
      </c>
      <c r="H36" t="s">
        <v>14</v>
      </c>
      <c r="I36" t="s">
        <v>27</v>
      </c>
      <c r="J36">
        <v>32</v>
      </c>
      <c r="K36" s="4" t="str" cm="1">
        <f t="array" ref="K36">_xlfn.IFS(J36&lt;=5,"0-5",J36&lt;=10,"6-10",J36&lt;=15,"11-15",J36&lt;=20,"16-20",J36&gt;20,"21+")</f>
        <v>21+</v>
      </c>
      <c r="L36">
        <v>75</v>
      </c>
      <c r="M36" s="2">
        <f>L36</f>
        <v>75</v>
      </c>
      <c r="N36" s="8">
        <f t="shared" si="1"/>
        <v>75</v>
      </c>
      <c r="O36">
        <v>1</v>
      </c>
      <c r="P36" t="s">
        <v>60</v>
      </c>
      <c r="Q36" t="s">
        <v>2073</v>
      </c>
      <c r="R36" s="1">
        <v>0.81</v>
      </c>
      <c r="S36" s="3">
        <f>R36</f>
        <v>0.81</v>
      </c>
    </row>
    <row r="37" spans="1:19" x14ac:dyDescent="0.3">
      <c r="A37" t="s">
        <v>137</v>
      </c>
      <c r="B37" t="s">
        <v>138</v>
      </c>
      <c r="C37" t="str">
        <f t="shared" si="2"/>
        <v>Emily Daniels</v>
      </c>
      <c r="D37" t="s">
        <v>31</v>
      </c>
      <c r="E37" t="str">
        <f t="shared" si="0"/>
        <v>Female</v>
      </c>
      <c r="F37">
        <v>52</v>
      </c>
      <c r="G37" t="s">
        <v>104</v>
      </c>
      <c r="H37" t="s">
        <v>105</v>
      </c>
      <c r="I37" t="s">
        <v>27</v>
      </c>
      <c r="J37">
        <v>28</v>
      </c>
      <c r="K37" s="4" t="str" cm="1">
        <f t="array" ref="K37">_xlfn.IFS(J37&lt;=5,"0-5",J37&lt;=10,"6-10",J37&lt;=15,"11-15",J37&lt;=20,"16-20",J37&gt;20,"21+")</f>
        <v>21+</v>
      </c>
      <c r="L37" t="s">
        <v>113</v>
      </c>
      <c r="M37" s="2" t="str">
        <f>SUBSTITUTE(L37,"$","")</f>
        <v>20</v>
      </c>
      <c r="N37" s="8">
        <f t="shared" si="1"/>
        <v>20</v>
      </c>
      <c r="P37">
        <v>0</v>
      </c>
      <c r="Q37" t="s">
        <v>2072</v>
      </c>
    </row>
    <row r="38" spans="1:19" x14ac:dyDescent="0.3">
      <c r="A38" t="s">
        <v>139</v>
      </c>
      <c r="B38" t="s">
        <v>140</v>
      </c>
      <c r="C38" t="str">
        <f t="shared" si="2"/>
        <v>Jamie Ramirez</v>
      </c>
      <c r="D38" t="s">
        <v>6</v>
      </c>
      <c r="E38" t="str">
        <f t="shared" si="0"/>
        <v>Female</v>
      </c>
      <c r="F38">
        <v>42</v>
      </c>
      <c r="G38" t="s">
        <v>77</v>
      </c>
      <c r="H38" t="s">
        <v>78</v>
      </c>
      <c r="I38" t="s">
        <v>15</v>
      </c>
      <c r="J38">
        <v>6</v>
      </c>
      <c r="K38" s="4" t="str" cm="1">
        <f t="array" ref="K38">_xlfn.IFS(J38&lt;=5,"0-5",J38&lt;=10,"6-10",J38&lt;=15,"11-15",J38&lt;=20,"16-20",J38&gt;20,"21+")</f>
        <v>6-10</v>
      </c>
      <c r="L38">
        <v>40</v>
      </c>
      <c r="M38" s="2">
        <f>L38</f>
        <v>40</v>
      </c>
      <c r="N38" s="8">
        <f t="shared" si="1"/>
        <v>40</v>
      </c>
      <c r="P38">
        <v>0</v>
      </c>
      <c r="Q38" t="s">
        <v>2072</v>
      </c>
      <c r="R38" s="1">
        <v>0.63</v>
      </c>
      <c r="S38" s="3">
        <f t="shared" ref="S38:S39" si="7">R38</f>
        <v>0.63</v>
      </c>
    </row>
    <row r="39" spans="1:19" x14ac:dyDescent="0.3">
      <c r="A39" t="s">
        <v>141</v>
      </c>
      <c r="B39" t="s">
        <v>142</v>
      </c>
      <c r="C39" t="str">
        <f t="shared" si="2"/>
        <v>Amy Harrison</v>
      </c>
      <c r="D39" t="s">
        <v>26</v>
      </c>
      <c r="E39" t="str">
        <f t="shared" si="0"/>
        <v>Female</v>
      </c>
      <c r="F39">
        <v>29</v>
      </c>
      <c r="G39" t="s">
        <v>34</v>
      </c>
      <c r="H39" t="s">
        <v>35</v>
      </c>
      <c r="I39" t="s">
        <v>22</v>
      </c>
      <c r="J39">
        <v>10</v>
      </c>
      <c r="K39" s="4" t="str" cm="1">
        <f t="array" ref="K39">_xlfn.IFS(J39&lt;=5,"0-5",J39&lt;=10,"6-10",J39&lt;=15,"11-15",J39&lt;=20,"16-20",J39&gt;20,"21+")</f>
        <v>6-10</v>
      </c>
      <c r="L39">
        <v>40</v>
      </c>
      <c r="M39" s="2">
        <f>L39</f>
        <v>40</v>
      </c>
      <c r="N39" s="8">
        <f t="shared" si="1"/>
        <v>40</v>
      </c>
      <c r="O39">
        <v>2.2000000000000002</v>
      </c>
      <c r="P39" t="s">
        <v>23</v>
      </c>
      <c r="Q39" t="s">
        <v>2072</v>
      </c>
      <c r="R39" s="1">
        <v>0.67</v>
      </c>
      <c r="S39" s="3">
        <f t="shared" si="7"/>
        <v>0.67</v>
      </c>
    </row>
    <row r="40" spans="1:19" x14ac:dyDescent="0.3">
      <c r="A40" t="s">
        <v>143</v>
      </c>
      <c r="B40" t="s">
        <v>144</v>
      </c>
      <c r="C40" t="str">
        <f t="shared" si="2"/>
        <v>Melinda White</v>
      </c>
      <c r="D40" t="s">
        <v>26</v>
      </c>
      <c r="E40" t="str">
        <f t="shared" si="0"/>
        <v>Female</v>
      </c>
      <c r="F40">
        <v>42</v>
      </c>
      <c r="G40" t="s">
        <v>145</v>
      </c>
      <c r="H40" t="s">
        <v>146</v>
      </c>
      <c r="I40" t="s">
        <v>15</v>
      </c>
      <c r="J40">
        <v>23</v>
      </c>
      <c r="K40" s="4" t="str" cm="1">
        <f t="array" ref="K40">_xlfn.IFS(J40&lt;=5,"0-5",J40&lt;=10,"6-10",J40&lt;=15,"11-15",J40&lt;=20,"16-20",J40&gt;20,"21+")</f>
        <v>21+</v>
      </c>
      <c r="L40">
        <v>50</v>
      </c>
      <c r="M40" s="2">
        <f>L40</f>
        <v>50</v>
      </c>
      <c r="N40" s="8">
        <f t="shared" si="1"/>
        <v>50</v>
      </c>
      <c r="O40">
        <v>3.2</v>
      </c>
      <c r="P40" t="s">
        <v>60</v>
      </c>
      <c r="Q40" t="s">
        <v>2073</v>
      </c>
    </row>
    <row r="41" spans="1:19" x14ac:dyDescent="0.3">
      <c r="A41" t="s">
        <v>147</v>
      </c>
      <c r="B41" t="s">
        <v>148</v>
      </c>
      <c r="C41" t="str">
        <f t="shared" si="2"/>
        <v>James Hernandez</v>
      </c>
      <c r="D41" t="s">
        <v>89</v>
      </c>
      <c r="E41" t="str">
        <f t="shared" si="0"/>
        <v>Male</v>
      </c>
      <c r="F41">
        <v>60</v>
      </c>
      <c r="G41" t="s">
        <v>77</v>
      </c>
      <c r="H41" t="s">
        <v>78</v>
      </c>
      <c r="I41" t="s">
        <v>27</v>
      </c>
      <c r="J41">
        <v>13</v>
      </c>
      <c r="K41" s="4" t="str" cm="1">
        <f t="array" ref="K41">_xlfn.IFS(J41&lt;=5,"0-5",J41&lt;=10,"6-10",J41&lt;=15,"11-15",J41&lt;=20,"16-20",J41&gt;20,"21+")</f>
        <v>11-15</v>
      </c>
      <c r="L41" t="s">
        <v>113</v>
      </c>
      <c r="M41" s="2" t="str">
        <f>SUBSTITUTE(L41,"$","")</f>
        <v>20</v>
      </c>
      <c r="N41" s="8">
        <f t="shared" si="1"/>
        <v>20</v>
      </c>
      <c r="O41">
        <v>3.6</v>
      </c>
      <c r="P41">
        <v>0</v>
      </c>
      <c r="Q41" t="s">
        <v>2072</v>
      </c>
      <c r="R41" s="1">
        <v>0.8</v>
      </c>
      <c r="S41" s="3">
        <f>R41</f>
        <v>0.8</v>
      </c>
    </row>
    <row r="42" spans="1:19" x14ac:dyDescent="0.3">
      <c r="A42" t="s">
        <v>149</v>
      </c>
      <c r="B42" t="s">
        <v>150</v>
      </c>
      <c r="C42" t="str">
        <f t="shared" si="2"/>
        <v>Angelica Rogers</v>
      </c>
      <c r="D42" t="s">
        <v>69</v>
      </c>
      <c r="E42" t="str">
        <f t="shared" si="0"/>
        <v>Female</v>
      </c>
      <c r="F42">
        <v>59</v>
      </c>
      <c r="G42" t="s">
        <v>59</v>
      </c>
      <c r="H42" t="s">
        <v>14</v>
      </c>
      <c r="I42" t="s">
        <v>36</v>
      </c>
      <c r="J42">
        <v>3</v>
      </c>
      <c r="K42" s="4" t="str" cm="1">
        <f t="array" ref="K42">_xlfn.IFS(J42&lt;=5,"0-5",J42&lt;=10,"6-10",J42&lt;=15,"11-15",J42&lt;=20,"16-20",J42&gt;20,"21+")</f>
        <v>0-5</v>
      </c>
      <c r="L42" t="s">
        <v>90</v>
      </c>
      <c r="M42" s="2" t="str">
        <f>TRIM(MID(L42,FIND(" ",L42)+1,LEN(L42)))</f>
        <v>50</v>
      </c>
      <c r="N42" s="8">
        <f t="shared" si="1"/>
        <v>50</v>
      </c>
      <c r="O42">
        <v>0</v>
      </c>
      <c r="P42" t="s">
        <v>151</v>
      </c>
      <c r="Q42" t="s">
        <v>2072</v>
      </c>
    </row>
    <row r="43" spans="1:19" x14ac:dyDescent="0.3">
      <c r="A43" t="s">
        <v>152</v>
      </c>
      <c r="B43" t="s">
        <v>153</v>
      </c>
      <c r="C43" t="str">
        <f t="shared" si="2"/>
        <v>Savannah Williams</v>
      </c>
      <c r="D43" t="s">
        <v>69</v>
      </c>
      <c r="E43" t="str">
        <f t="shared" si="0"/>
        <v>Female</v>
      </c>
      <c r="F43">
        <v>21</v>
      </c>
      <c r="G43" t="s">
        <v>120</v>
      </c>
      <c r="H43" t="s">
        <v>14</v>
      </c>
      <c r="I43" t="s">
        <v>27</v>
      </c>
      <c r="J43">
        <v>0</v>
      </c>
      <c r="K43" s="4" t="str" cm="1">
        <f t="array" ref="K43">_xlfn.IFS(J43&lt;=5,"0-5",J43&lt;=10,"6-10",J43&lt;=15,"11-15",J43&lt;=20,"16-20",J43&gt;20,"21+")</f>
        <v>0-5</v>
      </c>
      <c r="L43">
        <v>30</v>
      </c>
      <c r="M43" s="2">
        <f>L43</f>
        <v>30</v>
      </c>
      <c r="N43" s="8">
        <f t="shared" si="1"/>
        <v>30</v>
      </c>
      <c r="O43">
        <v>2.7</v>
      </c>
      <c r="P43">
        <v>1</v>
      </c>
      <c r="Q43" t="s">
        <v>2073</v>
      </c>
      <c r="R43" s="1">
        <v>0.84</v>
      </c>
      <c r="S43" s="3">
        <f>R43</f>
        <v>0.84</v>
      </c>
    </row>
    <row r="44" spans="1:19" x14ac:dyDescent="0.3">
      <c r="A44" t="s">
        <v>154</v>
      </c>
      <c r="B44" t="s">
        <v>155</v>
      </c>
      <c r="C44" t="str">
        <f t="shared" si="2"/>
        <v>Kaitlyn Schmidt</v>
      </c>
      <c r="D44" t="s">
        <v>69</v>
      </c>
      <c r="E44" t="str">
        <f t="shared" si="0"/>
        <v>Female</v>
      </c>
      <c r="F44">
        <v>35</v>
      </c>
      <c r="G44" t="s">
        <v>20</v>
      </c>
      <c r="H44" t="s">
        <v>21</v>
      </c>
      <c r="I44" t="s">
        <v>81</v>
      </c>
      <c r="J44">
        <v>10</v>
      </c>
      <c r="K44" s="4" t="str" cm="1">
        <f t="array" ref="K44">_xlfn.IFS(J44&lt;=5,"0-5",J44&lt;=10,"6-10",J44&lt;=15,"11-15",J44&lt;=20,"16-20",J44&gt;20,"21+")</f>
        <v>6-10</v>
      </c>
      <c r="L44" t="s">
        <v>56</v>
      </c>
      <c r="M44" s="2" t="str">
        <f>SUBSTITUTE(L44,"$","")</f>
        <v>50</v>
      </c>
      <c r="N44" s="8">
        <f t="shared" si="1"/>
        <v>50</v>
      </c>
      <c r="O44">
        <v>0</v>
      </c>
      <c r="P44" t="s">
        <v>151</v>
      </c>
      <c r="Q44" t="s">
        <v>2072</v>
      </c>
    </row>
    <row r="45" spans="1:19" x14ac:dyDescent="0.3">
      <c r="A45" t="s">
        <v>156</v>
      </c>
      <c r="B45" t="s">
        <v>157</v>
      </c>
      <c r="C45" t="str">
        <f t="shared" si="2"/>
        <v>Jason Singh</v>
      </c>
      <c r="D45" t="s">
        <v>19</v>
      </c>
      <c r="E45" t="str">
        <f t="shared" si="0"/>
        <v>Male</v>
      </c>
      <c r="F45">
        <v>41</v>
      </c>
      <c r="G45" t="s">
        <v>59</v>
      </c>
      <c r="H45" t="s">
        <v>14</v>
      </c>
      <c r="I45" t="s">
        <v>43</v>
      </c>
      <c r="K45" s="4" t="str" cm="1">
        <f t="array" ref="K45">_xlfn.IFS(J45&lt;=5,"0-5",J45&lt;=10,"6-10",J45&lt;=15,"11-15",J45&lt;=20,"16-20",J45&gt;20,"21+")</f>
        <v>0-5</v>
      </c>
      <c r="L45">
        <v>20</v>
      </c>
      <c r="M45" s="2">
        <f>L45</f>
        <v>20</v>
      </c>
      <c r="N45" s="8">
        <f t="shared" si="1"/>
        <v>20</v>
      </c>
      <c r="O45">
        <v>2.8</v>
      </c>
      <c r="P45" t="b">
        <v>1</v>
      </c>
      <c r="Q45" t="s">
        <v>2073</v>
      </c>
      <c r="R45" s="1">
        <v>0.63</v>
      </c>
      <c r="S45" s="3">
        <f t="shared" ref="S45:S49" si="8">R45</f>
        <v>0.63</v>
      </c>
    </row>
    <row r="46" spans="1:19" x14ac:dyDescent="0.3">
      <c r="A46" t="s">
        <v>158</v>
      </c>
      <c r="B46" t="s">
        <v>159</v>
      </c>
      <c r="C46" t="str">
        <f t="shared" si="2"/>
        <v>Michelle Ramirez</v>
      </c>
      <c r="D46" t="s">
        <v>69</v>
      </c>
      <c r="E46" t="str">
        <f t="shared" si="0"/>
        <v>Female</v>
      </c>
      <c r="F46">
        <v>51</v>
      </c>
      <c r="G46" t="s">
        <v>34</v>
      </c>
      <c r="H46" t="s">
        <v>35</v>
      </c>
      <c r="I46" t="s">
        <v>106</v>
      </c>
      <c r="J46">
        <v>23</v>
      </c>
      <c r="K46" s="4" t="str" cm="1">
        <f t="array" ref="K46">_xlfn.IFS(J46&lt;=5,"0-5",J46&lt;=10,"6-10",J46&lt;=15,"11-15",J46&lt;=20,"16-20",J46&gt;20,"21+")</f>
        <v>21+</v>
      </c>
      <c r="L46">
        <v>20</v>
      </c>
      <c r="M46" s="2">
        <f>L46</f>
        <v>20</v>
      </c>
      <c r="N46" s="8">
        <f t="shared" si="1"/>
        <v>20</v>
      </c>
      <c r="O46">
        <v>2.5</v>
      </c>
      <c r="P46" t="b">
        <v>0</v>
      </c>
      <c r="Q46" t="s">
        <v>2072</v>
      </c>
      <c r="R46" s="1">
        <v>0.8</v>
      </c>
      <c r="S46" s="3">
        <f t="shared" si="8"/>
        <v>0.8</v>
      </c>
    </row>
    <row r="47" spans="1:19" x14ac:dyDescent="0.3">
      <c r="A47" t="s">
        <v>160</v>
      </c>
      <c r="B47" t="s">
        <v>161</v>
      </c>
      <c r="C47" t="str">
        <f t="shared" si="2"/>
        <v>James Brown</v>
      </c>
      <c r="D47" t="s">
        <v>19</v>
      </c>
      <c r="E47" t="str">
        <f t="shared" si="0"/>
        <v>Male</v>
      </c>
      <c r="F47">
        <v>41</v>
      </c>
      <c r="G47" t="s">
        <v>145</v>
      </c>
      <c r="H47" t="s">
        <v>146</v>
      </c>
      <c r="I47" t="s">
        <v>27</v>
      </c>
      <c r="J47">
        <v>9</v>
      </c>
      <c r="K47" s="4" t="str" cm="1">
        <f t="array" ref="K47">_xlfn.IFS(J47&lt;=5,"0-5",J47&lt;=10,"6-10",J47&lt;=15,"11-15",J47&lt;=20,"16-20",J47&gt;20,"21+")</f>
        <v>6-10</v>
      </c>
      <c r="L47" t="s">
        <v>162</v>
      </c>
      <c r="M47" s="2" t="str">
        <f>SUBSTITUTE(L47,"$","")</f>
        <v>75</v>
      </c>
      <c r="N47" s="8">
        <f t="shared" si="1"/>
        <v>75</v>
      </c>
      <c r="O47">
        <v>4.9000000000000004</v>
      </c>
      <c r="P47">
        <v>1</v>
      </c>
      <c r="Q47" t="s">
        <v>2073</v>
      </c>
      <c r="R47" s="1">
        <v>0.74</v>
      </c>
      <c r="S47" s="3">
        <f t="shared" si="8"/>
        <v>0.74</v>
      </c>
    </row>
    <row r="48" spans="1:19" x14ac:dyDescent="0.3">
      <c r="A48" t="s">
        <v>163</v>
      </c>
      <c r="B48" t="s">
        <v>164</v>
      </c>
      <c r="C48" t="str">
        <f>TRIM(MID(B48,FIND(" ",B48)+1,LEN(B48)))</f>
        <v>Samantha Simmons</v>
      </c>
      <c r="D48" t="s">
        <v>69</v>
      </c>
      <c r="E48" t="str">
        <f t="shared" si="0"/>
        <v>Female</v>
      </c>
      <c r="F48">
        <v>47</v>
      </c>
      <c r="G48" t="s">
        <v>131</v>
      </c>
      <c r="H48" t="s">
        <v>132</v>
      </c>
      <c r="I48" t="s">
        <v>81</v>
      </c>
      <c r="J48">
        <v>15</v>
      </c>
      <c r="K48" s="4" t="str" cm="1">
        <f t="array" ref="K48">_xlfn.IFS(J48&lt;=5,"0-5",J48&lt;=10,"6-10",J48&lt;=15,"11-15",J48&lt;=20,"16-20",J48&gt;20,"21+")</f>
        <v>11-15</v>
      </c>
      <c r="L48" t="s">
        <v>101</v>
      </c>
      <c r="M48" s="2" t="str">
        <f>TRIM(MID(L48,FIND(" ",L48)+1,LEN(L48)))</f>
        <v>30</v>
      </c>
      <c r="N48" s="8">
        <f t="shared" si="1"/>
        <v>30</v>
      </c>
      <c r="O48">
        <v>4.5</v>
      </c>
      <c r="P48">
        <v>1</v>
      </c>
      <c r="Q48" t="s">
        <v>2073</v>
      </c>
      <c r="R48" s="1">
        <v>0.85</v>
      </c>
      <c r="S48" s="3">
        <f t="shared" si="8"/>
        <v>0.85</v>
      </c>
    </row>
    <row r="49" spans="1:19" x14ac:dyDescent="0.3">
      <c r="A49" t="s">
        <v>165</v>
      </c>
      <c r="B49" t="s">
        <v>166</v>
      </c>
      <c r="C49" t="str">
        <f t="shared" ref="C49:C112" si="9">B49</f>
        <v>Chase Mason</v>
      </c>
      <c r="D49" t="s">
        <v>19</v>
      </c>
      <c r="E49" t="str">
        <f t="shared" si="0"/>
        <v>Male</v>
      </c>
      <c r="F49">
        <v>25</v>
      </c>
      <c r="G49" t="s">
        <v>167</v>
      </c>
      <c r="H49" t="s">
        <v>168</v>
      </c>
      <c r="I49" t="s">
        <v>22</v>
      </c>
      <c r="J49">
        <v>4</v>
      </c>
      <c r="K49" s="4" t="str" cm="1">
        <f t="array" ref="K49">_xlfn.IFS(J49&lt;=5,"0-5",J49&lt;=10,"6-10",J49&lt;=15,"11-15",J49&lt;=20,"16-20",J49&gt;20,"21+")</f>
        <v>0-5</v>
      </c>
      <c r="L49">
        <v>50</v>
      </c>
      <c r="M49" s="2">
        <f t="shared" ref="M49:M56" si="10">L49</f>
        <v>50</v>
      </c>
      <c r="N49" s="8">
        <f t="shared" si="1"/>
        <v>50</v>
      </c>
      <c r="O49">
        <v>2.7</v>
      </c>
      <c r="P49" t="s">
        <v>23</v>
      </c>
      <c r="Q49" t="s">
        <v>2072</v>
      </c>
      <c r="R49" s="1">
        <v>0.77</v>
      </c>
      <c r="S49" s="3">
        <f t="shared" si="8"/>
        <v>0.77</v>
      </c>
    </row>
    <row r="50" spans="1:19" x14ac:dyDescent="0.3">
      <c r="A50" t="s">
        <v>169</v>
      </c>
      <c r="B50" t="s">
        <v>170</v>
      </c>
      <c r="C50" t="str">
        <f t="shared" si="9"/>
        <v>Dominique Ward</v>
      </c>
      <c r="D50" t="s">
        <v>26</v>
      </c>
      <c r="E50" t="str">
        <f t="shared" si="0"/>
        <v>Female</v>
      </c>
      <c r="F50">
        <v>25</v>
      </c>
      <c r="G50" t="s">
        <v>171</v>
      </c>
      <c r="H50" t="s">
        <v>64</v>
      </c>
      <c r="I50" t="s">
        <v>15</v>
      </c>
      <c r="J50">
        <v>7</v>
      </c>
      <c r="K50" s="4" t="str" cm="1">
        <f t="array" ref="K50">_xlfn.IFS(J50&lt;=5,"0-5",J50&lt;=10,"6-10",J50&lt;=15,"11-15",J50&lt;=20,"16-20",J50&gt;20,"21+")</f>
        <v>6-10</v>
      </c>
      <c r="L50">
        <v>20</v>
      </c>
      <c r="M50" s="2">
        <f t="shared" si="10"/>
        <v>20</v>
      </c>
      <c r="N50" s="8">
        <f t="shared" si="1"/>
        <v>20</v>
      </c>
      <c r="O50">
        <v>1.9</v>
      </c>
      <c r="P50">
        <v>0</v>
      </c>
      <c r="Q50" t="s">
        <v>2072</v>
      </c>
    </row>
    <row r="51" spans="1:19" x14ac:dyDescent="0.3">
      <c r="A51" t="s">
        <v>172</v>
      </c>
      <c r="B51" t="s">
        <v>173</v>
      </c>
      <c r="C51" t="str">
        <f t="shared" si="9"/>
        <v>Lance Griffin</v>
      </c>
      <c r="D51" t="s">
        <v>40</v>
      </c>
      <c r="E51" t="str">
        <f t="shared" si="0"/>
        <v>Male</v>
      </c>
      <c r="F51">
        <v>29</v>
      </c>
      <c r="G51" t="s">
        <v>34</v>
      </c>
      <c r="H51" t="s">
        <v>35</v>
      </c>
      <c r="I51" t="s">
        <v>65</v>
      </c>
      <c r="J51">
        <v>1</v>
      </c>
      <c r="K51" s="4" t="str" cm="1">
        <f t="array" ref="K51">_xlfn.IFS(J51&lt;=5,"0-5",J51&lt;=10,"6-10",J51&lt;=15,"11-15",J51&lt;=20,"16-20",J51&gt;20,"21+")</f>
        <v>0-5</v>
      </c>
      <c r="L51">
        <v>20</v>
      </c>
      <c r="M51" s="2">
        <f t="shared" si="10"/>
        <v>20</v>
      </c>
      <c r="N51" s="8">
        <f t="shared" si="1"/>
        <v>20</v>
      </c>
      <c r="O51">
        <v>1.4</v>
      </c>
      <c r="P51">
        <v>1</v>
      </c>
      <c r="Q51" t="s">
        <v>2073</v>
      </c>
      <c r="R51" s="1">
        <v>0.63</v>
      </c>
      <c r="S51" s="3">
        <f t="shared" ref="S51:S52" si="11">R51</f>
        <v>0.63</v>
      </c>
    </row>
    <row r="52" spans="1:19" x14ac:dyDescent="0.3">
      <c r="A52" t="s">
        <v>174</v>
      </c>
      <c r="B52" t="s">
        <v>175</v>
      </c>
      <c r="C52" t="str">
        <f t="shared" si="9"/>
        <v>Julie Burgess</v>
      </c>
      <c r="D52" t="s">
        <v>12</v>
      </c>
      <c r="E52" t="str">
        <f t="shared" si="0"/>
        <v>Female</v>
      </c>
      <c r="F52">
        <v>23</v>
      </c>
      <c r="G52" t="s">
        <v>63</v>
      </c>
      <c r="H52" t="s">
        <v>64</v>
      </c>
      <c r="I52" t="s">
        <v>70</v>
      </c>
      <c r="J52">
        <v>0</v>
      </c>
      <c r="K52" s="4" t="str" cm="1">
        <f t="array" ref="K52">_xlfn.IFS(J52&lt;=5,"0-5",J52&lt;=10,"6-10",J52&lt;=15,"11-15",J52&lt;=20,"16-20",J52&gt;20,"21+")</f>
        <v>0-5</v>
      </c>
      <c r="L52">
        <v>75</v>
      </c>
      <c r="M52" s="2">
        <f t="shared" si="10"/>
        <v>75</v>
      </c>
      <c r="N52" s="8">
        <f t="shared" si="1"/>
        <v>75</v>
      </c>
      <c r="O52">
        <v>1.9</v>
      </c>
      <c r="P52" t="b">
        <v>1</v>
      </c>
      <c r="Q52" t="s">
        <v>2073</v>
      </c>
      <c r="R52" s="1">
        <v>0.79</v>
      </c>
      <c r="S52" s="3">
        <f t="shared" si="11"/>
        <v>0.79</v>
      </c>
    </row>
    <row r="53" spans="1:19" x14ac:dyDescent="0.3">
      <c r="A53" t="s">
        <v>176</v>
      </c>
      <c r="B53" t="s">
        <v>177</v>
      </c>
      <c r="C53" t="str">
        <f t="shared" si="9"/>
        <v>Don Scott</v>
      </c>
      <c r="D53" t="s">
        <v>19</v>
      </c>
      <c r="E53" t="str">
        <f t="shared" si="0"/>
        <v>Male</v>
      </c>
      <c r="F53">
        <v>31</v>
      </c>
      <c r="G53" t="s">
        <v>127</v>
      </c>
      <c r="H53" t="s">
        <v>128</v>
      </c>
      <c r="I53" t="s">
        <v>43</v>
      </c>
      <c r="J53">
        <v>8</v>
      </c>
      <c r="K53" s="4" t="str" cm="1">
        <f t="array" ref="K53">_xlfn.IFS(J53&lt;=5,"0-5",J53&lt;=10,"6-10",J53&lt;=15,"11-15",J53&lt;=20,"16-20",J53&gt;20,"21+")</f>
        <v>6-10</v>
      </c>
      <c r="L53">
        <v>50</v>
      </c>
      <c r="M53" s="2">
        <f t="shared" si="10"/>
        <v>50</v>
      </c>
      <c r="N53" s="8">
        <f t="shared" si="1"/>
        <v>50</v>
      </c>
      <c r="O53">
        <v>3.4</v>
      </c>
      <c r="P53">
        <v>0</v>
      </c>
      <c r="Q53" t="s">
        <v>2072</v>
      </c>
    </row>
    <row r="54" spans="1:19" x14ac:dyDescent="0.3">
      <c r="A54" t="s">
        <v>178</v>
      </c>
      <c r="B54" t="s">
        <v>179</v>
      </c>
      <c r="C54" t="str">
        <f t="shared" si="9"/>
        <v>Kyle Atkinson</v>
      </c>
      <c r="D54" t="s">
        <v>89</v>
      </c>
      <c r="E54" t="str">
        <f t="shared" si="0"/>
        <v>Male</v>
      </c>
      <c r="F54">
        <v>51</v>
      </c>
      <c r="G54" t="s">
        <v>20</v>
      </c>
      <c r="H54" t="s">
        <v>21</v>
      </c>
      <c r="I54" t="s">
        <v>106</v>
      </c>
      <c r="J54">
        <v>33</v>
      </c>
      <c r="K54" s="4" t="str" cm="1">
        <f t="array" ref="K54">_xlfn.IFS(J54&lt;=5,"0-5",J54&lt;=10,"6-10",J54&lt;=15,"11-15",J54&lt;=20,"16-20",J54&gt;20,"21+")</f>
        <v>21+</v>
      </c>
      <c r="L54">
        <v>75</v>
      </c>
      <c r="M54" s="2">
        <f t="shared" si="10"/>
        <v>75</v>
      </c>
      <c r="N54" s="8">
        <f t="shared" si="1"/>
        <v>75</v>
      </c>
      <c r="O54">
        <v>3.3</v>
      </c>
      <c r="R54" s="1">
        <v>0.68</v>
      </c>
      <c r="S54" s="3">
        <f t="shared" ref="S54:S61" si="12">R54</f>
        <v>0.68</v>
      </c>
    </row>
    <row r="55" spans="1:19" x14ac:dyDescent="0.3">
      <c r="A55" t="s">
        <v>180</v>
      </c>
      <c r="B55" t="s">
        <v>181</v>
      </c>
      <c r="C55" t="str">
        <f t="shared" si="9"/>
        <v>Jimmy Hogan</v>
      </c>
      <c r="D55" t="s">
        <v>40</v>
      </c>
      <c r="E55" t="str">
        <f t="shared" si="0"/>
        <v>Male</v>
      </c>
      <c r="G55" t="s">
        <v>182</v>
      </c>
      <c r="H55" t="s">
        <v>64</v>
      </c>
      <c r="I55" t="s">
        <v>65</v>
      </c>
      <c r="J55">
        <v>1</v>
      </c>
      <c r="K55" s="4" t="str" cm="1">
        <f t="array" ref="K55">_xlfn.IFS(J55&lt;=5,"0-5",J55&lt;=10,"6-10",J55&lt;=15,"11-15",J55&lt;=20,"16-20",J55&gt;20,"21+")</f>
        <v>0-5</v>
      </c>
      <c r="L55">
        <v>30</v>
      </c>
      <c r="M55" s="2">
        <f t="shared" si="10"/>
        <v>30</v>
      </c>
      <c r="N55" s="8">
        <f t="shared" si="1"/>
        <v>30</v>
      </c>
      <c r="O55">
        <v>0</v>
      </c>
      <c r="P55">
        <v>0</v>
      </c>
      <c r="Q55" t="s">
        <v>2072</v>
      </c>
      <c r="R55" s="1">
        <v>0.68</v>
      </c>
      <c r="S55" s="3">
        <f t="shared" si="12"/>
        <v>0.68</v>
      </c>
    </row>
    <row r="56" spans="1:19" x14ac:dyDescent="0.3">
      <c r="A56" t="s">
        <v>183</v>
      </c>
      <c r="B56" t="s">
        <v>184</v>
      </c>
      <c r="C56" t="str">
        <f t="shared" si="9"/>
        <v>Jennifer Mcintyre</v>
      </c>
      <c r="D56" t="s">
        <v>6</v>
      </c>
      <c r="E56" t="str">
        <f t="shared" si="0"/>
        <v>Female</v>
      </c>
      <c r="F56">
        <v>29</v>
      </c>
      <c r="G56" t="s">
        <v>54</v>
      </c>
      <c r="H56" t="s">
        <v>55</v>
      </c>
      <c r="I56" t="s">
        <v>70</v>
      </c>
      <c r="J56">
        <v>11</v>
      </c>
      <c r="K56" s="4" t="str" cm="1">
        <f t="array" ref="K56">_xlfn.IFS(J56&lt;=5,"0-5",J56&lt;=10,"6-10",J56&lt;=15,"11-15",J56&lt;=20,"16-20",J56&gt;20,"21+")</f>
        <v>11-15</v>
      </c>
      <c r="L56">
        <v>100</v>
      </c>
      <c r="M56" s="2">
        <f t="shared" si="10"/>
        <v>100</v>
      </c>
      <c r="N56" s="8">
        <f t="shared" si="1"/>
        <v>100</v>
      </c>
      <c r="O56">
        <v>2.2999999999999998</v>
      </c>
      <c r="P56" t="b">
        <v>1</v>
      </c>
      <c r="Q56" t="s">
        <v>2073</v>
      </c>
      <c r="R56" s="1">
        <v>0.72</v>
      </c>
      <c r="S56" s="3">
        <f t="shared" si="12"/>
        <v>0.72</v>
      </c>
    </row>
    <row r="57" spans="1:19" x14ac:dyDescent="0.3">
      <c r="A57" t="s">
        <v>185</v>
      </c>
      <c r="B57" t="s">
        <v>186</v>
      </c>
      <c r="C57" t="str">
        <f t="shared" si="9"/>
        <v>Larry Simpson</v>
      </c>
      <c r="D57" t="s">
        <v>40</v>
      </c>
      <c r="E57" t="str">
        <f t="shared" si="0"/>
        <v>Male</v>
      </c>
      <c r="F57">
        <v>50</v>
      </c>
      <c r="G57" t="s">
        <v>59</v>
      </c>
      <c r="H57" t="s">
        <v>14</v>
      </c>
      <c r="I57" t="s">
        <v>36</v>
      </c>
      <c r="J57">
        <v>15</v>
      </c>
      <c r="K57" s="4" t="str" cm="1">
        <f t="array" ref="K57">_xlfn.IFS(J57&lt;=5,"0-5",J57&lt;=10,"6-10",J57&lt;=15,"11-15",J57&lt;=20,"16-20",J57&gt;20,"21+")</f>
        <v>11-15</v>
      </c>
      <c r="N57" s="8" t="str">
        <f t="shared" si="1"/>
        <v/>
      </c>
      <c r="O57">
        <v>2</v>
      </c>
      <c r="P57" t="s">
        <v>60</v>
      </c>
      <c r="Q57" t="s">
        <v>2073</v>
      </c>
      <c r="R57" s="1">
        <v>0.65</v>
      </c>
      <c r="S57" s="3">
        <f t="shared" si="12"/>
        <v>0.65</v>
      </c>
    </row>
    <row r="58" spans="1:19" x14ac:dyDescent="0.3">
      <c r="A58" t="s">
        <v>187</v>
      </c>
      <c r="B58" t="s">
        <v>188</v>
      </c>
      <c r="C58" t="str">
        <f t="shared" si="9"/>
        <v>Laura Price</v>
      </c>
      <c r="D58" t="s">
        <v>6</v>
      </c>
      <c r="E58" t="str">
        <f t="shared" si="0"/>
        <v>Female</v>
      </c>
      <c r="F58">
        <v>26</v>
      </c>
      <c r="G58" t="s">
        <v>59</v>
      </c>
      <c r="H58" t="s">
        <v>14</v>
      </c>
      <c r="I58" t="s">
        <v>81</v>
      </c>
      <c r="J58">
        <v>8</v>
      </c>
      <c r="K58" s="4" t="str" cm="1">
        <f t="array" ref="K58">_xlfn.IFS(J58&lt;=5,"0-5",J58&lt;=10,"6-10",J58&lt;=15,"11-15",J58&lt;=20,"16-20",J58&gt;20,"21+")</f>
        <v>6-10</v>
      </c>
      <c r="L58">
        <v>50</v>
      </c>
      <c r="M58" s="2">
        <f>L58</f>
        <v>50</v>
      </c>
      <c r="N58" s="8">
        <f t="shared" si="1"/>
        <v>50</v>
      </c>
      <c r="O58">
        <v>1.3</v>
      </c>
      <c r="P58" t="b">
        <v>0</v>
      </c>
      <c r="Q58" t="s">
        <v>2072</v>
      </c>
      <c r="R58" s="1">
        <v>0.76</v>
      </c>
      <c r="S58" s="3">
        <f t="shared" si="12"/>
        <v>0.76</v>
      </c>
    </row>
    <row r="59" spans="1:19" x14ac:dyDescent="0.3">
      <c r="A59" t="s">
        <v>189</v>
      </c>
      <c r="B59" t="s">
        <v>190</v>
      </c>
      <c r="C59" t="str">
        <f t="shared" si="9"/>
        <v>Mark Wright</v>
      </c>
      <c r="D59" t="s">
        <v>89</v>
      </c>
      <c r="E59" t="str">
        <f t="shared" si="0"/>
        <v>Male</v>
      </c>
      <c r="F59">
        <v>38</v>
      </c>
      <c r="G59" t="s">
        <v>120</v>
      </c>
      <c r="H59" t="s">
        <v>14</v>
      </c>
      <c r="I59" t="s">
        <v>36</v>
      </c>
      <c r="J59">
        <v>17</v>
      </c>
      <c r="K59" s="4" t="str" cm="1">
        <f t="array" ref="K59">_xlfn.IFS(J59&lt;=5,"0-5",J59&lt;=10,"6-10",J59&lt;=15,"11-15",J59&lt;=20,"16-20",J59&gt;20,"21+")</f>
        <v>16-20</v>
      </c>
      <c r="L59" t="s">
        <v>47</v>
      </c>
      <c r="M59" s="2" t="str">
        <f>TRIM(MID(L59,FIND(" ",L59)+1,LEN(L59)))</f>
        <v>40</v>
      </c>
      <c r="N59" s="8">
        <f t="shared" si="1"/>
        <v>40</v>
      </c>
      <c r="O59">
        <v>4</v>
      </c>
      <c r="P59" t="b">
        <v>1</v>
      </c>
      <c r="Q59" t="s">
        <v>2073</v>
      </c>
      <c r="R59" s="1">
        <v>0.9</v>
      </c>
      <c r="S59" s="3">
        <f t="shared" si="12"/>
        <v>0.9</v>
      </c>
    </row>
    <row r="60" spans="1:19" x14ac:dyDescent="0.3">
      <c r="A60" t="s">
        <v>191</v>
      </c>
      <c r="B60" t="s">
        <v>192</v>
      </c>
      <c r="C60" t="str">
        <f t="shared" si="9"/>
        <v>Samantha Mcdaniel</v>
      </c>
      <c r="D60" t="s">
        <v>12</v>
      </c>
      <c r="E60" t="str">
        <f t="shared" si="0"/>
        <v>Female</v>
      </c>
      <c r="F60">
        <v>23</v>
      </c>
      <c r="G60" t="s">
        <v>85</v>
      </c>
      <c r="H60" t="s">
        <v>86</v>
      </c>
      <c r="I60" t="s">
        <v>15</v>
      </c>
      <c r="K60" s="4" t="str" cm="1">
        <f t="array" ref="K60">_xlfn.IFS(J60&lt;=5,"0-5",J60&lt;=10,"6-10",J60&lt;=15,"11-15",J60&lt;=20,"16-20",J60&gt;20,"21+")</f>
        <v>0-5</v>
      </c>
      <c r="L60">
        <v>75</v>
      </c>
      <c r="M60" s="2">
        <f>L60</f>
        <v>75</v>
      </c>
      <c r="N60" s="8">
        <f t="shared" si="1"/>
        <v>75</v>
      </c>
      <c r="O60">
        <v>3.6</v>
      </c>
      <c r="P60">
        <v>1</v>
      </c>
      <c r="Q60" t="s">
        <v>2073</v>
      </c>
      <c r="R60" s="1">
        <v>0.65</v>
      </c>
      <c r="S60" s="3">
        <f t="shared" si="12"/>
        <v>0.65</v>
      </c>
    </row>
    <row r="61" spans="1:19" x14ac:dyDescent="0.3">
      <c r="A61" t="s">
        <v>193</v>
      </c>
      <c r="B61" t="s">
        <v>194</v>
      </c>
      <c r="C61" t="str">
        <f t="shared" si="9"/>
        <v>Barbara Foster</v>
      </c>
      <c r="D61" t="s">
        <v>69</v>
      </c>
      <c r="E61" t="str">
        <f t="shared" si="0"/>
        <v>Female</v>
      </c>
      <c r="F61">
        <v>51</v>
      </c>
      <c r="G61" t="s">
        <v>145</v>
      </c>
      <c r="H61" t="s">
        <v>146</v>
      </c>
      <c r="I61" t="s">
        <v>81</v>
      </c>
      <c r="J61">
        <v>28</v>
      </c>
      <c r="K61" s="4" t="str" cm="1">
        <f t="array" ref="K61">_xlfn.IFS(J61&lt;=5,"0-5",J61&lt;=10,"6-10",J61&lt;=15,"11-15",J61&lt;=20,"16-20",J61&gt;20,"21+")</f>
        <v>21+</v>
      </c>
      <c r="L61">
        <v>40</v>
      </c>
      <c r="M61" s="2">
        <f>L61</f>
        <v>40</v>
      </c>
      <c r="N61" s="8">
        <f t="shared" si="1"/>
        <v>40</v>
      </c>
      <c r="O61">
        <v>3.9</v>
      </c>
      <c r="P61">
        <v>0</v>
      </c>
      <c r="Q61" t="s">
        <v>2072</v>
      </c>
      <c r="R61" s="1">
        <v>0.63</v>
      </c>
      <c r="S61" s="3">
        <f t="shared" si="12"/>
        <v>0.63</v>
      </c>
    </row>
    <row r="62" spans="1:19" x14ac:dyDescent="0.3">
      <c r="A62" t="s">
        <v>195</v>
      </c>
      <c r="B62" t="s">
        <v>196</v>
      </c>
      <c r="C62" t="str">
        <f t="shared" si="9"/>
        <v>Courtney Tran</v>
      </c>
      <c r="D62" t="s">
        <v>26</v>
      </c>
      <c r="E62" t="str">
        <f t="shared" si="0"/>
        <v>Female</v>
      </c>
      <c r="F62">
        <v>51</v>
      </c>
      <c r="G62" t="s">
        <v>41</v>
      </c>
      <c r="H62" t="s">
        <v>42</v>
      </c>
      <c r="I62" t="s">
        <v>36</v>
      </c>
      <c r="J62">
        <v>33</v>
      </c>
      <c r="K62" s="4" t="str" cm="1">
        <f t="array" ref="K62">_xlfn.IFS(J62&lt;=5,"0-5",J62&lt;=10,"6-10",J62&lt;=15,"11-15",J62&lt;=20,"16-20",J62&gt;20,"21+")</f>
        <v>21+</v>
      </c>
      <c r="L62" t="s">
        <v>162</v>
      </c>
      <c r="M62" s="2" t="str">
        <f>SUBSTITUTE(L62,"$","")</f>
        <v>75</v>
      </c>
      <c r="N62" s="8">
        <f t="shared" si="1"/>
        <v>75</v>
      </c>
      <c r="O62">
        <v>0</v>
      </c>
      <c r="P62" t="b">
        <v>1</v>
      </c>
      <c r="Q62" t="s">
        <v>2073</v>
      </c>
    </row>
    <row r="63" spans="1:19" x14ac:dyDescent="0.3">
      <c r="A63" t="s">
        <v>197</v>
      </c>
      <c r="B63" t="s">
        <v>198</v>
      </c>
      <c r="C63" t="str">
        <f t="shared" si="9"/>
        <v>Eddie Todd</v>
      </c>
      <c r="D63" t="s">
        <v>89</v>
      </c>
      <c r="E63" t="str">
        <f t="shared" si="0"/>
        <v>Male</v>
      </c>
      <c r="F63">
        <v>47</v>
      </c>
      <c r="G63" t="s">
        <v>20</v>
      </c>
      <c r="H63" t="s">
        <v>21</v>
      </c>
      <c r="I63" t="s">
        <v>36</v>
      </c>
      <c r="J63">
        <v>18</v>
      </c>
      <c r="K63" s="4" t="str" cm="1">
        <f t="array" ref="K63">_xlfn.IFS(J63&lt;=5,"0-5",J63&lt;=10,"6-10",J63&lt;=15,"11-15",J63&lt;=20,"16-20",J63&gt;20,"21+")</f>
        <v>16-20</v>
      </c>
      <c r="L63">
        <v>75</v>
      </c>
      <c r="M63" s="2">
        <f>L63</f>
        <v>75</v>
      </c>
      <c r="N63" s="8">
        <f t="shared" si="1"/>
        <v>75</v>
      </c>
      <c r="O63">
        <v>0</v>
      </c>
      <c r="P63">
        <v>0</v>
      </c>
      <c r="Q63" t="s">
        <v>2072</v>
      </c>
    </row>
    <row r="64" spans="1:19" x14ac:dyDescent="0.3">
      <c r="A64" t="s">
        <v>199</v>
      </c>
      <c r="B64" t="s">
        <v>200</v>
      </c>
      <c r="C64" t="str">
        <f t="shared" si="9"/>
        <v>Christine Johnson</v>
      </c>
      <c r="D64" t="s">
        <v>69</v>
      </c>
      <c r="E64" t="str">
        <f t="shared" si="0"/>
        <v>Female</v>
      </c>
      <c r="F64">
        <v>34</v>
      </c>
      <c r="G64" t="s">
        <v>116</v>
      </c>
      <c r="H64" t="s">
        <v>117</v>
      </c>
      <c r="I64" t="s">
        <v>65</v>
      </c>
      <c r="J64">
        <v>16</v>
      </c>
      <c r="K64" s="4" t="str" cm="1">
        <f t="array" ref="K64">_xlfn.IFS(J64&lt;=5,"0-5",J64&lt;=10,"6-10",J64&lt;=15,"11-15",J64&lt;=20,"16-20",J64&gt;20,"21+")</f>
        <v>16-20</v>
      </c>
      <c r="L64" t="s">
        <v>113</v>
      </c>
      <c r="M64" s="2" t="str">
        <f>SUBSTITUTE(L64,"$","")</f>
        <v>20</v>
      </c>
      <c r="N64" s="8">
        <f t="shared" si="1"/>
        <v>20</v>
      </c>
      <c r="O64">
        <v>2.2999999999999998</v>
      </c>
      <c r="P64" t="s">
        <v>60</v>
      </c>
      <c r="Q64" t="s">
        <v>2073</v>
      </c>
      <c r="R64" s="1">
        <v>0.93</v>
      </c>
      <c r="S64" s="3">
        <f t="shared" ref="S64:S66" si="13">R64</f>
        <v>0.93</v>
      </c>
    </row>
    <row r="65" spans="1:19" x14ac:dyDescent="0.3">
      <c r="A65" t="s">
        <v>201</v>
      </c>
      <c r="B65" t="s">
        <v>202</v>
      </c>
      <c r="C65" t="str">
        <f t="shared" si="9"/>
        <v>Leah Phelps</v>
      </c>
      <c r="D65" t="s">
        <v>6</v>
      </c>
      <c r="E65" t="str">
        <f t="shared" si="0"/>
        <v>Female</v>
      </c>
      <c r="F65">
        <v>58</v>
      </c>
      <c r="G65" t="s">
        <v>41</v>
      </c>
      <c r="H65" t="s">
        <v>42</v>
      </c>
      <c r="I65" t="s">
        <v>43</v>
      </c>
      <c r="J65">
        <v>35</v>
      </c>
      <c r="K65" s="4" t="str" cm="1">
        <f t="array" ref="K65">_xlfn.IFS(J65&lt;=5,"0-5",J65&lt;=10,"6-10",J65&lt;=15,"11-15",J65&lt;=20,"16-20",J65&gt;20,"21+")</f>
        <v>21+</v>
      </c>
      <c r="L65" t="s">
        <v>90</v>
      </c>
      <c r="M65" s="2" t="str">
        <f>TRIM(MID(L65,FIND(" ",L65)+1,LEN(L65)))</f>
        <v>50</v>
      </c>
      <c r="N65" s="8">
        <f t="shared" si="1"/>
        <v>50</v>
      </c>
      <c r="O65">
        <v>4.7</v>
      </c>
      <c r="P65" t="s">
        <v>151</v>
      </c>
      <c r="Q65" t="s">
        <v>2072</v>
      </c>
      <c r="R65" s="1">
        <v>0.7</v>
      </c>
      <c r="S65" s="3">
        <f t="shared" si="13"/>
        <v>0.7</v>
      </c>
    </row>
    <row r="66" spans="1:19" x14ac:dyDescent="0.3">
      <c r="A66" t="s">
        <v>203</v>
      </c>
      <c r="B66" t="s">
        <v>204</v>
      </c>
      <c r="C66" t="str">
        <f t="shared" si="9"/>
        <v>Rebekah Williams</v>
      </c>
      <c r="D66" t="s">
        <v>26</v>
      </c>
      <c r="E66" t="str">
        <f t="shared" ref="E66:E129" si="14">IF(LOWER(LEFT(D66,1))="f","Female","Male")</f>
        <v>Female</v>
      </c>
      <c r="F66">
        <v>50</v>
      </c>
      <c r="G66" t="s">
        <v>116</v>
      </c>
      <c r="H66" t="s">
        <v>117</v>
      </c>
      <c r="I66" t="s">
        <v>36</v>
      </c>
      <c r="J66">
        <v>14</v>
      </c>
      <c r="K66" s="4" t="str" cm="1">
        <f t="array" ref="K66">_xlfn.IFS(J66&lt;=5,"0-5",J66&lt;=10,"6-10",J66&lt;=15,"11-15",J66&lt;=20,"16-20",J66&gt;20,"21+")</f>
        <v>11-15</v>
      </c>
      <c r="N66" s="8" t="str">
        <f t="shared" si="1"/>
        <v/>
      </c>
      <c r="O66">
        <v>3.5</v>
      </c>
      <c r="P66" t="s">
        <v>66</v>
      </c>
      <c r="Q66" t="s">
        <v>2073</v>
      </c>
      <c r="R66" s="1">
        <v>0.83</v>
      </c>
      <c r="S66" s="3">
        <f t="shared" si="13"/>
        <v>0.83</v>
      </c>
    </row>
    <row r="67" spans="1:19" x14ac:dyDescent="0.3">
      <c r="A67" t="s">
        <v>205</v>
      </c>
      <c r="B67" t="s">
        <v>206</v>
      </c>
      <c r="C67" t="str">
        <f t="shared" si="9"/>
        <v>Crystal Wilson</v>
      </c>
      <c r="D67" t="s">
        <v>12</v>
      </c>
      <c r="E67" t="str">
        <f t="shared" si="14"/>
        <v>Female</v>
      </c>
      <c r="F67">
        <v>34</v>
      </c>
      <c r="G67" t="s">
        <v>182</v>
      </c>
      <c r="H67" t="s">
        <v>64</v>
      </c>
      <c r="I67" t="s">
        <v>27</v>
      </c>
      <c r="J67">
        <v>12</v>
      </c>
      <c r="K67" s="4" t="str" cm="1">
        <f t="array" ref="K67">_xlfn.IFS(J67&lt;=5,"0-5",J67&lt;=10,"6-10",J67&lt;=15,"11-15",J67&lt;=20,"16-20",J67&gt;20,"21+")</f>
        <v>11-15</v>
      </c>
      <c r="L67">
        <v>40</v>
      </c>
      <c r="M67" s="2">
        <f>L67</f>
        <v>40</v>
      </c>
      <c r="N67" s="8">
        <f t="shared" ref="N67:N130" si="15">IF(M67="", "", VALUE(M67))</f>
        <v>40</v>
      </c>
      <c r="O67">
        <v>2.4</v>
      </c>
      <c r="P67">
        <v>1</v>
      </c>
      <c r="Q67" t="s">
        <v>2073</v>
      </c>
      <c r="R67">
        <v>64</v>
      </c>
      <c r="S67" s="3">
        <f>R67/100</f>
        <v>0.64</v>
      </c>
    </row>
    <row r="68" spans="1:19" x14ac:dyDescent="0.3">
      <c r="A68" t="s">
        <v>207</v>
      </c>
      <c r="B68" t="s">
        <v>208</v>
      </c>
      <c r="C68" t="str">
        <f t="shared" si="9"/>
        <v>Ashley Cordova</v>
      </c>
      <c r="D68" t="s">
        <v>69</v>
      </c>
      <c r="E68" t="str">
        <f t="shared" si="14"/>
        <v>Female</v>
      </c>
      <c r="F68">
        <v>45</v>
      </c>
      <c r="G68" t="s">
        <v>99</v>
      </c>
      <c r="H68" t="s">
        <v>100</v>
      </c>
      <c r="I68" t="s">
        <v>36</v>
      </c>
      <c r="J68">
        <v>11</v>
      </c>
      <c r="K68" s="4" t="str" cm="1">
        <f t="array" ref="K68">_xlfn.IFS(J68&lt;=5,"0-5",J68&lt;=10,"6-10",J68&lt;=15,"11-15",J68&lt;=20,"16-20",J68&gt;20,"21+")</f>
        <v>11-15</v>
      </c>
      <c r="L68" t="s">
        <v>44</v>
      </c>
      <c r="M68" s="2" t="str">
        <f>TRIM(MID(L68,FIND(" ",L68)+1,LEN(L68)))</f>
        <v>75</v>
      </c>
      <c r="N68" s="8">
        <f t="shared" si="15"/>
        <v>75</v>
      </c>
      <c r="O68">
        <v>4</v>
      </c>
      <c r="P68" t="s">
        <v>23</v>
      </c>
      <c r="Q68" t="s">
        <v>2072</v>
      </c>
      <c r="R68" s="1">
        <v>1</v>
      </c>
      <c r="S68" s="3">
        <f>R68</f>
        <v>1</v>
      </c>
    </row>
    <row r="69" spans="1:19" x14ac:dyDescent="0.3">
      <c r="A69" t="s">
        <v>209</v>
      </c>
      <c r="B69" t="s">
        <v>210</v>
      </c>
      <c r="C69" t="str">
        <f t="shared" si="9"/>
        <v>Vicki Kelly</v>
      </c>
      <c r="D69" t="s">
        <v>12</v>
      </c>
      <c r="E69" t="str">
        <f t="shared" si="14"/>
        <v>Female</v>
      </c>
      <c r="F69">
        <v>55</v>
      </c>
      <c r="G69" t="s">
        <v>99</v>
      </c>
      <c r="H69" t="s">
        <v>100</v>
      </c>
      <c r="I69" t="s">
        <v>27</v>
      </c>
      <c r="J69">
        <v>0</v>
      </c>
      <c r="K69" s="4" t="str" cm="1">
        <f t="array" ref="K69">_xlfn.IFS(J69&lt;=5,"0-5",J69&lt;=10,"6-10",J69&lt;=15,"11-15",J69&lt;=20,"16-20",J69&gt;20,"21+")</f>
        <v>0-5</v>
      </c>
      <c r="L69" t="s">
        <v>28</v>
      </c>
      <c r="M69" s="2" t="str">
        <f>SUBSTITUTE(L69,"$","")</f>
        <v>40</v>
      </c>
      <c r="N69" s="8">
        <f t="shared" si="15"/>
        <v>40</v>
      </c>
      <c r="O69">
        <v>0</v>
      </c>
      <c r="P69" t="b">
        <v>1</v>
      </c>
      <c r="Q69" t="s">
        <v>2073</v>
      </c>
    </row>
    <row r="70" spans="1:19" x14ac:dyDescent="0.3">
      <c r="A70" t="s">
        <v>211</v>
      </c>
      <c r="B70" t="s">
        <v>212</v>
      </c>
      <c r="C70" t="str">
        <f t="shared" si="9"/>
        <v>Corey Warren</v>
      </c>
      <c r="D70" t="s">
        <v>40</v>
      </c>
      <c r="E70" t="str">
        <f t="shared" si="14"/>
        <v>Male</v>
      </c>
      <c r="G70" t="s">
        <v>63</v>
      </c>
      <c r="H70" t="s">
        <v>64</v>
      </c>
      <c r="I70" t="s">
        <v>65</v>
      </c>
      <c r="J70">
        <v>6</v>
      </c>
      <c r="K70" s="4" t="str" cm="1">
        <f t="array" ref="K70">_xlfn.IFS(J70&lt;=5,"0-5",J70&lt;=10,"6-10",J70&lt;=15,"11-15",J70&lt;=20,"16-20",J70&gt;20,"21+")</f>
        <v>6-10</v>
      </c>
      <c r="L70">
        <v>100</v>
      </c>
      <c r="M70" s="2">
        <f>L70</f>
        <v>100</v>
      </c>
      <c r="N70" s="8">
        <f t="shared" si="15"/>
        <v>100</v>
      </c>
      <c r="O70">
        <v>1.5</v>
      </c>
      <c r="P70" t="b">
        <v>0</v>
      </c>
      <c r="Q70" t="s">
        <v>2072</v>
      </c>
    </row>
    <row r="71" spans="1:19" x14ac:dyDescent="0.3">
      <c r="A71" t="s">
        <v>213</v>
      </c>
      <c r="B71" t="s">
        <v>214</v>
      </c>
      <c r="C71" t="str">
        <f t="shared" si="9"/>
        <v>Gina Thompson</v>
      </c>
      <c r="D71" t="s">
        <v>12</v>
      </c>
      <c r="E71" t="str">
        <f t="shared" si="14"/>
        <v>Female</v>
      </c>
      <c r="F71">
        <v>60</v>
      </c>
      <c r="G71" t="s">
        <v>167</v>
      </c>
      <c r="H71" t="s">
        <v>168</v>
      </c>
      <c r="I71" t="s">
        <v>65</v>
      </c>
      <c r="J71">
        <v>38</v>
      </c>
      <c r="K71" s="4" t="str" cm="1">
        <f t="array" ref="K71">_xlfn.IFS(J71&lt;=5,"0-5",J71&lt;=10,"6-10",J71&lt;=15,"11-15",J71&lt;=20,"16-20",J71&gt;20,"21+")</f>
        <v>21+</v>
      </c>
      <c r="L71" t="s">
        <v>113</v>
      </c>
      <c r="M71" s="2" t="str">
        <f>SUBSTITUTE(L71,"$","")</f>
        <v>20</v>
      </c>
      <c r="N71" s="8">
        <f t="shared" si="15"/>
        <v>20</v>
      </c>
      <c r="O71">
        <v>2</v>
      </c>
      <c r="P71" t="s">
        <v>151</v>
      </c>
      <c r="Q71" t="s">
        <v>2072</v>
      </c>
      <c r="R71" s="1">
        <v>0.71</v>
      </c>
      <c r="S71" s="3">
        <f t="shared" ref="S71:S72" si="16">R71</f>
        <v>0.71</v>
      </c>
    </row>
    <row r="72" spans="1:19" x14ac:dyDescent="0.3">
      <c r="A72" t="s">
        <v>215</v>
      </c>
      <c r="B72" t="s">
        <v>216</v>
      </c>
      <c r="C72" t="str">
        <f t="shared" si="9"/>
        <v>Yvonne Berg</v>
      </c>
      <c r="D72" t="s">
        <v>6</v>
      </c>
      <c r="E72" t="str">
        <f t="shared" si="14"/>
        <v>Female</v>
      </c>
      <c r="F72">
        <v>33</v>
      </c>
      <c r="G72" t="s">
        <v>145</v>
      </c>
      <c r="H72" t="s">
        <v>146</v>
      </c>
      <c r="I72" t="s">
        <v>15</v>
      </c>
      <c r="J72">
        <v>11</v>
      </c>
      <c r="K72" s="4" t="str" cm="1">
        <f t="array" ref="K72">_xlfn.IFS(J72&lt;=5,"0-5",J72&lt;=10,"6-10",J72&lt;=15,"11-15",J72&lt;=20,"16-20",J72&gt;20,"21+")</f>
        <v>11-15</v>
      </c>
      <c r="N72" s="8" t="str">
        <f t="shared" si="15"/>
        <v/>
      </c>
      <c r="P72" t="s">
        <v>60</v>
      </c>
      <c r="Q72" t="s">
        <v>2073</v>
      </c>
      <c r="R72" s="1">
        <v>0.84</v>
      </c>
      <c r="S72" s="3">
        <f t="shared" si="16"/>
        <v>0.84</v>
      </c>
    </row>
    <row r="73" spans="1:19" x14ac:dyDescent="0.3">
      <c r="A73" t="s">
        <v>217</v>
      </c>
      <c r="B73" t="s">
        <v>218</v>
      </c>
      <c r="C73" t="str">
        <f t="shared" si="9"/>
        <v>Thomas Miller</v>
      </c>
      <c r="D73" t="s">
        <v>84</v>
      </c>
      <c r="E73" t="str">
        <f t="shared" si="14"/>
        <v>Male</v>
      </c>
      <c r="F73">
        <v>60</v>
      </c>
      <c r="G73" t="s">
        <v>7</v>
      </c>
      <c r="H73" t="s">
        <v>8</v>
      </c>
      <c r="I73" t="s">
        <v>81</v>
      </c>
      <c r="J73">
        <v>13</v>
      </c>
      <c r="K73" s="4" t="str" cm="1">
        <f t="array" ref="K73">_xlfn.IFS(J73&lt;=5,"0-5",J73&lt;=10,"6-10",J73&lt;=15,"11-15",J73&lt;=20,"16-20",J73&gt;20,"21+")</f>
        <v>11-15</v>
      </c>
      <c r="L73" t="s">
        <v>90</v>
      </c>
      <c r="M73" s="2" t="str">
        <f>TRIM(MID(L73,FIND(" ",L73)+1,LEN(L73)))</f>
        <v>50</v>
      </c>
      <c r="N73" s="8">
        <f t="shared" si="15"/>
        <v>50</v>
      </c>
      <c r="O73">
        <v>1</v>
      </c>
      <c r="P73" t="b">
        <v>0</v>
      </c>
      <c r="Q73" t="s">
        <v>2072</v>
      </c>
    </row>
    <row r="74" spans="1:19" x14ac:dyDescent="0.3">
      <c r="A74" t="s">
        <v>219</v>
      </c>
      <c r="B74" t="s">
        <v>220</v>
      </c>
      <c r="C74" t="str">
        <f t="shared" si="9"/>
        <v>Nicholas Burton</v>
      </c>
      <c r="D74" t="s">
        <v>53</v>
      </c>
      <c r="E74" t="str">
        <f t="shared" si="14"/>
        <v>Male</v>
      </c>
      <c r="F74">
        <v>40</v>
      </c>
      <c r="G74" t="s">
        <v>50</v>
      </c>
      <c r="H74" t="s">
        <v>14</v>
      </c>
      <c r="I74" t="s">
        <v>27</v>
      </c>
      <c r="J74">
        <v>9</v>
      </c>
      <c r="K74" s="4" t="str" cm="1">
        <f t="array" ref="K74">_xlfn.IFS(J74&lt;=5,"0-5",J74&lt;=10,"6-10",J74&lt;=15,"11-15",J74&lt;=20,"16-20",J74&gt;20,"21+")</f>
        <v>6-10</v>
      </c>
      <c r="L74" t="s">
        <v>221</v>
      </c>
      <c r="M74" s="2" t="str">
        <f>SUBSTITUTE(L74,"$","")</f>
        <v>100</v>
      </c>
      <c r="N74" s="8">
        <f t="shared" si="15"/>
        <v>100</v>
      </c>
      <c r="O74">
        <v>4.5</v>
      </c>
      <c r="P74" t="s">
        <v>60</v>
      </c>
      <c r="Q74" t="s">
        <v>2073</v>
      </c>
      <c r="R74" s="1">
        <v>0.69</v>
      </c>
      <c r="S74" s="3">
        <f>R74</f>
        <v>0.69</v>
      </c>
    </row>
    <row r="75" spans="1:19" x14ac:dyDescent="0.3">
      <c r="A75" t="s">
        <v>222</v>
      </c>
      <c r="B75" t="s">
        <v>223</v>
      </c>
      <c r="C75" t="str">
        <f t="shared" si="9"/>
        <v>Jorge Riley</v>
      </c>
      <c r="D75" t="s">
        <v>89</v>
      </c>
      <c r="E75" t="str">
        <f t="shared" si="14"/>
        <v>Male</v>
      </c>
      <c r="F75">
        <v>59</v>
      </c>
      <c r="G75" t="s">
        <v>13</v>
      </c>
      <c r="H75" t="s">
        <v>14</v>
      </c>
      <c r="I75" t="s">
        <v>9</v>
      </c>
      <c r="J75">
        <v>4</v>
      </c>
      <c r="K75" s="4" t="str" cm="1">
        <f t="array" ref="K75">_xlfn.IFS(J75&lt;=5,"0-5",J75&lt;=10,"6-10",J75&lt;=15,"11-15",J75&lt;=20,"16-20",J75&gt;20,"21+")</f>
        <v>0-5</v>
      </c>
      <c r="N75" s="8" t="str">
        <f t="shared" si="15"/>
        <v/>
      </c>
      <c r="O75">
        <v>1.9</v>
      </c>
      <c r="P75" t="b">
        <v>0</v>
      </c>
      <c r="Q75" t="s">
        <v>2072</v>
      </c>
      <c r="R75">
        <v>88</v>
      </c>
      <c r="S75" s="3">
        <f>R75/100</f>
        <v>0.88</v>
      </c>
    </row>
    <row r="76" spans="1:19" x14ac:dyDescent="0.3">
      <c r="A76" t="s">
        <v>224</v>
      </c>
      <c r="B76" t="s">
        <v>225</v>
      </c>
      <c r="C76" t="str">
        <f t="shared" si="9"/>
        <v>Melvin Harris</v>
      </c>
      <c r="D76" t="s">
        <v>84</v>
      </c>
      <c r="E76" t="str">
        <f t="shared" si="14"/>
        <v>Male</v>
      </c>
      <c r="F76">
        <v>36</v>
      </c>
      <c r="G76" t="s">
        <v>7</v>
      </c>
      <c r="H76" t="s">
        <v>8</v>
      </c>
      <c r="I76" t="s">
        <v>106</v>
      </c>
      <c r="J76">
        <v>14</v>
      </c>
      <c r="K76" s="4" t="str" cm="1">
        <f t="array" ref="K76">_xlfn.IFS(J76&lt;=5,"0-5",J76&lt;=10,"6-10",J76&lt;=15,"11-15",J76&lt;=20,"16-20",J76&gt;20,"21+")</f>
        <v>11-15</v>
      </c>
      <c r="L76" t="s">
        <v>221</v>
      </c>
      <c r="M76" s="2" t="str">
        <f>SUBSTITUTE(L76,"$","")</f>
        <v>100</v>
      </c>
      <c r="N76" s="8">
        <f t="shared" si="15"/>
        <v>100</v>
      </c>
      <c r="O76">
        <v>3.7</v>
      </c>
      <c r="P76">
        <v>0</v>
      </c>
      <c r="Q76" t="s">
        <v>2072</v>
      </c>
    </row>
    <row r="77" spans="1:19" x14ac:dyDescent="0.3">
      <c r="A77" t="s">
        <v>226</v>
      </c>
      <c r="B77" t="s">
        <v>227</v>
      </c>
      <c r="C77" t="str">
        <f t="shared" si="9"/>
        <v>Jeremy Meyer</v>
      </c>
      <c r="D77" t="s">
        <v>89</v>
      </c>
      <c r="E77" t="str">
        <f t="shared" si="14"/>
        <v>Male</v>
      </c>
      <c r="F77">
        <v>32</v>
      </c>
      <c r="G77" t="s">
        <v>85</v>
      </c>
      <c r="H77" t="s">
        <v>86</v>
      </c>
      <c r="I77" t="s">
        <v>43</v>
      </c>
      <c r="K77" s="4" t="str" cm="1">
        <f t="array" ref="K77">_xlfn.IFS(J77&lt;=5,"0-5",J77&lt;=10,"6-10",J77&lt;=15,"11-15",J77&lt;=20,"16-20",J77&gt;20,"21+")</f>
        <v>0-5</v>
      </c>
      <c r="L77">
        <v>30</v>
      </c>
      <c r="M77" s="2">
        <f>L77</f>
        <v>30</v>
      </c>
      <c r="N77" s="8">
        <f t="shared" si="15"/>
        <v>30</v>
      </c>
      <c r="O77">
        <v>1.9</v>
      </c>
      <c r="P77" t="b">
        <v>1</v>
      </c>
      <c r="Q77" t="s">
        <v>2073</v>
      </c>
      <c r="R77" s="1">
        <v>0.96</v>
      </c>
      <c r="S77" s="3">
        <f>R77</f>
        <v>0.96</v>
      </c>
    </row>
    <row r="78" spans="1:19" x14ac:dyDescent="0.3">
      <c r="A78" t="s">
        <v>228</v>
      </c>
      <c r="B78" t="s">
        <v>229</v>
      </c>
      <c r="C78" t="str">
        <f t="shared" si="9"/>
        <v>Timothy Lee</v>
      </c>
      <c r="D78" t="s">
        <v>19</v>
      </c>
      <c r="E78" t="str">
        <f t="shared" si="14"/>
        <v>Male</v>
      </c>
      <c r="F78">
        <v>59</v>
      </c>
      <c r="G78" t="s">
        <v>13</v>
      </c>
      <c r="H78" t="s">
        <v>14</v>
      </c>
      <c r="I78" t="s">
        <v>36</v>
      </c>
      <c r="J78">
        <v>9</v>
      </c>
      <c r="K78" s="4" t="str" cm="1">
        <f t="array" ref="K78">_xlfn.IFS(J78&lt;=5,"0-5",J78&lt;=10,"6-10",J78&lt;=15,"11-15",J78&lt;=20,"16-20",J78&gt;20,"21+")</f>
        <v>6-10</v>
      </c>
      <c r="L78" t="s">
        <v>44</v>
      </c>
      <c r="M78" s="2" t="str">
        <f>TRIM(MID(L78,FIND(" ",L78)+1,LEN(L78)))</f>
        <v>75</v>
      </c>
      <c r="N78" s="8">
        <f t="shared" si="15"/>
        <v>75</v>
      </c>
      <c r="O78">
        <v>4</v>
      </c>
      <c r="P78">
        <v>1</v>
      </c>
      <c r="Q78" t="s">
        <v>2073</v>
      </c>
      <c r="R78">
        <v>96</v>
      </c>
      <c r="S78" s="3">
        <f>R78/100</f>
        <v>0.96</v>
      </c>
    </row>
    <row r="79" spans="1:19" x14ac:dyDescent="0.3">
      <c r="A79" t="s">
        <v>230</v>
      </c>
      <c r="B79" t="s">
        <v>231</v>
      </c>
      <c r="C79" t="str">
        <f t="shared" si="9"/>
        <v>Diana Bautista</v>
      </c>
      <c r="D79" t="s">
        <v>26</v>
      </c>
      <c r="E79" t="str">
        <f t="shared" si="14"/>
        <v>Female</v>
      </c>
      <c r="F79">
        <v>54</v>
      </c>
      <c r="G79" t="s">
        <v>182</v>
      </c>
      <c r="H79" t="s">
        <v>64</v>
      </c>
      <c r="I79" t="s">
        <v>81</v>
      </c>
      <c r="J79">
        <v>32</v>
      </c>
      <c r="K79" s="4" t="str" cm="1">
        <f t="array" ref="K79">_xlfn.IFS(J79&lt;=5,"0-5",J79&lt;=10,"6-10",J79&lt;=15,"11-15",J79&lt;=20,"16-20",J79&gt;20,"21+")</f>
        <v>21+</v>
      </c>
      <c r="L79" t="s">
        <v>47</v>
      </c>
      <c r="M79" s="2" t="str">
        <f>TRIM(MID(L79,FIND(" ",L79)+1,LEN(L79)))</f>
        <v>40</v>
      </c>
      <c r="N79" s="8">
        <f t="shared" si="15"/>
        <v>40</v>
      </c>
      <c r="O79">
        <v>1.8</v>
      </c>
      <c r="P79" t="s">
        <v>23</v>
      </c>
      <c r="Q79" t="s">
        <v>2072</v>
      </c>
    </row>
    <row r="80" spans="1:19" x14ac:dyDescent="0.3">
      <c r="A80" t="s">
        <v>232</v>
      </c>
      <c r="B80" t="s">
        <v>233</v>
      </c>
      <c r="C80" t="str">
        <f t="shared" si="9"/>
        <v>Leslie Rodriguez</v>
      </c>
      <c r="D80" t="s">
        <v>6</v>
      </c>
      <c r="E80" t="str">
        <f t="shared" si="14"/>
        <v>Female</v>
      </c>
      <c r="F80">
        <v>37</v>
      </c>
      <c r="G80" t="s">
        <v>120</v>
      </c>
      <c r="H80" t="s">
        <v>14</v>
      </c>
      <c r="I80" t="s">
        <v>22</v>
      </c>
      <c r="J80">
        <v>9</v>
      </c>
      <c r="K80" s="4" t="str" cm="1">
        <f t="array" ref="K80">_xlfn.IFS(J80&lt;=5,"0-5",J80&lt;=10,"6-10",J80&lt;=15,"11-15",J80&lt;=20,"16-20",J80&gt;20,"21+")</f>
        <v>6-10</v>
      </c>
      <c r="N80" s="8" t="str">
        <f t="shared" si="15"/>
        <v/>
      </c>
      <c r="O80">
        <v>0</v>
      </c>
      <c r="P80">
        <v>1</v>
      </c>
      <c r="Q80" t="s">
        <v>2073</v>
      </c>
      <c r="R80" s="1">
        <v>0.89</v>
      </c>
      <c r="S80" s="3">
        <f>R80</f>
        <v>0.89</v>
      </c>
    </row>
    <row r="81" spans="1:19" x14ac:dyDescent="0.3">
      <c r="A81" t="s">
        <v>234</v>
      </c>
      <c r="B81" t="s">
        <v>235</v>
      </c>
      <c r="C81" t="str">
        <f t="shared" si="9"/>
        <v>Noah Wiggins</v>
      </c>
      <c r="D81" t="s">
        <v>53</v>
      </c>
      <c r="E81" t="str">
        <f t="shared" si="14"/>
        <v>Male</v>
      </c>
      <c r="F81">
        <v>54</v>
      </c>
      <c r="G81" t="s">
        <v>85</v>
      </c>
      <c r="H81" t="s">
        <v>86</v>
      </c>
      <c r="I81" t="s">
        <v>106</v>
      </c>
      <c r="J81">
        <v>21</v>
      </c>
      <c r="K81" s="4" t="str" cm="1">
        <f t="array" ref="K81">_xlfn.IFS(J81&lt;=5,"0-5",J81&lt;=10,"6-10",J81&lt;=15,"11-15",J81&lt;=20,"16-20",J81&gt;20,"21+")</f>
        <v>21+</v>
      </c>
      <c r="L81" t="s">
        <v>221</v>
      </c>
      <c r="M81" s="2" t="str">
        <f>SUBSTITUTE(L81,"$","")</f>
        <v>100</v>
      </c>
      <c r="N81" s="8">
        <f t="shared" si="15"/>
        <v>100</v>
      </c>
      <c r="O81">
        <v>4.5999999999999996</v>
      </c>
      <c r="P81" t="b">
        <v>0</v>
      </c>
      <c r="Q81" t="s">
        <v>2072</v>
      </c>
    </row>
    <row r="82" spans="1:19" x14ac:dyDescent="0.3">
      <c r="A82" t="s">
        <v>236</v>
      </c>
      <c r="B82" t="s">
        <v>237</v>
      </c>
      <c r="C82" t="str">
        <f t="shared" si="9"/>
        <v>Bridget Williams</v>
      </c>
      <c r="D82" t="s">
        <v>69</v>
      </c>
      <c r="E82" t="str">
        <f t="shared" si="14"/>
        <v>Female</v>
      </c>
      <c r="F82">
        <v>33</v>
      </c>
      <c r="G82" t="s">
        <v>63</v>
      </c>
      <c r="H82" t="s">
        <v>64</v>
      </c>
      <c r="I82" t="s">
        <v>65</v>
      </c>
      <c r="J82">
        <v>12</v>
      </c>
      <c r="K82" s="4" t="str" cm="1">
        <f t="array" ref="K82">_xlfn.IFS(J82&lt;=5,"0-5",J82&lt;=10,"6-10",J82&lt;=15,"11-15",J82&lt;=20,"16-20",J82&gt;20,"21+")</f>
        <v>11-15</v>
      </c>
      <c r="L82">
        <v>100</v>
      </c>
      <c r="M82" s="2">
        <f>L82</f>
        <v>100</v>
      </c>
      <c r="N82" s="8">
        <f t="shared" si="15"/>
        <v>100</v>
      </c>
      <c r="O82">
        <v>3.6</v>
      </c>
      <c r="P82">
        <v>0</v>
      </c>
      <c r="Q82" t="s">
        <v>2072</v>
      </c>
      <c r="R82" s="1">
        <v>0.63</v>
      </c>
      <c r="S82" s="3">
        <f>R82</f>
        <v>0.63</v>
      </c>
    </row>
    <row r="83" spans="1:19" x14ac:dyDescent="0.3">
      <c r="A83" t="s">
        <v>238</v>
      </c>
      <c r="B83" t="s">
        <v>239</v>
      </c>
      <c r="C83" t="str">
        <f t="shared" si="9"/>
        <v>Veronica Baker</v>
      </c>
      <c r="D83" t="s">
        <v>6</v>
      </c>
      <c r="E83" t="str">
        <f t="shared" si="14"/>
        <v>Female</v>
      </c>
      <c r="F83">
        <v>25</v>
      </c>
      <c r="G83" t="s">
        <v>131</v>
      </c>
      <c r="H83" t="s">
        <v>132</v>
      </c>
      <c r="I83" t="s">
        <v>27</v>
      </c>
      <c r="J83">
        <v>7</v>
      </c>
      <c r="K83" s="4" t="str" cm="1">
        <f t="array" ref="K83">_xlfn.IFS(J83&lt;=5,"0-5",J83&lt;=10,"6-10",J83&lt;=15,"11-15",J83&lt;=20,"16-20",J83&gt;20,"21+")</f>
        <v>6-10</v>
      </c>
      <c r="L83" t="s">
        <v>47</v>
      </c>
      <c r="M83" s="2" t="str">
        <f>TRIM(MID(L83,FIND(" ",L83)+1,LEN(L83)))</f>
        <v>40</v>
      </c>
      <c r="N83" s="8">
        <f t="shared" si="15"/>
        <v>40</v>
      </c>
      <c r="O83">
        <v>4.4000000000000004</v>
      </c>
      <c r="R83">
        <v>81</v>
      </c>
      <c r="S83" s="3">
        <f>R83/100</f>
        <v>0.81</v>
      </c>
    </row>
    <row r="84" spans="1:19" x14ac:dyDescent="0.3">
      <c r="A84" t="s">
        <v>240</v>
      </c>
      <c r="B84" t="s">
        <v>241</v>
      </c>
      <c r="C84" t="str">
        <f t="shared" si="9"/>
        <v>Andrew Avila</v>
      </c>
      <c r="D84" t="s">
        <v>89</v>
      </c>
      <c r="E84" t="str">
        <f t="shared" si="14"/>
        <v>Male</v>
      </c>
      <c r="G84" t="s">
        <v>167</v>
      </c>
      <c r="H84" t="s">
        <v>168</v>
      </c>
      <c r="I84" t="s">
        <v>81</v>
      </c>
      <c r="J84">
        <v>3</v>
      </c>
      <c r="K84" s="4" t="str" cm="1">
        <f t="array" ref="K84">_xlfn.IFS(J84&lt;=5,"0-5",J84&lt;=10,"6-10",J84&lt;=15,"11-15",J84&lt;=20,"16-20",J84&gt;20,"21+")</f>
        <v>0-5</v>
      </c>
      <c r="L84">
        <v>40</v>
      </c>
      <c r="M84" s="2">
        <f>L84</f>
        <v>40</v>
      </c>
      <c r="N84" s="8">
        <f t="shared" si="15"/>
        <v>40</v>
      </c>
      <c r="O84">
        <v>4.5999999999999996</v>
      </c>
      <c r="P84" t="s">
        <v>23</v>
      </c>
      <c r="Q84" t="s">
        <v>2072</v>
      </c>
      <c r="R84" s="1">
        <v>0.74</v>
      </c>
      <c r="S84" s="3">
        <f t="shared" ref="S84:S85" si="17">R84</f>
        <v>0.74</v>
      </c>
    </row>
    <row r="85" spans="1:19" x14ac:dyDescent="0.3">
      <c r="A85" t="s">
        <v>242</v>
      </c>
      <c r="B85" t="s">
        <v>243</v>
      </c>
      <c r="C85" t="str">
        <f t="shared" si="9"/>
        <v>Michael Roberson</v>
      </c>
      <c r="D85" t="s">
        <v>19</v>
      </c>
      <c r="E85" t="str">
        <f t="shared" si="14"/>
        <v>Male</v>
      </c>
      <c r="F85">
        <v>35</v>
      </c>
      <c r="G85" t="s">
        <v>104</v>
      </c>
      <c r="H85" t="s">
        <v>105</v>
      </c>
      <c r="I85" t="s">
        <v>27</v>
      </c>
      <c r="J85">
        <v>5</v>
      </c>
      <c r="K85" s="4" t="str" cm="1">
        <f t="array" ref="K85">_xlfn.IFS(J85&lt;=5,"0-5",J85&lt;=10,"6-10",J85&lt;=15,"11-15",J85&lt;=20,"16-20",J85&gt;20,"21+")</f>
        <v>0-5</v>
      </c>
      <c r="L85" t="s">
        <v>162</v>
      </c>
      <c r="M85" s="2" t="str">
        <f>SUBSTITUTE(L85,"$","")</f>
        <v>75</v>
      </c>
      <c r="N85" s="8">
        <f t="shared" si="15"/>
        <v>75</v>
      </c>
      <c r="O85">
        <v>3.2</v>
      </c>
      <c r="P85" t="b">
        <v>0</v>
      </c>
      <c r="Q85" t="s">
        <v>2072</v>
      </c>
      <c r="R85" s="1">
        <v>0.72</v>
      </c>
      <c r="S85" s="3">
        <f t="shared" si="17"/>
        <v>0.72</v>
      </c>
    </row>
    <row r="86" spans="1:19" x14ac:dyDescent="0.3">
      <c r="A86" t="s">
        <v>244</v>
      </c>
      <c r="B86" t="s">
        <v>245</v>
      </c>
      <c r="C86" t="str">
        <f t="shared" si="9"/>
        <v>Austin Jenkins</v>
      </c>
      <c r="D86" t="s">
        <v>89</v>
      </c>
      <c r="E86" t="str">
        <f t="shared" si="14"/>
        <v>Male</v>
      </c>
      <c r="F86">
        <v>59</v>
      </c>
      <c r="G86" t="s">
        <v>104</v>
      </c>
      <c r="H86" t="s">
        <v>105</v>
      </c>
      <c r="I86" t="s">
        <v>36</v>
      </c>
      <c r="J86">
        <v>30</v>
      </c>
      <c r="K86" s="4" t="str" cm="1">
        <f t="array" ref="K86">_xlfn.IFS(J86&lt;=5,"0-5",J86&lt;=10,"6-10",J86&lt;=15,"11-15",J86&lt;=20,"16-20",J86&gt;20,"21+")</f>
        <v>21+</v>
      </c>
      <c r="L86" t="s">
        <v>28</v>
      </c>
      <c r="M86" s="2" t="str">
        <f>SUBSTITUTE(L86,"$","")</f>
        <v>40</v>
      </c>
      <c r="N86" s="8">
        <f t="shared" si="15"/>
        <v>40</v>
      </c>
      <c r="O86">
        <v>0</v>
      </c>
      <c r="P86" t="b">
        <v>1</v>
      </c>
      <c r="Q86" t="s">
        <v>2073</v>
      </c>
    </row>
    <row r="87" spans="1:19" x14ac:dyDescent="0.3">
      <c r="A87" t="s">
        <v>246</v>
      </c>
      <c r="B87" t="s">
        <v>247</v>
      </c>
      <c r="C87" t="str">
        <f t="shared" si="9"/>
        <v>Brenda Green</v>
      </c>
      <c r="D87" t="s">
        <v>31</v>
      </c>
      <c r="E87" t="str">
        <f t="shared" si="14"/>
        <v>Female</v>
      </c>
      <c r="F87">
        <v>21</v>
      </c>
      <c r="G87" t="s">
        <v>167</v>
      </c>
      <c r="H87" t="s">
        <v>168</v>
      </c>
      <c r="I87" t="s">
        <v>81</v>
      </c>
      <c r="J87">
        <v>2</v>
      </c>
      <c r="K87" s="4" t="str" cm="1">
        <f t="array" ref="K87">_xlfn.IFS(J87&lt;=5,"0-5",J87&lt;=10,"6-10",J87&lt;=15,"11-15",J87&lt;=20,"16-20",J87&gt;20,"21+")</f>
        <v>0-5</v>
      </c>
      <c r="L87">
        <v>100</v>
      </c>
      <c r="M87" s="2">
        <f>L87</f>
        <v>100</v>
      </c>
      <c r="N87" s="8">
        <f t="shared" si="15"/>
        <v>100</v>
      </c>
      <c r="O87">
        <v>2.6</v>
      </c>
      <c r="P87" t="s">
        <v>66</v>
      </c>
      <c r="Q87" t="s">
        <v>2073</v>
      </c>
      <c r="R87" s="1">
        <v>0.85</v>
      </c>
      <c r="S87" s="3">
        <f>R87</f>
        <v>0.85</v>
      </c>
    </row>
    <row r="88" spans="1:19" x14ac:dyDescent="0.3">
      <c r="A88" t="s">
        <v>248</v>
      </c>
      <c r="B88" t="s">
        <v>249</v>
      </c>
      <c r="C88" t="str">
        <f t="shared" si="9"/>
        <v>Samuel Pierce</v>
      </c>
      <c r="D88" t="s">
        <v>84</v>
      </c>
      <c r="E88" t="str">
        <f t="shared" si="14"/>
        <v>Male</v>
      </c>
      <c r="F88">
        <v>25</v>
      </c>
      <c r="G88" t="s">
        <v>50</v>
      </c>
      <c r="H88" t="s">
        <v>14</v>
      </c>
      <c r="I88" t="s">
        <v>15</v>
      </c>
      <c r="J88">
        <v>2</v>
      </c>
      <c r="K88" s="4" t="str" cm="1">
        <f t="array" ref="K88">_xlfn.IFS(J88&lt;=5,"0-5",J88&lt;=10,"6-10",J88&lt;=15,"11-15",J88&lt;=20,"16-20",J88&gt;20,"21+")</f>
        <v>0-5</v>
      </c>
      <c r="L88" t="s">
        <v>162</v>
      </c>
      <c r="M88" s="2" t="str">
        <f>SUBSTITUTE(L88,"$","")</f>
        <v>75</v>
      </c>
      <c r="N88" s="8">
        <f t="shared" si="15"/>
        <v>75</v>
      </c>
      <c r="O88">
        <v>3.7</v>
      </c>
      <c r="P88" t="s">
        <v>23</v>
      </c>
      <c r="Q88" t="s">
        <v>2072</v>
      </c>
    </row>
    <row r="89" spans="1:19" x14ac:dyDescent="0.3">
      <c r="A89" t="s">
        <v>250</v>
      </c>
      <c r="B89" t="s">
        <v>251</v>
      </c>
      <c r="C89" t="str">
        <f t="shared" si="9"/>
        <v>Briana Smith</v>
      </c>
      <c r="D89" t="s">
        <v>6</v>
      </c>
      <c r="E89" t="str">
        <f t="shared" si="14"/>
        <v>Female</v>
      </c>
      <c r="F89">
        <v>38</v>
      </c>
      <c r="G89" t="s">
        <v>171</v>
      </c>
      <c r="H89" t="s">
        <v>64</v>
      </c>
      <c r="I89" t="s">
        <v>27</v>
      </c>
      <c r="J89">
        <v>19</v>
      </c>
      <c r="K89" s="4" t="str" cm="1">
        <f t="array" ref="K89">_xlfn.IFS(J89&lt;=5,"0-5",J89&lt;=10,"6-10",J89&lt;=15,"11-15",J89&lt;=20,"16-20",J89&gt;20,"21+")</f>
        <v>16-20</v>
      </c>
      <c r="L89">
        <v>75</v>
      </c>
      <c r="M89" s="2">
        <f>L89</f>
        <v>75</v>
      </c>
      <c r="N89" s="8">
        <f t="shared" si="15"/>
        <v>75</v>
      </c>
      <c r="O89">
        <v>2.2999999999999998</v>
      </c>
      <c r="P89" t="b">
        <v>0</v>
      </c>
      <c r="Q89" t="s">
        <v>2072</v>
      </c>
      <c r="R89" s="1">
        <v>0.61</v>
      </c>
      <c r="S89" s="3">
        <f>R89</f>
        <v>0.61</v>
      </c>
    </row>
    <row r="90" spans="1:19" x14ac:dyDescent="0.3">
      <c r="A90" t="s">
        <v>252</v>
      </c>
      <c r="B90" t="s">
        <v>253</v>
      </c>
      <c r="C90" t="str">
        <f t="shared" si="9"/>
        <v>Ronald Barrett</v>
      </c>
      <c r="D90" t="s">
        <v>89</v>
      </c>
      <c r="E90" t="str">
        <f t="shared" si="14"/>
        <v>Male</v>
      </c>
      <c r="F90">
        <v>57</v>
      </c>
      <c r="G90" t="s">
        <v>116</v>
      </c>
      <c r="H90" t="s">
        <v>117</v>
      </c>
      <c r="I90" t="s">
        <v>36</v>
      </c>
      <c r="J90">
        <v>16</v>
      </c>
      <c r="K90" s="4" t="str" cm="1">
        <f t="array" ref="K90">_xlfn.IFS(J90&lt;=5,"0-5",J90&lt;=10,"6-10",J90&lt;=15,"11-15",J90&lt;=20,"16-20",J90&gt;20,"21+")</f>
        <v>16-20</v>
      </c>
      <c r="L90">
        <v>100</v>
      </c>
      <c r="M90" s="2">
        <f>L90</f>
        <v>100</v>
      </c>
      <c r="N90" s="8">
        <f t="shared" si="15"/>
        <v>100</v>
      </c>
      <c r="O90">
        <v>3.1</v>
      </c>
      <c r="P90" t="b">
        <v>0</v>
      </c>
      <c r="Q90" t="s">
        <v>2072</v>
      </c>
    </row>
    <row r="91" spans="1:19" x14ac:dyDescent="0.3">
      <c r="A91" t="s">
        <v>254</v>
      </c>
      <c r="B91" t="s">
        <v>255</v>
      </c>
      <c r="C91" t="str">
        <f t="shared" si="9"/>
        <v>Matthew Smith</v>
      </c>
      <c r="D91" t="s">
        <v>40</v>
      </c>
      <c r="E91" t="str">
        <f t="shared" si="14"/>
        <v>Male</v>
      </c>
      <c r="F91">
        <v>32</v>
      </c>
      <c r="G91" t="s">
        <v>85</v>
      </c>
      <c r="H91" t="s">
        <v>86</v>
      </c>
      <c r="I91" t="s">
        <v>15</v>
      </c>
      <c r="J91">
        <v>10</v>
      </c>
      <c r="K91" s="4" t="str" cm="1">
        <f t="array" ref="K91">_xlfn.IFS(J91&lt;=5,"0-5",J91&lt;=10,"6-10",J91&lt;=15,"11-15",J91&lt;=20,"16-20",J91&gt;20,"21+")</f>
        <v>6-10</v>
      </c>
      <c r="L91" t="s">
        <v>113</v>
      </c>
      <c r="M91" s="2" t="str">
        <f>SUBSTITUTE(L91,"$","")</f>
        <v>20</v>
      </c>
      <c r="N91" s="8">
        <f t="shared" si="15"/>
        <v>20</v>
      </c>
      <c r="O91">
        <v>2.4</v>
      </c>
      <c r="P91">
        <v>0</v>
      </c>
      <c r="Q91" t="s">
        <v>2072</v>
      </c>
      <c r="R91" s="1">
        <v>0.86</v>
      </c>
      <c r="S91" s="3">
        <f t="shared" ref="S91:S98" si="18">R91</f>
        <v>0.86</v>
      </c>
    </row>
    <row r="92" spans="1:19" x14ac:dyDescent="0.3">
      <c r="A92" t="s">
        <v>256</v>
      </c>
      <c r="B92" t="s">
        <v>257</v>
      </c>
      <c r="C92" t="str">
        <f t="shared" si="9"/>
        <v>Logan Huang</v>
      </c>
      <c r="D92" t="s">
        <v>19</v>
      </c>
      <c r="E92" t="str">
        <f t="shared" si="14"/>
        <v>Male</v>
      </c>
      <c r="F92">
        <v>21</v>
      </c>
      <c r="G92" t="s">
        <v>7</v>
      </c>
      <c r="H92" t="s">
        <v>8</v>
      </c>
      <c r="I92" t="s">
        <v>81</v>
      </c>
      <c r="J92">
        <v>2</v>
      </c>
      <c r="K92" s="4" t="str" cm="1">
        <f t="array" ref="K92">_xlfn.IFS(J92&lt;=5,"0-5",J92&lt;=10,"6-10",J92&lt;=15,"11-15",J92&lt;=20,"16-20",J92&gt;20,"21+")</f>
        <v>0-5</v>
      </c>
      <c r="L92" t="s">
        <v>16</v>
      </c>
      <c r="M92" s="2" t="str">
        <f>TRIM(MID(L92,FIND(" ",L92)+1,LEN(L92)))</f>
        <v>100</v>
      </c>
      <c r="N92" s="8">
        <f t="shared" si="15"/>
        <v>100</v>
      </c>
      <c r="O92">
        <v>1.6</v>
      </c>
      <c r="P92" t="s">
        <v>60</v>
      </c>
      <c r="Q92" t="s">
        <v>2073</v>
      </c>
      <c r="R92" s="1">
        <v>0.97</v>
      </c>
      <c r="S92" s="3">
        <f t="shared" si="18"/>
        <v>0.97</v>
      </c>
    </row>
    <row r="93" spans="1:19" x14ac:dyDescent="0.3">
      <c r="A93" t="s">
        <v>258</v>
      </c>
      <c r="B93" t="s">
        <v>259</v>
      </c>
      <c r="C93" t="str">
        <f t="shared" si="9"/>
        <v>Miranda Hutchinson</v>
      </c>
      <c r="D93" t="s">
        <v>69</v>
      </c>
      <c r="E93" t="str">
        <f t="shared" si="14"/>
        <v>Female</v>
      </c>
      <c r="F93">
        <v>57</v>
      </c>
      <c r="G93" t="s">
        <v>120</v>
      </c>
      <c r="H93" t="s">
        <v>14</v>
      </c>
      <c r="I93" t="s">
        <v>70</v>
      </c>
      <c r="J93">
        <v>18</v>
      </c>
      <c r="K93" s="4" t="str" cm="1">
        <f t="array" ref="K93">_xlfn.IFS(J93&lt;=5,"0-5",J93&lt;=10,"6-10",J93&lt;=15,"11-15",J93&lt;=20,"16-20",J93&gt;20,"21+")</f>
        <v>16-20</v>
      </c>
      <c r="L93">
        <v>50</v>
      </c>
      <c r="M93" s="2">
        <f>L93</f>
        <v>50</v>
      </c>
      <c r="N93" s="8">
        <f t="shared" si="15"/>
        <v>50</v>
      </c>
      <c r="O93">
        <v>2.4</v>
      </c>
      <c r="P93">
        <v>1</v>
      </c>
      <c r="Q93" t="s">
        <v>2073</v>
      </c>
      <c r="R93" s="1">
        <v>0.63</v>
      </c>
      <c r="S93" s="3">
        <f t="shared" si="18"/>
        <v>0.63</v>
      </c>
    </row>
    <row r="94" spans="1:19" x14ac:dyDescent="0.3">
      <c r="A94" t="s">
        <v>260</v>
      </c>
      <c r="B94" t="s">
        <v>261</v>
      </c>
      <c r="C94" t="str">
        <f t="shared" si="9"/>
        <v>Paul Richardson</v>
      </c>
      <c r="D94" t="s">
        <v>19</v>
      </c>
      <c r="E94" t="str">
        <f t="shared" si="14"/>
        <v>Male</v>
      </c>
      <c r="F94">
        <v>53</v>
      </c>
      <c r="G94" t="s">
        <v>167</v>
      </c>
      <c r="H94" t="s">
        <v>168</v>
      </c>
      <c r="I94" t="s">
        <v>65</v>
      </c>
      <c r="J94">
        <v>21</v>
      </c>
      <c r="K94" s="4" t="str" cm="1">
        <f t="array" ref="K94">_xlfn.IFS(J94&lt;=5,"0-5",J94&lt;=10,"6-10",J94&lt;=15,"11-15",J94&lt;=20,"16-20",J94&gt;20,"21+")</f>
        <v>21+</v>
      </c>
      <c r="L94" t="s">
        <v>16</v>
      </c>
      <c r="M94" s="2" t="str">
        <f>TRIM(MID(L94,FIND(" ",L94)+1,LEN(L94)))</f>
        <v>100</v>
      </c>
      <c r="N94" s="8">
        <f t="shared" si="15"/>
        <v>100</v>
      </c>
      <c r="P94" t="s">
        <v>66</v>
      </c>
      <c r="Q94" t="s">
        <v>2073</v>
      </c>
      <c r="R94" s="1">
        <v>0.97</v>
      </c>
      <c r="S94" s="3">
        <f t="shared" si="18"/>
        <v>0.97</v>
      </c>
    </row>
    <row r="95" spans="1:19" x14ac:dyDescent="0.3">
      <c r="A95" t="s">
        <v>262</v>
      </c>
      <c r="B95" t="s">
        <v>263</v>
      </c>
      <c r="C95" t="str">
        <f t="shared" si="9"/>
        <v>Jose Jones</v>
      </c>
      <c r="D95" t="s">
        <v>84</v>
      </c>
      <c r="E95" t="str">
        <f t="shared" si="14"/>
        <v>Male</v>
      </c>
      <c r="F95">
        <v>35</v>
      </c>
      <c r="G95" t="s">
        <v>116</v>
      </c>
      <c r="H95" t="s">
        <v>117</v>
      </c>
      <c r="I95" t="s">
        <v>9</v>
      </c>
      <c r="J95">
        <v>3</v>
      </c>
      <c r="K95" s="4" t="str" cm="1">
        <f t="array" ref="K95">_xlfn.IFS(J95&lt;=5,"0-5",J95&lt;=10,"6-10",J95&lt;=15,"11-15",J95&lt;=20,"16-20",J95&gt;20,"21+")</f>
        <v>0-5</v>
      </c>
      <c r="L95" t="s">
        <v>101</v>
      </c>
      <c r="M95" s="2" t="str">
        <f>TRIM(MID(L95,FIND(" ",L95)+1,LEN(L95)))</f>
        <v>30</v>
      </c>
      <c r="N95" s="8">
        <f t="shared" si="15"/>
        <v>30</v>
      </c>
      <c r="O95">
        <v>3.8</v>
      </c>
      <c r="P95" t="s">
        <v>60</v>
      </c>
      <c r="Q95" t="s">
        <v>2073</v>
      </c>
      <c r="R95" s="1">
        <v>0.81</v>
      </c>
      <c r="S95" s="3">
        <f t="shared" si="18"/>
        <v>0.81</v>
      </c>
    </row>
    <row r="96" spans="1:19" x14ac:dyDescent="0.3">
      <c r="A96" t="s">
        <v>264</v>
      </c>
      <c r="B96" t="s">
        <v>265</v>
      </c>
      <c r="C96" t="str">
        <f t="shared" si="9"/>
        <v>Denise Smith</v>
      </c>
      <c r="D96" t="s">
        <v>6</v>
      </c>
      <c r="E96" t="str">
        <f t="shared" si="14"/>
        <v>Female</v>
      </c>
      <c r="F96">
        <v>54</v>
      </c>
      <c r="G96" t="s">
        <v>167</v>
      </c>
      <c r="H96" t="s">
        <v>168</v>
      </c>
      <c r="I96" t="s">
        <v>106</v>
      </c>
      <c r="J96">
        <v>17</v>
      </c>
      <c r="K96" s="4" t="str" cm="1">
        <f t="array" ref="K96">_xlfn.IFS(J96&lt;=5,"0-5",J96&lt;=10,"6-10",J96&lt;=15,"11-15",J96&lt;=20,"16-20",J96&gt;20,"21+")</f>
        <v>16-20</v>
      </c>
      <c r="L96">
        <v>20</v>
      </c>
      <c r="M96" s="2">
        <f>L96</f>
        <v>20</v>
      </c>
      <c r="N96" s="8">
        <f t="shared" si="15"/>
        <v>20</v>
      </c>
      <c r="O96">
        <v>1.7</v>
      </c>
      <c r="P96">
        <v>0</v>
      </c>
      <c r="Q96" t="s">
        <v>2072</v>
      </c>
      <c r="R96" s="1">
        <v>0.69</v>
      </c>
      <c r="S96" s="3">
        <f t="shared" si="18"/>
        <v>0.69</v>
      </c>
    </row>
    <row r="97" spans="1:19" x14ac:dyDescent="0.3">
      <c r="A97" t="s">
        <v>266</v>
      </c>
      <c r="B97" t="s">
        <v>267</v>
      </c>
      <c r="C97" t="str">
        <f t="shared" si="9"/>
        <v>Shelby Mcmahon</v>
      </c>
      <c r="D97" t="s">
        <v>12</v>
      </c>
      <c r="E97" t="str">
        <f t="shared" si="14"/>
        <v>Female</v>
      </c>
      <c r="F97">
        <v>36</v>
      </c>
      <c r="G97" t="s">
        <v>7</v>
      </c>
      <c r="H97" t="s">
        <v>8</v>
      </c>
      <c r="I97" t="s">
        <v>65</v>
      </c>
      <c r="J97">
        <v>0</v>
      </c>
      <c r="K97" s="4" t="str" cm="1">
        <f t="array" ref="K97">_xlfn.IFS(J97&lt;=5,"0-5",J97&lt;=10,"6-10",J97&lt;=15,"11-15",J97&lt;=20,"16-20",J97&gt;20,"21+")</f>
        <v>0-5</v>
      </c>
      <c r="L97">
        <v>20</v>
      </c>
      <c r="M97" s="2">
        <f>L97</f>
        <v>20</v>
      </c>
      <c r="N97" s="8">
        <f t="shared" si="15"/>
        <v>20</v>
      </c>
      <c r="O97">
        <v>1.3</v>
      </c>
      <c r="P97" t="s">
        <v>66</v>
      </c>
      <c r="Q97" t="s">
        <v>2073</v>
      </c>
      <c r="R97" s="1">
        <v>0.64</v>
      </c>
      <c r="S97" s="3">
        <f t="shared" si="18"/>
        <v>0.64</v>
      </c>
    </row>
    <row r="98" spans="1:19" x14ac:dyDescent="0.3">
      <c r="A98" t="s">
        <v>268</v>
      </c>
      <c r="B98" t="s">
        <v>269</v>
      </c>
      <c r="C98" t="str">
        <f t="shared" si="9"/>
        <v>Bethany Wright</v>
      </c>
      <c r="D98" t="s">
        <v>6</v>
      </c>
      <c r="E98" t="str">
        <f t="shared" si="14"/>
        <v>Female</v>
      </c>
      <c r="F98">
        <v>49</v>
      </c>
      <c r="G98" t="s">
        <v>182</v>
      </c>
      <c r="H98" t="s">
        <v>64</v>
      </c>
      <c r="I98" t="s">
        <v>70</v>
      </c>
      <c r="J98">
        <v>25</v>
      </c>
      <c r="K98" s="4" t="str" cm="1">
        <f t="array" ref="K98">_xlfn.IFS(J98&lt;=5,"0-5",J98&lt;=10,"6-10",J98&lt;=15,"11-15",J98&lt;=20,"16-20",J98&gt;20,"21+")</f>
        <v>21+</v>
      </c>
      <c r="L98">
        <v>50</v>
      </c>
      <c r="M98" s="2">
        <f>L98</f>
        <v>50</v>
      </c>
      <c r="N98" s="8">
        <f t="shared" si="15"/>
        <v>50</v>
      </c>
      <c r="O98">
        <v>5</v>
      </c>
      <c r="P98" t="s">
        <v>23</v>
      </c>
      <c r="Q98" t="s">
        <v>2072</v>
      </c>
      <c r="R98" s="1">
        <v>0.77</v>
      </c>
      <c r="S98" s="3">
        <f t="shared" si="18"/>
        <v>0.77</v>
      </c>
    </row>
    <row r="99" spans="1:19" x14ac:dyDescent="0.3">
      <c r="A99" t="s">
        <v>270</v>
      </c>
      <c r="B99" t="s">
        <v>271</v>
      </c>
      <c r="C99" t="str">
        <f t="shared" si="9"/>
        <v>David Ortiz</v>
      </c>
      <c r="D99" t="s">
        <v>89</v>
      </c>
      <c r="E99" t="str">
        <f t="shared" si="14"/>
        <v>Male</v>
      </c>
      <c r="F99">
        <v>37</v>
      </c>
      <c r="G99" t="s">
        <v>50</v>
      </c>
      <c r="H99" t="s">
        <v>14</v>
      </c>
      <c r="I99" t="s">
        <v>9</v>
      </c>
      <c r="J99">
        <v>17</v>
      </c>
      <c r="K99" s="4" t="str" cm="1">
        <f t="array" ref="K99">_xlfn.IFS(J99&lt;=5,"0-5",J99&lt;=10,"6-10",J99&lt;=15,"11-15",J99&lt;=20,"16-20",J99&gt;20,"21+")</f>
        <v>16-20</v>
      </c>
      <c r="L99">
        <v>20</v>
      </c>
      <c r="M99" s="2">
        <f>L99</f>
        <v>20</v>
      </c>
      <c r="N99" s="8">
        <f t="shared" si="15"/>
        <v>20</v>
      </c>
      <c r="O99">
        <v>3.3</v>
      </c>
      <c r="P99">
        <v>0</v>
      </c>
      <c r="Q99" t="s">
        <v>2072</v>
      </c>
      <c r="R99">
        <v>96</v>
      </c>
      <c r="S99" s="3">
        <f>R99/100</f>
        <v>0.96</v>
      </c>
    </row>
    <row r="100" spans="1:19" x14ac:dyDescent="0.3">
      <c r="A100" t="s">
        <v>272</v>
      </c>
      <c r="B100" t="s">
        <v>273</v>
      </c>
      <c r="C100" t="str">
        <f t="shared" si="9"/>
        <v>Andrew Lynch</v>
      </c>
      <c r="D100" t="s">
        <v>53</v>
      </c>
      <c r="E100" t="str">
        <f t="shared" si="14"/>
        <v>Male</v>
      </c>
      <c r="G100" t="s">
        <v>50</v>
      </c>
      <c r="H100" t="s">
        <v>14</v>
      </c>
      <c r="I100" t="s">
        <v>65</v>
      </c>
      <c r="J100">
        <v>5</v>
      </c>
      <c r="K100" s="4" t="str" cm="1">
        <f t="array" ref="K100">_xlfn.IFS(J100&lt;=5,"0-5",J100&lt;=10,"6-10",J100&lt;=15,"11-15",J100&lt;=20,"16-20",J100&gt;20,"21+")</f>
        <v>0-5</v>
      </c>
      <c r="L100" t="s">
        <v>113</v>
      </c>
      <c r="M100" s="2" t="str">
        <f>SUBSTITUTE(L100,"$","")</f>
        <v>20</v>
      </c>
      <c r="N100" s="8">
        <f t="shared" si="15"/>
        <v>20</v>
      </c>
      <c r="O100">
        <v>1.1000000000000001</v>
      </c>
      <c r="P100" t="s">
        <v>151</v>
      </c>
      <c r="Q100" t="s">
        <v>2072</v>
      </c>
      <c r="R100" s="1">
        <v>0.74</v>
      </c>
      <c r="S100" s="3">
        <f t="shared" ref="S100:S102" si="19">R100</f>
        <v>0.74</v>
      </c>
    </row>
    <row r="101" spans="1:19" x14ac:dyDescent="0.3">
      <c r="A101" t="s">
        <v>274</v>
      </c>
      <c r="B101" t="s">
        <v>275</v>
      </c>
      <c r="C101" t="str">
        <f t="shared" si="9"/>
        <v>Kristopher Meyers</v>
      </c>
      <c r="D101" t="s">
        <v>40</v>
      </c>
      <c r="E101" t="str">
        <f t="shared" si="14"/>
        <v>Male</v>
      </c>
      <c r="F101">
        <v>32</v>
      </c>
      <c r="G101" t="s">
        <v>131</v>
      </c>
      <c r="H101" t="s">
        <v>132</v>
      </c>
      <c r="I101" t="s">
        <v>65</v>
      </c>
      <c r="J101">
        <v>10</v>
      </c>
      <c r="K101" s="4" t="str" cm="1">
        <f t="array" ref="K101">_xlfn.IFS(J101&lt;=5,"0-5",J101&lt;=10,"6-10",J101&lt;=15,"11-15",J101&lt;=20,"16-20",J101&gt;20,"21+")</f>
        <v>6-10</v>
      </c>
      <c r="L101">
        <v>50</v>
      </c>
      <c r="M101" s="2">
        <f>L101</f>
        <v>50</v>
      </c>
      <c r="N101" s="8">
        <f t="shared" si="15"/>
        <v>50</v>
      </c>
      <c r="O101">
        <v>1.2</v>
      </c>
      <c r="P101" t="b">
        <v>0</v>
      </c>
      <c r="Q101" t="s">
        <v>2072</v>
      </c>
      <c r="R101" s="1">
        <v>0.89</v>
      </c>
      <c r="S101" s="3">
        <f t="shared" si="19"/>
        <v>0.89</v>
      </c>
    </row>
    <row r="102" spans="1:19" x14ac:dyDescent="0.3">
      <c r="A102" t="s">
        <v>276</v>
      </c>
      <c r="B102" t="s">
        <v>277</v>
      </c>
      <c r="C102" t="str">
        <f t="shared" si="9"/>
        <v>Thomas Roth</v>
      </c>
      <c r="D102" t="s">
        <v>40</v>
      </c>
      <c r="E102" t="str">
        <f t="shared" si="14"/>
        <v>Male</v>
      </c>
      <c r="F102">
        <v>35</v>
      </c>
      <c r="G102" t="s">
        <v>85</v>
      </c>
      <c r="H102" t="s">
        <v>86</v>
      </c>
      <c r="I102" t="s">
        <v>15</v>
      </c>
      <c r="J102">
        <v>0</v>
      </c>
      <c r="K102" s="4" t="str" cm="1">
        <f t="array" ref="K102">_xlfn.IFS(J102&lt;=5,"0-5",J102&lt;=10,"6-10",J102&lt;=15,"11-15",J102&lt;=20,"16-20",J102&gt;20,"21+")</f>
        <v>0-5</v>
      </c>
      <c r="N102" s="8" t="str">
        <f t="shared" si="15"/>
        <v/>
      </c>
      <c r="O102">
        <v>2</v>
      </c>
      <c r="P102">
        <v>1</v>
      </c>
      <c r="Q102" t="s">
        <v>2073</v>
      </c>
      <c r="R102" s="1">
        <v>0.64</v>
      </c>
      <c r="S102" s="3">
        <f t="shared" si="19"/>
        <v>0.64</v>
      </c>
    </row>
    <row r="103" spans="1:19" x14ac:dyDescent="0.3">
      <c r="A103" t="s">
        <v>278</v>
      </c>
      <c r="B103" t="s">
        <v>279</v>
      </c>
      <c r="C103" t="str">
        <f t="shared" si="9"/>
        <v>Vicki Brown</v>
      </c>
      <c r="D103" t="s">
        <v>6</v>
      </c>
      <c r="E103" t="str">
        <f t="shared" si="14"/>
        <v>Female</v>
      </c>
      <c r="F103">
        <v>51</v>
      </c>
      <c r="G103" t="s">
        <v>116</v>
      </c>
      <c r="H103" t="s">
        <v>117</v>
      </c>
      <c r="I103" t="s">
        <v>22</v>
      </c>
      <c r="J103">
        <v>2</v>
      </c>
      <c r="K103" s="4" t="str" cm="1">
        <f t="array" ref="K103">_xlfn.IFS(J103&lt;=5,"0-5",J103&lt;=10,"6-10",J103&lt;=15,"11-15",J103&lt;=20,"16-20",J103&gt;20,"21+")</f>
        <v>0-5</v>
      </c>
      <c r="L103" t="s">
        <v>37</v>
      </c>
      <c r="M103" s="2" t="str">
        <f>SUBSTITUTE(L103,"$","")</f>
        <v>30</v>
      </c>
      <c r="N103" s="8">
        <f t="shared" si="15"/>
        <v>30</v>
      </c>
      <c r="O103">
        <v>4.5</v>
      </c>
      <c r="P103">
        <v>0</v>
      </c>
      <c r="Q103" t="s">
        <v>2072</v>
      </c>
      <c r="R103">
        <v>64</v>
      </c>
      <c r="S103" s="3">
        <f>R103/100</f>
        <v>0.64</v>
      </c>
    </row>
    <row r="104" spans="1:19" x14ac:dyDescent="0.3">
      <c r="A104" t="s">
        <v>280</v>
      </c>
      <c r="B104" t="s">
        <v>281</v>
      </c>
      <c r="C104" t="str">
        <f t="shared" si="9"/>
        <v>Stacy Sutton</v>
      </c>
      <c r="D104" t="s">
        <v>6</v>
      </c>
      <c r="E104" t="str">
        <f t="shared" si="14"/>
        <v>Female</v>
      </c>
      <c r="F104">
        <v>50</v>
      </c>
      <c r="G104" t="s">
        <v>116</v>
      </c>
      <c r="H104" t="s">
        <v>117</v>
      </c>
      <c r="I104" t="s">
        <v>81</v>
      </c>
      <c r="J104">
        <v>30</v>
      </c>
      <c r="K104" s="4" t="str" cm="1">
        <f t="array" ref="K104">_xlfn.IFS(J104&lt;=5,"0-5",J104&lt;=10,"6-10",J104&lt;=15,"11-15",J104&lt;=20,"16-20",J104&gt;20,"21+")</f>
        <v>21+</v>
      </c>
      <c r="L104">
        <v>100</v>
      </c>
      <c r="M104" s="2">
        <f>L104</f>
        <v>100</v>
      </c>
      <c r="N104" s="8">
        <f t="shared" si="15"/>
        <v>100</v>
      </c>
      <c r="O104">
        <v>3</v>
      </c>
      <c r="P104">
        <v>1</v>
      </c>
      <c r="Q104" t="s">
        <v>2073</v>
      </c>
      <c r="R104" s="1">
        <v>0.73</v>
      </c>
      <c r="S104" s="3">
        <f t="shared" ref="S104:S107" si="20">R104</f>
        <v>0.73</v>
      </c>
    </row>
    <row r="105" spans="1:19" x14ac:dyDescent="0.3">
      <c r="A105" t="s">
        <v>282</v>
      </c>
      <c r="B105" t="s">
        <v>283</v>
      </c>
      <c r="C105" t="str">
        <f t="shared" si="9"/>
        <v>Kimberly Holland</v>
      </c>
      <c r="D105" t="s">
        <v>6</v>
      </c>
      <c r="E105" t="str">
        <f t="shared" si="14"/>
        <v>Female</v>
      </c>
      <c r="F105">
        <v>21</v>
      </c>
      <c r="G105" t="s">
        <v>54</v>
      </c>
      <c r="H105" t="s">
        <v>55</v>
      </c>
      <c r="I105" t="s">
        <v>9</v>
      </c>
      <c r="J105">
        <v>2</v>
      </c>
      <c r="K105" s="4" t="str" cm="1">
        <f t="array" ref="K105">_xlfn.IFS(J105&lt;=5,"0-5",J105&lt;=10,"6-10",J105&lt;=15,"11-15",J105&lt;=20,"16-20",J105&gt;20,"21+")</f>
        <v>0-5</v>
      </c>
      <c r="L105" t="s">
        <v>56</v>
      </c>
      <c r="M105" s="2" t="str">
        <f>SUBSTITUTE(L105,"$","")</f>
        <v>50</v>
      </c>
      <c r="N105" s="8">
        <f t="shared" si="15"/>
        <v>50</v>
      </c>
      <c r="O105">
        <v>4.9000000000000004</v>
      </c>
      <c r="P105" t="s">
        <v>60</v>
      </c>
      <c r="Q105" t="s">
        <v>2073</v>
      </c>
      <c r="R105" s="1">
        <v>0.68</v>
      </c>
      <c r="S105" s="3">
        <f t="shared" si="20"/>
        <v>0.68</v>
      </c>
    </row>
    <row r="106" spans="1:19" x14ac:dyDescent="0.3">
      <c r="A106" t="s">
        <v>284</v>
      </c>
      <c r="B106" t="s">
        <v>285</v>
      </c>
      <c r="C106" t="str">
        <f t="shared" si="9"/>
        <v>Travis Richardson</v>
      </c>
      <c r="D106" t="s">
        <v>53</v>
      </c>
      <c r="E106" t="str">
        <f t="shared" si="14"/>
        <v>Male</v>
      </c>
      <c r="F106">
        <v>25</v>
      </c>
      <c r="G106" t="s">
        <v>50</v>
      </c>
      <c r="H106" t="s">
        <v>14</v>
      </c>
      <c r="I106" t="s">
        <v>22</v>
      </c>
      <c r="J106">
        <v>3</v>
      </c>
      <c r="K106" s="4" t="str" cm="1">
        <f t="array" ref="K106">_xlfn.IFS(J106&lt;=5,"0-5",J106&lt;=10,"6-10",J106&lt;=15,"11-15",J106&lt;=20,"16-20",J106&gt;20,"21+")</f>
        <v>0-5</v>
      </c>
      <c r="L106" t="s">
        <v>37</v>
      </c>
      <c r="M106" s="2" t="str">
        <f>SUBSTITUTE(L106,"$","")</f>
        <v>30</v>
      </c>
      <c r="N106" s="8">
        <f t="shared" si="15"/>
        <v>30</v>
      </c>
      <c r="P106" t="s">
        <v>151</v>
      </c>
      <c r="Q106" t="s">
        <v>2072</v>
      </c>
      <c r="R106" s="1">
        <v>0.88</v>
      </c>
      <c r="S106" s="3">
        <f t="shared" si="20"/>
        <v>0.88</v>
      </c>
    </row>
    <row r="107" spans="1:19" x14ac:dyDescent="0.3">
      <c r="A107" t="s">
        <v>286</v>
      </c>
      <c r="B107" t="s">
        <v>287</v>
      </c>
      <c r="C107" t="str">
        <f t="shared" si="9"/>
        <v>Jasmin Ho</v>
      </c>
      <c r="D107" t="s">
        <v>12</v>
      </c>
      <c r="E107" t="str">
        <f t="shared" si="14"/>
        <v>Female</v>
      </c>
      <c r="F107">
        <v>57</v>
      </c>
      <c r="G107" t="s">
        <v>127</v>
      </c>
      <c r="H107" t="s">
        <v>128</v>
      </c>
      <c r="I107" t="s">
        <v>81</v>
      </c>
      <c r="J107">
        <v>21</v>
      </c>
      <c r="K107" s="4" t="str" cm="1">
        <f t="array" ref="K107">_xlfn.IFS(J107&lt;=5,"0-5",J107&lt;=10,"6-10",J107&lt;=15,"11-15",J107&lt;=20,"16-20",J107&gt;20,"21+")</f>
        <v>21+</v>
      </c>
      <c r="L107" t="s">
        <v>28</v>
      </c>
      <c r="M107" s="2" t="str">
        <f>SUBSTITUTE(L107,"$","")</f>
        <v>40</v>
      </c>
      <c r="N107" s="8">
        <f t="shared" si="15"/>
        <v>40</v>
      </c>
      <c r="O107">
        <v>2.5</v>
      </c>
      <c r="P107">
        <v>0</v>
      </c>
      <c r="Q107" t="s">
        <v>2072</v>
      </c>
      <c r="R107" s="1">
        <v>0.77</v>
      </c>
      <c r="S107" s="3">
        <f t="shared" si="20"/>
        <v>0.77</v>
      </c>
    </row>
    <row r="108" spans="1:19" x14ac:dyDescent="0.3">
      <c r="A108" t="s">
        <v>288</v>
      </c>
      <c r="B108" t="s">
        <v>289</v>
      </c>
      <c r="C108" t="str">
        <f t="shared" si="9"/>
        <v>Mark Paul</v>
      </c>
      <c r="D108" t="s">
        <v>40</v>
      </c>
      <c r="E108" t="str">
        <f t="shared" si="14"/>
        <v>Male</v>
      </c>
      <c r="F108">
        <v>58</v>
      </c>
      <c r="G108" t="s">
        <v>116</v>
      </c>
      <c r="H108" t="s">
        <v>117</v>
      </c>
      <c r="I108" t="s">
        <v>9</v>
      </c>
      <c r="J108">
        <v>3</v>
      </c>
      <c r="K108" s="4" t="str" cm="1">
        <f t="array" ref="K108">_xlfn.IFS(J108&lt;=5,"0-5",J108&lt;=10,"6-10",J108&lt;=15,"11-15",J108&lt;=20,"16-20",J108&gt;20,"21+")</f>
        <v>0-5</v>
      </c>
      <c r="N108" s="8" t="str">
        <f t="shared" si="15"/>
        <v/>
      </c>
      <c r="O108">
        <v>0</v>
      </c>
      <c r="P108">
        <v>1</v>
      </c>
      <c r="Q108" t="s">
        <v>2073</v>
      </c>
    </row>
    <row r="109" spans="1:19" x14ac:dyDescent="0.3">
      <c r="A109" t="s">
        <v>290</v>
      </c>
      <c r="B109" t="s">
        <v>291</v>
      </c>
      <c r="C109" t="str">
        <f t="shared" si="9"/>
        <v>Jennifer Lewis</v>
      </c>
      <c r="D109" t="s">
        <v>26</v>
      </c>
      <c r="E109" t="str">
        <f t="shared" si="14"/>
        <v>Female</v>
      </c>
      <c r="F109">
        <v>45</v>
      </c>
      <c r="G109" t="s">
        <v>41</v>
      </c>
      <c r="H109" t="s">
        <v>42</v>
      </c>
      <c r="I109" t="s">
        <v>15</v>
      </c>
      <c r="J109">
        <v>19</v>
      </c>
      <c r="K109" s="4" t="str" cm="1">
        <f t="array" ref="K109">_xlfn.IFS(J109&lt;=5,"0-5",J109&lt;=10,"6-10",J109&lt;=15,"11-15",J109&lt;=20,"16-20",J109&gt;20,"21+")</f>
        <v>16-20</v>
      </c>
      <c r="L109">
        <v>40</v>
      </c>
      <c r="M109" s="2">
        <f>L109</f>
        <v>40</v>
      </c>
      <c r="N109" s="8">
        <f t="shared" si="15"/>
        <v>40</v>
      </c>
      <c r="P109">
        <v>1</v>
      </c>
      <c r="Q109" t="s">
        <v>2073</v>
      </c>
      <c r="R109" s="1">
        <v>0.72</v>
      </c>
      <c r="S109" s="3">
        <f t="shared" ref="S109:S110" si="21">R109</f>
        <v>0.72</v>
      </c>
    </row>
    <row r="110" spans="1:19" x14ac:dyDescent="0.3">
      <c r="A110" t="s">
        <v>292</v>
      </c>
      <c r="B110" t="s">
        <v>293</v>
      </c>
      <c r="C110" t="str">
        <f t="shared" si="9"/>
        <v>Elizabeth Lester</v>
      </c>
      <c r="D110" t="s">
        <v>26</v>
      </c>
      <c r="E110" t="str">
        <f t="shared" si="14"/>
        <v>Female</v>
      </c>
      <c r="F110">
        <v>23</v>
      </c>
      <c r="G110" t="s">
        <v>50</v>
      </c>
      <c r="H110" t="s">
        <v>14</v>
      </c>
      <c r="I110" t="s">
        <v>27</v>
      </c>
      <c r="J110">
        <v>0</v>
      </c>
      <c r="K110" s="4" t="str" cm="1">
        <f t="array" ref="K110">_xlfn.IFS(J110&lt;=5,"0-5",J110&lt;=10,"6-10",J110&lt;=15,"11-15",J110&lt;=20,"16-20",J110&gt;20,"21+")</f>
        <v>0-5</v>
      </c>
      <c r="L110">
        <v>20</v>
      </c>
      <c r="M110" s="2">
        <f>L110</f>
        <v>20</v>
      </c>
      <c r="N110" s="8">
        <f t="shared" si="15"/>
        <v>20</v>
      </c>
      <c r="O110">
        <v>4.7</v>
      </c>
      <c r="P110" t="s">
        <v>66</v>
      </c>
      <c r="Q110" t="s">
        <v>2073</v>
      </c>
      <c r="R110" s="1">
        <v>0.6</v>
      </c>
      <c r="S110" s="3">
        <f t="shared" si="21"/>
        <v>0.6</v>
      </c>
    </row>
    <row r="111" spans="1:19" x14ac:dyDescent="0.3">
      <c r="A111" t="s">
        <v>294</v>
      </c>
      <c r="B111" t="s">
        <v>295</v>
      </c>
      <c r="C111" t="str">
        <f t="shared" si="9"/>
        <v>Kimberly Griffin</v>
      </c>
      <c r="D111" t="s">
        <v>12</v>
      </c>
      <c r="E111" t="str">
        <f t="shared" si="14"/>
        <v>Female</v>
      </c>
      <c r="F111">
        <v>46</v>
      </c>
      <c r="G111" t="s">
        <v>50</v>
      </c>
      <c r="H111" t="s">
        <v>14</v>
      </c>
      <c r="I111" t="s">
        <v>36</v>
      </c>
      <c r="J111">
        <v>9</v>
      </c>
      <c r="K111" s="4" t="str" cm="1">
        <f t="array" ref="K111">_xlfn.IFS(J111&lt;=5,"0-5",J111&lt;=10,"6-10",J111&lt;=15,"11-15",J111&lt;=20,"16-20",J111&gt;20,"21+")</f>
        <v>6-10</v>
      </c>
      <c r="L111" t="s">
        <v>37</v>
      </c>
      <c r="M111" s="2" t="str">
        <f>SUBSTITUTE(L111,"$","")</f>
        <v>30</v>
      </c>
      <c r="N111" s="8">
        <f t="shared" si="15"/>
        <v>30</v>
      </c>
      <c r="O111">
        <v>3.5</v>
      </c>
      <c r="R111">
        <v>72</v>
      </c>
      <c r="S111" s="3">
        <f>R111/100</f>
        <v>0.72</v>
      </c>
    </row>
    <row r="112" spans="1:19" x14ac:dyDescent="0.3">
      <c r="A112" t="s">
        <v>296</v>
      </c>
      <c r="B112" t="s">
        <v>297</v>
      </c>
      <c r="C112" t="str">
        <f t="shared" si="9"/>
        <v>Tyler Warner</v>
      </c>
      <c r="D112" t="s">
        <v>53</v>
      </c>
      <c r="E112" t="str">
        <f t="shared" si="14"/>
        <v>Male</v>
      </c>
      <c r="F112">
        <v>27</v>
      </c>
      <c r="G112" t="s">
        <v>63</v>
      </c>
      <c r="H112" t="s">
        <v>64</v>
      </c>
      <c r="I112" t="s">
        <v>65</v>
      </c>
      <c r="J112">
        <v>5</v>
      </c>
      <c r="K112" s="4" t="str" cm="1">
        <f t="array" ref="K112">_xlfn.IFS(J112&lt;=5,"0-5",J112&lt;=10,"6-10",J112&lt;=15,"11-15",J112&lt;=20,"16-20",J112&gt;20,"21+")</f>
        <v>0-5</v>
      </c>
      <c r="L112">
        <v>30</v>
      </c>
      <c r="M112" s="2">
        <f>L112</f>
        <v>30</v>
      </c>
      <c r="N112" s="8">
        <f t="shared" si="15"/>
        <v>30</v>
      </c>
      <c r="P112" t="s">
        <v>23</v>
      </c>
      <c r="Q112" t="s">
        <v>2072</v>
      </c>
      <c r="R112" s="1">
        <v>0.92</v>
      </c>
      <c r="S112" s="3">
        <f>R112</f>
        <v>0.92</v>
      </c>
    </row>
    <row r="113" spans="1:19" x14ac:dyDescent="0.3">
      <c r="A113" t="s">
        <v>298</v>
      </c>
      <c r="B113" t="s">
        <v>299</v>
      </c>
      <c r="C113" t="str">
        <f t="shared" ref="C113:C145" si="22">B113</f>
        <v>Jane Cox</v>
      </c>
      <c r="D113" t="s">
        <v>12</v>
      </c>
      <c r="E113" t="str">
        <f t="shared" si="14"/>
        <v>Female</v>
      </c>
      <c r="F113">
        <v>32</v>
      </c>
      <c r="G113" t="s">
        <v>50</v>
      </c>
      <c r="H113" t="s">
        <v>14</v>
      </c>
      <c r="I113" t="s">
        <v>106</v>
      </c>
      <c r="J113">
        <v>6</v>
      </c>
      <c r="K113" s="4" t="str" cm="1">
        <f t="array" ref="K113">_xlfn.IFS(J113&lt;=5,"0-5",J113&lt;=10,"6-10",J113&lt;=15,"11-15",J113&lt;=20,"16-20",J113&gt;20,"21+")</f>
        <v>6-10</v>
      </c>
      <c r="L113" t="s">
        <v>90</v>
      </c>
      <c r="M113" s="2" t="str">
        <f>TRIM(MID(L113,FIND(" ",L113)+1,LEN(L113)))</f>
        <v>50</v>
      </c>
      <c r="N113" s="8">
        <f t="shared" si="15"/>
        <v>50</v>
      </c>
      <c r="O113">
        <v>3.4</v>
      </c>
      <c r="P113">
        <v>1</v>
      </c>
      <c r="Q113" t="s">
        <v>2073</v>
      </c>
    </row>
    <row r="114" spans="1:19" x14ac:dyDescent="0.3">
      <c r="A114" t="s">
        <v>300</v>
      </c>
      <c r="B114" t="s">
        <v>301</v>
      </c>
      <c r="C114" t="str">
        <f t="shared" si="22"/>
        <v>Leah Williams</v>
      </c>
      <c r="D114" t="s">
        <v>6</v>
      </c>
      <c r="E114" t="str">
        <f t="shared" si="14"/>
        <v>Female</v>
      </c>
      <c r="F114">
        <v>48</v>
      </c>
      <c r="G114" t="s">
        <v>63</v>
      </c>
      <c r="H114" t="s">
        <v>64</v>
      </c>
      <c r="I114" t="s">
        <v>106</v>
      </c>
      <c r="J114">
        <v>6</v>
      </c>
      <c r="K114" s="4" t="str" cm="1">
        <f t="array" ref="K114">_xlfn.IFS(J114&lt;=5,"0-5",J114&lt;=10,"6-10",J114&lt;=15,"11-15",J114&lt;=20,"16-20",J114&gt;20,"21+")</f>
        <v>6-10</v>
      </c>
      <c r="L114" t="s">
        <v>44</v>
      </c>
      <c r="M114" s="2" t="str">
        <f>TRIM(MID(L114,FIND(" ",L114)+1,LEN(L114)))</f>
        <v>75</v>
      </c>
      <c r="N114" s="8">
        <f t="shared" si="15"/>
        <v>75</v>
      </c>
      <c r="O114">
        <v>2.5</v>
      </c>
      <c r="R114" s="1">
        <v>0.92</v>
      </c>
      <c r="S114" s="3">
        <f>R114</f>
        <v>0.92</v>
      </c>
    </row>
    <row r="115" spans="1:19" x14ac:dyDescent="0.3">
      <c r="A115" t="s">
        <v>302</v>
      </c>
      <c r="B115" t="s">
        <v>303</v>
      </c>
      <c r="C115" t="str">
        <f t="shared" si="22"/>
        <v>Kevin Wong</v>
      </c>
      <c r="D115" t="s">
        <v>19</v>
      </c>
      <c r="E115" t="str">
        <f t="shared" si="14"/>
        <v>Male</v>
      </c>
      <c r="F115">
        <v>30</v>
      </c>
      <c r="G115" t="s">
        <v>54</v>
      </c>
      <c r="H115" t="s">
        <v>55</v>
      </c>
      <c r="I115" t="s">
        <v>15</v>
      </c>
      <c r="J115">
        <v>3</v>
      </c>
      <c r="K115" s="4" t="str" cm="1">
        <f t="array" ref="K115">_xlfn.IFS(J115&lt;=5,"0-5",J115&lt;=10,"6-10",J115&lt;=15,"11-15",J115&lt;=20,"16-20",J115&gt;20,"21+")</f>
        <v>0-5</v>
      </c>
      <c r="L115" t="s">
        <v>37</v>
      </c>
      <c r="M115" s="2" t="str">
        <f>SUBSTITUTE(L115,"$","")</f>
        <v>30</v>
      </c>
      <c r="N115" s="8">
        <f t="shared" si="15"/>
        <v>30</v>
      </c>
      <c r="O115">
        <v>1.1000000000000001</v>
      </c>
      <c r="P115" t="b">
        <v>1</v>
      </c>
      <c r="Q115" t="s">
        <v>2073</v>
      </c>
    </row>
    <row r="116" spans="1:19" x14ac:dyDescent="0.3">
      <c r="A116" t="s">
        <v>304</v>
      </c>
      <c r="B116" t="s">
        <v>305</v>
      </c>
      <c r="C116" t="str">
        <f t="shared" si="22"/>
        <v>Robert Andrews</v>
      </c>
      <c r="D116" t="s">
        <v>89</v>
      </c>
      <c r="E116" t="str">
        <f t="shared" si="14"/>
        <v>Male</v>
      </c>
      <c r="F116">
        <v>59</v>
      </c>
      <c r="G116" t="s">
        <v>54</v>
      </c>
      <c r="H116" t="s">
        <v>55</v>
      </c>
      <c r="I116" t="s">
        <v>36</v>
      </c>
      <c r="J116">
        <v>13</v>
      </c>
      <c r="K116" s="4" t="str" cm="1">
        <f t="array" ref="K116">_xlfn.IFS(J116&lt;=5,"0-5",J116&lt;=10,"6-10",J116&lt;=15,"11-15",J116&lt;=20,"16-20",J116&gt;20,"21+")</f>
        <v>11-15</v>
      </c>
      <c r="L116" t="s">
        <v>306</v>
      </c>
      <c r="M116" s="2" t="str">
        <f>TRIM(MID(L116,FIND(" ",L116)+1,LEN(L116)))</f>
        <v>20</v>
      </c>
      <c r="N116" s="8">
        <f t="shared" si="15"/>
        <v>20</v>
      </c>
      <c r="O116">
        <v>4.8</v>
      </c>
    </row>
    <row r="117" spans="1:19" x14ac:dyDescent="0.3">
      <c r="A117" t="s">
        <v>307</v>
      </c>
      <c r="B117" t="s">
        <v>308</v>
      </c>
      <c r="C117" t="str">
        <f t="shared" si="22"/>
        <v>Jessica Torres</v>
      </c>
      <c r="D117" t="s">
        <v>31</v>
      </c>
      <c r="E117" t="str">
        <f t="shared" si="14"/>
        <v>Female</v>
      </c>
      <c r="F117">
        <v>32</v>
      </c>
      <c r="G117" t="s">
        <v>171</v>
      </c>
      <c r="H117" t="s">
        <v>64</v>
      </c>
      <c r="I117" t="s">
        <v>36</v>
      </c>
      <c r="J117">
        <v>5</v>
      </c>
      <c r="K117" s="4" t="str" cm="1">
        <f t="array" ref="K117">_xlfn.IFS(J117&lt;=5,"0-5",J117&lt;=10,"6-10",J117&lt;=15,"11-15",J117&lt;=20,"16-20",J117&gt;20,"21+")</f>
        <v>0-5</v>
      </c>
      <c r="L117" t="s">
        <v>37</v>
      </c>
      <c r="M117" s="2" t="str">
        <f>SUBSTITUTE(L117,"$","")</f>
        <v>30</v>
      </c>
      <c r="N117" s="8">
        <f t="shared" si="15"/>
        <v>30</v>
      </c>
      <c r="P117">
        <v>0</v>
      </c>
      <c r="Q117" t="s">
        <v>2072</v>
      </c>
      <c r="R117" s="1">
        <v>0.86</v>
      </c>
      <c r="S117" s="3">
        <f t="shared" ref="S117:S119" si="23">R117</f>
        <v>0.86</v>
      </c>
    </row>
    <row r="118" spans="1:19" x14ac:dyDescent="0.3">
      <c r="A118" t="s">
        <v>309</v>
      </c>
      <c r="B118" t="s">
        <v>310</v>
      </c>
      <c r="C118" t="str">
        <f t="shared" si="22"/>
        <v>Teresa Kim</v>
      </c>
      <c r="D118" t="s">
        <v>69</v>
      </c>
      <c r="E118" t="str">
        <f t="shared" si="14"/>
        <v>Female</v>
      </c>
      <c r="F118">
        <v>57</v>
      </c>
      <c r="G118" t="s">
        <v>131</v>
      </c>
      <c r="H118" t="s">
        <v>132</v>
      </c>
      <c r="I118" t="s">
        <v>65</v>
      </c>
      <c r="J118">
        <v>4</v>
      </c>
      <c r="K118" s="4" t="str" cm="1">
        <f t="array" ref="K118">_xlfn.IFS(J118&lt;=5,"0-5",J118&lt;=10,"6-10",J118&lt;=15,"11-15",J118&lt;=20,"16-20",J118&gt;20,"21+")</f>
        <v>0-5</v>
      </c>
      <c r="L118" t="s">
        <v>47</v>
      </c>
      <c r="M118" s="2" t="str">
        <f>TRIM(MID(L118,FIND(" ",L118)+1,LEN(L118)))</f>
        <v>40</v>
      </c>
      <c r="N118" s="8">
        <f t="shared" si="15"/>
        <v>40</v>
      </c>
      <c r="O118">
        <v>3.4</v>
      </c>
      <c r="P118">
        <v>1</v>
      </c>
      <c r="Q118" t="s">
        <v>2073</v>
      </c>
      <c r="R118" s="1">
        <v>0.68</v>
      </c>
      <c r="S118" s="3">
        <f t="shared" si="23"/>
        <v>0.68</v>
      </c>
    </row>
    <row r="119" spans="1:19" x14ac:dyDescent="0.3">
      <c r="A119" t="s">
        <v>311</v>
      </c>
      <c r="B119" t="s">
        <v>312</v>
      </c>
      <c r="C119" t="str">
        <f t="shared" si="22"/>
        <v>Jon Morgan</v>
      </c>
      <c r="D119" t="s">
        <v>53</v>
      </c>
      <c r="E119" t="str">
        <f t="shared" si="14"/>
        <v>Male</v>
      </c>
      <c r="F119">
        <v>27</v>
      </c>
      <c r="G119" t="s">
        <v>13</v>
      </c>
      <c r="H119" t="s">
        <v>14</v>
      </c>
      <c r="I119" t="s">
        <v>106</v>
      </c>
      <c r="J119">
        <v>7</v>
      </c>
      <c r="K119" s="4" t="str" cm="1">
        <f t="array" ref="K119">_xlfn.IFS(J119&lt;=5,"0-5",J119&lt;=10,"6-10",J119&lt;=15,"11-15",J119&lt;=20,"16-20",J119&gt;20,"21+")</f>
        <v>6-10</v>
      </c>
      <c r="L119" t="s">
        <v>306</v>
      </c>
      <c r="M119" s="2" t="str">
        <f>TRIM(MID(L119,FIND(" ",L119)+1,LEN(L119)))</f>
        <v>20</v>
      </c>
      <c r="N119" s="8">
        <f t="shared" si="15"/>
        <v>20</v>
      </c>
      <c r="O119">
        <v>3.2</v>
      </c>
      <c r="P119">
        <v>1</v>
      </c>
      <c r="Q119" t="s">
        <v>2073</v>
      </c>
      <c r="R119" s="1">
        <v>0.62</v>
      </c>
      <c r="S119" s="3">
        <f t="shared" si="23"/>
        <v>0.62</v>
      </c>
    </row>
    <row r="120" spans="1:19" x14ac:dyDescent="0.3">
      <c r="A120" t="s">
        <v>313</v>
      </c>
      <c r="B120" t="s">
        <v>314</v>
      </c>
      <c r="C120" t="str">
        <f t="shared" si="22"/>
        <v>Gloria Chaney</v>
      </c>
      <c r="D120" t="s">
        <v>26</v>
      </c>
      <c r="E120" t="str">
        <f t="shared" si="14"/>
        <v>Female</v>
      </c>
      <c r="F120">
        <v>33</v>
      </c>
      <c r="G120" t="s">
        <v>41</v>
      </c>
      <c r="H120" t="s">
        <v>42</v>
      </c>
      <c r="I120" t="s">
        <v>106</v>
      </c>
      <c r="J120">
        <v>13</v>
      </c>
      <c r="K120" s="4" t="str" cm="1">
        <f t="array" ref="K120">_xlfn.IFS(J120&lt;=5,"0-5",J120&lt;=10,"6-10",J120&lt;=15,"11-15",J120&lt;=20,"16-20",J120&gt;20,"21+")</f>
        <v>11-15</v>
      </c>
      <c r="L120">
        <v>20</v>
      </c>
      <c r="M120" s="2">
        <f>L120</f>
        <v>20</v>
      </c>
      <c r="N120" s="8">
        <f t="shared" si="15"/>
        <v>20</v>
      </c>
      <c r="O120">
        <v>3.2</v>
      </c>
      <c r="P120" t="b">
        <v>0</v>
      </c>
      <c r="Q120" t="s">
        <v>2072</v>
      </c>
    </row>
    <row r="121" spans="1:19" x14ac:dyDescent="0.3">
      <c r="A121" t="s">
        <v>315</v>
      </c>
      <c r="B121" t="s">
        <v>316</v>
      </c>
      <c r="C121" t="str">
        <f t="shared" si="22"/>
        <v>Jesse Campbell</v>
      </c>
      <c r="D121" t="s">
        <v>19</v>
      </c>
      <c r="E121" t="str">
        <f t="shared" si="14"/>
        <v>Male</v>
      </c>
      <c r="F121">
        <v>29</v>
      </c>
      <c r="G121" t="s">
        <v>104</v>
      </c>
      <c r="H121" t="s">
        <v>105</v>
      </c>
      <c r="I121" t="s">
        <v>43</v>
      </c>
      <c r="J121">
        <v>4</v>
      </c>
      <c r="K121" s="4" t="str" cm="1">
        <f t="array" ref="K121">_xlfn.IFS(J121&lt;=5,"0-5",J121&lt;=10,"6-10",J121&lt;=15,"11-15",J121&lt;=20,"16-20",J121&gt;20,"21+")</f>
        <v>0-5</v>
      </c>
      <c r="L121">
        <v>30</v>
      </c>
      <c r="M121" s="2">
        <f>L121</f>
        <v>30</v>
      </c>
      <c r="N121" s="8">
        <f t="shared" si="15"/>
        <v>30</v>
      </c>
      <c r="O121">
        <v>0</v>
      </c>
      <c r="P121" t="s">
        <v>66</v>
      </c>
      <c r="Q121" t="s">
        <v>2073</v>
      </c>
      <c r="R121" s="1">
        <v>0.82</v>
      </c>
      <c r="S121" s="3">
        <f>R121</f>
        <v>0.82</v>
      </c>
    </row>
    <row r="122" spans="1:19" x14ac:dyDescent="0.3">
      <c r="A122" t="s">
        <v>317</v>
      </c>
      <c r="B122" t="s">
        <v>318</v>
      </c>
      <c r="C122" t="str">
        <f t="shared" si="22"/>
        <v>Allison Tucker MD</v>
      </c>
      <c r="D122" t="s">
        <v>31</v>
      </c>
      <c r="E122" t="str">
        <f t="shared" si="14"/>
        <v>Female</v>
      </c>
      <c r="F122">
        <v>36</v>
      </c>
      <c r="G122" t="s">
        <v>41</v>
      </c>
      <c r="H122" t="s">
        <v>42</v>
      </c>
      <c r="I122" t="s">
        <v>65</v>
      </c>
      <c r="J122">
        <v>13</v>
      </c>
      <c r="K122" s="4" t="str" cm="1">
        <f t="array" ref="K122">_xlfn.IFS(J122&lt;=5,"0-5",J122&lt;=10,"6-10",J122&lt;=15,"11-15",J122&lt;=20,"16-20",J122&gt;20,"21+")</f>
        <v>11-15</v>
      </c>
      <c r="L122">
        <v>75</v>
      </c>
      <c r="M122" s="2">
        <f>L122</f>
        <v>75</v>
      </c>
      <c r="N122" s="8">
        <f t="shared" si="15"/>
        <v>75</v>
      </c>
      <c r="P122">
        <v>1</v>
      </c>
      <c r="Q122" t="s">
        <v>2073</v>
      </c>
    </row>
    <row r="123" spans="1:19" x14ac:dyDescent="0.3">
      <c r="A123" t="s">
        <v>319</v>
      </c>
      <c r="B123" t="s">
        <v>320</v>
      </c>
      <c r="C123" t="str">
        <f t="shared" si="22"/>
        <v>Candice Petersen</v>
      </c>
      <c r="D123" t="s">
        <v>69</v>
      </c>
      <c r="E123" t="str">
        <f t="shared" si="14"/>
        <v>Female</v>
      </c>
      <c r="F123">
        <v>47</v>
      </c>
      <c r="G123" t="s">
        <v>7</v>
      </c>
      <c r="H123" t="s">
        <v>8</v>
      </c>
      <c r="I123" t="s">
        <v>81</v>
      </c>
      <c r="J123">
        <v>5</v>
      </c>
      <c r="K123" s="4" t="str" cm="1">
        <f t="array" ref="K123">_xlfn.IFS(J123&lt;=5,"0-5",J123&lt;=10,"6-10",J123&lt;=15,"11-15",J123&lt;=20,"16-20",J123&gt;20,"21+")</f>
        <v>0-5</v>
      </c>
      <c r="L123" t="s">
        <v>28</v>
      </c>
      <c r="M123" s="2" t="str">
        <f>SUBSTITUTE(L123,"$","")</f>
        <v>40</v>
      </c>
      <c r="N123" s="8">
        <f t="shared" si="15"/>
        <v>40</v>
      </c>
      <c r="O123">
        <v>3.7</v>
      </c>
      <c r="P123" t="b">
        <v>0</v>
      </c>
      <c r="Q123" t="s">
        <v>2072</v>
      </c>
      <c r="R123">
        <v>93</v>
      </c>
      <c r="S123" s="3">
        <f>R123/100</f>
        <v>0.93</v>
      </c>
    </row>
    <row r="124" spans="1:19" x14ac:dyDescent="0.3">
      <c r="A124" t="s">
        <v>321</v>
      </c>
      <c r="B124" t="s">
        <v>322</v>
      </c>
      <c r="C124" t="str">
        <f t="shared" si="22"/>
        <v>Christopher Nichols</v>
      </c>
      <c r="D124" t="s">
        <v>53</v>
      </c>
      <c r="E124" t="str">
        <f t="shared" si="14"/>
        <v>Male</v>
      </c>
      <c r="F124">
        <v>48</v>
      </c>
      <c r="G124" t="s">
        <v>120</v>
      </c>
      <c r="H124" t="s">
        <v>14</v>
      </c>
      <c r="I124" t="s">
        <v>106</v>
      </c>
      <c r="J124">
        <v>15</v>
      </c>
      <c r="K124" s="4" t="str" cm="1">
        <f t="array" ref="K124">_xlfn.IFS(J124&lt;=5,"0-5",J124&lt;=10,"6-10",J124&lt;=15,"11-15",J124&lt;=20,"16-20",J124&gt;20,"21+")</f>
        <v>11-15</v>
      </c>
      <c r="L124" t="s">
        <v>90</v>
      </c>
      <c r="M124" s="2" t="str">
        <f>TRIM(MID(L124,FIND(" ",L124)+1,LEN(L124)))</f>
        <v>50</v>
      </c>
      <c r="N124" s="8">
        <f t="shared" si="15"/>
        <v>50</v>
      </c>
      <c r="O124">
        <v>1</v>
      </c>
      <c r="P124" t="s">
        <v>66</v>
      </c>
      <c r="Q124" t="s">
        <v>2073</v>
      </c>
      <c r="R124" s="1">
        <v>0.64</v>
      </c>
      <c r="S124" s="3">
        <f>R124</f>
        <v>0.64</v>
      </c>
    </row>
    <row r="125" spans="1:19" x14ac:dyDescent="0.3">
      <c r="A125" t="s">
        <v>323</v>
      </c>
      <c r="B125" t="s">
        <v>324</v>
      </c>
      <c r="C125" t="str">
        <f t="shared" si="22"/>
        <v>Debra Garcia</v>
      </c>
      <c r="D125" t="s">
        <v>6</v>
      </c>
      <c r="E125" t="str">
        <f t="shared" si="14"/>
        <v>Female</v>
      </c>
      <c r="F125">
        <v>27</v>
      </c>
      <c r="G125" t="s">
        <v>167</v>
      </c>
      <c r="H125" t="s">
        <v>168</v>
      </c>
      <c r="I125" t="s">
        <v>65</v>
      </c>
      <c r="J125">
        <v>8</v>
      </c>
      <c r="K125" s="4" t="str" cm="1">
        <f t="array" ref="K125">_xlfn.IFS(J125&lt;=5,"0-5",J125&lt;=10,"6-10",J125&lt;=15,"11-15",J125&lt;=20,"16-20",J125&gt;20,"21+")</f>
        <v>6-10</v>
      </c>
      <c r="L125" t="s">
        <v>56</v>
      </c>
      <c r="M125" s="2" t="str">
        <f>SUBSTITUTE(L125,"$","")</f>
        <v>50</v>
      </c>
      <c r="N125" s="8">
        <f t="shared" si="15"/>
        <v>50</v>
      </c>
      <c r="O125">
        <v>0</v>
      </c>
    </row>
    <row r="126" spans="1:19" x14ac:dyDescent="0.3">
      <c r="A126" t="s">
        <v>325</v>
      </c>
      <c r="B126" t="s">
        <v>326</v>
      </c>
      <c r="C126" t="str">
        <f t="shared" si="22"/>
        <v>Andrew Fuentes</v>
      </c>
      <c r="D126" t="s">
        <v>19</v>
      </c>
      <c r="E126" t="str">
        <f t="shared" si="14"/>
        <v>Male</v>
      </c>
      <c r="F126">
        <v>34</v>
      </c>
      <c r="G126" t="s">
        <v>13</v>
      </c>
      <c r="H126" t="s">
        <v>14</v>
      </c>
      <c r="I126" t="s">
        <v>27</v>
      </c>
      <c r="J126">
        <v>10</v>
      </c>
      <c r="K126" s="4" t="str" cm="1">
        <f t="array" ref="K126">_xlfn.IFS(J126&lt;=5,"0-5",J126&lt;=10,"6-10",J126&lt;=15,"11-15",J126&lt;=20,"16-20",J126&gt;20,"21+")</f>
        <v>6-10</v>
      </c>
      <c r="N126" s="8" t="str">
        <f t="shared" si="15"/>
        <v/>
      </c>
      <c r="O126">
        <v>1.7</v>
      </c>
      <c r="P126" t="s">
        <v>23</v>
      </c>
      <c r="Q126" t="s">
        <v>2072</v>
      </c>
      <c r="R126" s="1">
        <v>0.96</v>
      </c>
      <c r="S126" s="3">
        <f t="shared" ref="S126:S131" si="24">R126</f>
        <v>0.96</v>
      </c>
    </row>
    <row r="127" spans="1:19" x14ac:dyDescent="0.3">
      <c r="A127" t="s">
        <v>327</v>
      </c>
      <c r="B127" t="s">
        <v>328</v>
      </c>
      <c r="C127" t="str">
        <f t="shared" si="22"/>
        <v>Jason Carter</v>
      </c>
      <c r="D127" t="s">
        <v>89</v>
      </c>
      <c r="E127" t="str">
        <f t="shared" si="14"/>
        <v>Male</v>
      </c>
      <c r="F127">
        <v>49</v>
      </c>
      <c r="G127" t="s">
        <v>104</v>
      </c>
      <c r="H127" t="s">
        <v>105</v>
      </c>
      <c r="I127" t="s">
        <v>43</v>
      </c>
      <c r="J127">
        <v>19</v>
      </c>
      <c r="K127" s="4" t="str" cm="1">
        <f t="array" ref="K127">_xlfn.IFS(J127&lt;=5,"0-5",J127&lt;=10,"6-10",J127&lt;=15,"11-15",J127&lt;=20,"16-20",J127&gt;20,"21+")</f>
        <v>16-20</v>
      </c>
      <c r="N127" s="8" t="str">
        <f t="shared" si="15"/>
        <v/>
      </c>
      <c r="O127">
        <v>5</v>
      </c>
      <c r="P127" t="s">
        <v>66</v>
      </c>
      <c r="Q127" t="s">
        <v>2073</v>
      </c>
      <c r="R127" s="1">
        <v>0.83</v>
      </c>
      <c r="S127" s="3">
        <f t="shared" si="24"/>
        <v>0.83</v>
      </c>
    </row>
    <row r="128" spans="1:19" x14ac:dyDescent="0.3">
      <c r="A128" t="s">
        <v>329</v>
      </c>
      <c r="B128" t="s">
        <v>330</v>
      </c>
      <c r="C128" t="str">
        <f t="shared" si="22"/>
        <v>Austin Romero</v>
      </c>
      <c r="D128" t="s">
        <v>19</v>
      </c>
      <c r="E128" t="str">
        <f t="shared" si="14"/>
        <v>Male</v>
      </c>
      <c r="F128">
        <v>30</v>
      </c>
      <c r="G128" t="s">
        <v>99</v>
      </c>
      <c r="H128" t="s">
        <v>100</v>
      </c>
      <c r="I128" t="s">
        <v>15</v>
      </c>
      <c r="J128">
        <v>10</v>
      </c>
      <c r="K128" s="4" t="str" cm="1">
        <f t="array" ref="K128">_xlfn.IFS(J128&lt;=5,"0-5",J128&lt;=10,"6-10",J128&lt;=15,"11-15",J128&lt;=20,"16-20",J128&gt;20,"21+")</f>
        <v>6-10</v>
      </c>
      <c r="L128" t="s">
        <v>221</v>
      </c>
      <c r="M128" s="2" t="str">
        <f>SUBSTITUTE(L128,"$","")</f>
        <v>100</v>
      </c>
      <c r="N128" s="8">
        <f t="shared" si="15"/>
        <v>100</v>
      </c>
      <c r="O128">
        <v>1.7</v>
      </c>
      <c r="P128" t="s">
        <v>60</v>
      </c>
      <c r="Q128" t="s">
        <v>2073</v>
      </c>
      <c r="R128" s="1">
        <v>0.64</v>
      </c>
      <c r="S128" s="3">
        <f t="shared" si="24"/>
        <v>0.64</v>
      </c>
    </row>
    <row r="129" spans="1:19" x14ac:dyDescent="0.3">
      <c r="A129" t="s">
        <v>331</v>
      </c>
      <c r="B129" t="s">
        <v>332</v>
      </c>
      <c r="C129" t="str">
        <f t="shared" si="22"/>
        <v>Clayton Burns</v>
      </c>
      <c r="D129" t="s">
        <v>19</v>
      </c>
      <c r="E129" t="str">
        <f t="shared" si="14"/>
        <v>Male</v>
      </c>
      <c r="F129">
        <v>31</v>
      </c>
      <c r="G129" t="s">
        <v>131</v>
      </c>
      <c r="H129" t="s">
        <v>132</v>
      </c>
      <c r="I129" t="s">
        <v>22</v>
      </c>
      <c r="J129">
        <v>8</v>
      </c>
      <c r="K129" s="4" t="str" cm="1">
        <f t="array" ref="K129">_xlfn.IFS(J129&lt;=5,"0-5",J129&lt;=10,"6-10",J129&lt;=15,"11-15",J129&lt;=20,"16-20",J129&gt;20,"21+")</f>
        <v>6-10</v>
      </c>
      <c r="L129">
        <v>40</v>
      </c>
      <c r="M129" s="2">
        <f>L129</f>
        <v>40</v>
      </c>
      <c r="N129" s="8">
        <f t="shared" si="15"/>
        <v>40</v>
      </c>
      <c r="O129">
        <v>4.4000000000000004</v>
      </c>
      <c r="P129">
        <v>0</v>
      </c>
      <c r="Q129" t="s">
        <v>2072</v>
      </c>
      <c r="R129" s="1">
        <v>0.7</v>
      </c>
      <c r="S129" s="3">
        <f t="shared" si="24"/>
        <v>0.7</v>
      </c>
    </row>
    <row r="130" spans="1:19" x14ac:dyDescent="0.3">
      <c r="A130" t="s">
        <v>333</v>
      </c>
      <c r="B130" t="s">
        <v>334</v>
      </c>
      <c r="C130" t="str">
        <f t="shared" si="22"/>
        <v>Jonathan Clark</v>
      </c>
      <c r="D130" t="s">
        <v>40</v>
      </c>
      <c r="E130" t="str">
        <f t="shared" ref="E130:E193" si="25">IF(LOWER(LEFT(D130,1))="f","Female","Male")</f>
        <v>Male</v>
      </c>
      <c r="F130">
        <v>58</v>
      </c>
      <c r="G130" t="s">
        <v>167</v>
      </c>
      <c r="H130" t="s">
        <v>168</v>
      </c>
      <c r="I130" t="s">
        <v>106</v>
      </c>
      <c r="J130">
        <v>9</v>
      </c>
      <c r="K130" s="4" t="str" cm="1">
        <f t="array" ref="K130">_xlfn.IFS(J130&lt;=5,"0-5",J130&lt;=10,"6-10",J130&lt;=15,"11-15",J130&lt;=20,"16-20",J130&gt;20,"21+")</f>
        <v>6-10</v>
      </c>
      <c r="L130">
        <v>20</v>
      </c>
      <c r="M130" s="2">
        <f>L130</f>
        <v>20</v>
      </c>
      <c r="N130" s="8">
        <f t="shared" si="15"/>
        <v>20</v>
      </c>
      <c r="O130">
        <v>0</v>
      </c>
      <c r="P130" t="s">
        <v>23</v>
      </c>
      <c r="Q130" t="s">
        <v>2072</v>
      </c>
      <c r="R130" s="1">
        <v>0.65</v>
      </c>
      <c r="S130" s="3">
        <f t="shared" si="24"/>
        <v>0.65</v>
      </c>
    </row>
    <row r="131" spans="1:19" x14ac:dyDescent="0.3">
      <c r="A131" t="s">
        <v>335</v>
      </c>
      <c r="B131" t="s">
        <v>336</v>
      </c>
      <c r="C131" t="str">
        <f t="shared" si="22"/>
        <v>Alexander Griffin</v>
      </c>
      <c r="D131" t="s">
        <v>89</v>
      </c>
      <c r="E131" t="str">
        <f t="shared" si="25"/>
        <v>Male</v>
      </c>
      <c r="F131">
        <v>47</v>
      </c>
      <c r="G131" t="s">
        <v>127</v>
      </c>
      <c r="H131" t="s">
        <v>128</v>
      </c>
      <c r="I131" t="s">
        <v>106</v>
      </c>
      <c r="J131">
        <v>13</v>
      </c>
      <c r="K131" s="4" t="str" cm="1">
        <f t="array" ref="K131">_xlfn.IFS(J131&lt;=5,"0-5",J131&lt;=10,"6-10",J131&lt;=15,"11-15",J131&lt;=20,"16-20",J131&gt;20,"21+")</f>
        <v>11-15</v>
      </c>
      <c r="L131">
        <v>40</v>
      </c>
      <c r="M131" s="2">
        <f>L131</f>
        <v>40</v>
      </c>
      <c r="N131" s="8">
        <f t="shared" ref="N131:N194" si="26">IF(M131="", "", VALUE(M131))</f>
        <v>40</v>
      </c>
      <c r="O131">
        <v>3.4</v>
      </c>
      <c r="R131" s="1">
        <v>0.67</v>
      </c>
      <c r="S131" s="3">
        <f t="shared" si="24"/>
        <v>0.67</v>
      </c>
    </row>
    <row r="132" spans="1:19" x14ac:dyDescent="0.3">
      <c r="A132" t="s">
        <v>337</v>
      </c>
      <c r="B132" t="s">
        <v>338</v>
      </c>
      <c r="C132" t="str">
        <f t="shared" si="22"/>
        <v>Shelly Whitehead</v>
      </c>
      <c r="D132" t="s">
        <v>6</v>
      </c>
      <c r="E132" t="str">
        <f t="shared" si="25"/>
        <v>Female</v>
      </c>
      <c r="F132">
        <v>45</v>
      </c>
      <c r="G132" t="s">
        <v>59</v>
      </c>
      <c r="H132" t="s">
        <v>14</v>
      </c>
      <c r="I132" t="s">
        <v>70</v>
      </c>
      <c r="J132">
        <v>14</v>
      </c>
      <c r="K132" s="4" t="str" cm="1">
        <f t="array" ref="K132">_xlfn.IFS(J132&lt;=5,"0-5",J132&lt;=10,"6-10",J132&lt;=15,"11-15",J132&lt;=20,"16-20",J132&gt;20,"21+")</f>
        <v>11-15</v>
      </c>
      <c r="L132" t="s">
        <v>16</v>
      </c>
      <c r="M132" s="2" t="str">
        <f>TRIM(MID(L132,FIND(" ",L132)+1,LEN(L132)))</f>
        <v>100</v>
      </c>
      <c r="N132" s="8">
        <f t="shared" si="26"/>
        <v>100</v>
      </c>
      <c r="O132">
        <v>1.1000000000000001</v>
      </c>
      <c r="P132" t="s">
        <v>151</v>
      </c>
      <c r="Q132" t="s">
        <v>2072</v>
      </c>
      <c r="R132">
        <v>93</v>
      </c>
      <c r="S132" s="3">
        <f>R132/100</f>
        <v>0.93</v>
      </c>
    </row>
    <row r="133" spans="1:19" x14ac:dyDescent="0.3">
      <c r="A133" t="s">
        <v>339</v>
      </c>
      <c r="B133" t="s">
        <v>340</v>
      </c>
      <c r="C133" t="str">
        <f t="shared" si="22"/>
        <v>Kaitlyn Davis</v>
      </c>
      <c r="D133" t="s">
        <v>12</v>
      </c>
      <c r="E133" t="str">
        <f t="shared" si="25"/>
        <v>Female</v>
      </c>
      <c r="F133">
        <v>57</v>
      </c>
      <c r="G133" t="s">
        <v>127</v>
      </c>
      <c r="H133" t="s">
        <v>128</v>
      </c>
      <c r="I133" t="s">
        <v>106</v>
      </c>
      <c r="J133">
        <v>0</v>
      </c>
      <c r="K133" s="4" t="str" cm="1">
        <f t="array" ref="K133">_xlfn.IFS(J133&lt;=5,"0-5",J133&lt;=10,"6-10",J133&lt;=15,"11-15",J133&lt;=20,"16-20",J133&gt;20,"21+")</f>
        <v>0-5</v>
      </c>
      <c r="L133">
        <v>50</v>
      </c>
      <c r="M133" s="2">
        <f>L133</f>
        <v>50</v>
      </c>
      <c r="N133" s="8">
        <f t="shared" si="26"/>
        <v>50</v>
      </c>
      <c r="O133">
        <v>1.6</v>
      </c>
      <c r="P133" t="s">
        <v>23</v>
      </c>
      <c r="Q133" t="s">
        <v>2072</v>
      </c>
      <c r="R133" s="1">
        <v>0.6</v>
      </c>
      <c r="S133" s="3">
        <f t="shared" ref="S133:S138" si="27">R133</f>
        <v>0.6</v>
      </c>
    </row>
    <row r="134" spans="1:19" x14ac:dyDescent="0.3">
      <c r="A134" t="s">
        <v>341</v>
      </c>
      <c r="B134" t="s">
        <v>342</v>
      </c>
      <c r="C134" t="str">
        <f t="shared" si="22"/>
        <v>Christopher Jones</v>
      </c>
      <c r="D134" t="s">
        <v>53</v>
      </c>
      <c r="E134" t="str">
        <f t="shared" si="25"/>
        <v>Male</v>
      </c>
      <c r="F134">
        <v>50</v>
      </c>
      <c r="G134" t="s">
        <v>85</v>
      </c>
      <c r="H134" t="s">
        <v>86</v>
      </c>
      <c r="I134" t="s">
        <v>27</v>
      </c>
      <c r="J134">
        <v>22</v>
      </c>
      <c r="K134" s="4" t="str" cm="1">
        <f t="array" ref="K134">_xlfn.IFS(J134&lt;=5,"0-5",J134&lt;=10,"6-10",J134&lt;=15,"11-15",J134&lt;=20,"16-20",J134&gt;20,"21+")</f>
        <v>21+</v>
      </c>
      <c r="L134">
        <v>100</v>
      </c>
      <c r="M134" s="2">
        <f>L134</f>
        <v>100</v>
      </c>
      <c r="N134" s="8">
        <f t="shared" si="26"/>
        <v>100</v>
      </c>
      <c r="O134">
        <v>4.0999999999999996</v>
      </c>
      <c r="P134" t="s">
        <v>23</v>
      </c>
      <c r="Q134" t="s">
        <v>2072</v>
      </c>
      <c r="R134" s="1">
        <v>0.62</v>
      </c>
      <c r="S134" s="3">
        <f t="shared" si="27"/>
        <v>0.62</v>
      </c>
    </row>
    <row r="135" spans="1:19" x14ac:dyDescent="0.3">
      <c r="A135" t="s">
        <v>343</v>
      </c>
      <c r="B135" t="s">
        <v>344</v>
      </c>
      <c r="C135" t="str">
        <f t="shared" si="22"/>
        <v>Cindy Jacobs</v>
      </c>
      <c r="D135" t="s">
        <v>12</v>
      </c>
      <c r="E135" t="str">
        <f t="shared" si="25"/>
        <v>Female</v>
      </c>
      <c r="G135" t="s">
        <v>99</v>
      </c>
      <c r="H135" t="s">
        <v>100</v>
      </c>
      <c r="I135" t="s">
        <v>106</v>
      </c>
      <c r="J135">
        <v>4</v>
      </c>
      <c r="K135" s="4" t="str" cm="1">
        <f t="array" ref="K135">_xlfn.IFS(J135&lt;=5,"0-5",J135&lt;=10,"6-10",J135&lt;=15,"11-15",J135&lt;=20,"16-20",J135&gt;20,"21+")</f>
        <v>0-5</v>
      </c>
      <c r="N135" s="8" t="str">
        <f t="shared" si="26"/>
        <v/>
      </c>
      <c r="O135">
        <v>2.5</v>
      </c>
      <c r="R135" s="1">
        <v>0.7</v>
      </c>
      <c r="S135" s="3">
        <f t="shared" si="27"/>
        <v>0.7</v>
      </c>
    </row>
    <row r="136" spans="1:19" x14ac:dyDescent="0.3">
      <c r="A136" t="s">
        <v>345</v>
      </c>
      <c r="B136" t="s">
        <v>346</v>
      </c>
      <c r="C136" t="str">
        <f t="shared" si="22"/>
        <v>Penny Day</v>
      </c>
      <c r="D136" t="s">
        <v>69</v>
      </c>
      <c r="E136" t="str">
        <f t="shared" si="25"/>
        <v>Female</v>
      </c>
      <c r="F136">
        <v>45</v>
      </c>
      <c r="G136" t="s">
        <v>41</v>
      </c>
      <c r="H136" t="s">
        <v>42</v>
      </c>
      <c r="I136" t="s">
        <v>9</v>
      </c>
      <c r="J136">
        <v>22</v>
      </c>
      <c r="K136" s="4" t="str" cm="1">
        <f t="array" ref="K136">_xlfn.IFS(J136&lt;=5,"0-5",J136&lt;=10,"6-10",J136&lt;=15,"11-15",J136&lt;=20,"16-20",J136&gt;20,"21+")</f>
        <v>21+</v>
      </c>
      <c r="L136" t="s">
        <v>221</v>
      </c>
      <c r="M136" s="2" t="str">
        <f>SUBSTITUTE(L136,"$","")</f>
        <v>100</v>
      </c>
      <c r="N136" s="8">
        <f t="shared" si="26"/>
        <v>100</v>
      </c>
      <c r="O136">
        <v>4</v>
      </c>
      <c r="P136" t="s">
        <v>66</v>
      </c>
      <c r="Q136" t="s">
        <v>2073</v>
      </c>
      <c r="R136" s="1">
        <v>0.75</v>
      </c>
      <c r="S136" s="3">
        <f t="shared" si="27"/>
        <v>0.75</v>
      </c>
    </row>
    <row r="137" spans="1:19" x14ac:dyDescent="0.3">
      <c r="A137" t="s">
        <v>347</v>
      </c>
      <c r="B137" t="s">
        <v>348</v>
      </c>
      <c r="C137" t="str">
        <f t="shared" si="22"/>
        <v>Thomas Ingram</v>
      </c>
      <c r="D137" t="s">
        <v>53</v>
      </c>
      <c r="E137" t="str">
        <f t="shared" si="25"/>
        <v>Male</v>
      </c>
      <c r="F137">
        <v>60</v>
      </c>
      <c r="G137" t="s">
        <v>145</v>
      </c>
      <c r="H137" t="s">
        <v>146</v>
      </c>
      <c r="I137" t="s">
        <v>70</v>
      </c>
      <c r="J137">
        <v>39</v>
      </c>
      <c r="K137" s="4" t="str" cm="1">
        <f t="array" ref="K137">_xlfn.IFS(J137&lt;=5,"0-5",J137&lt;=10,"6-10",J137&lt;=15,"11-15",J137&lt;=20,"16-20",J137&gt;20,"21+")</f>
        <v>21+</v>
      </c>
      <c r="L137">
        <v>75</v>
      </c>
      <c r="M137" s="2">
        <f>L137</f>
        <v>75</v>
      </c>
      <c r="N137" s="8">
        <f t="shared" si="26"/>
        <v>75</v>
      </c>
      <c r="O137">
        <v>1.4</v>
      </c>
      <c r="P137" t="s">
        <v>151</v>
      </c>
      <c r="Q137" t="s">
        <v>2072</v>
      </c>
      <c r="R137" s="1">
        <v>0.7</v>
      </c>
      <c r="S137" s="3">
        <f t="shared" si="27"/>
        <v>0.7</v>
      </c>
    </row>
    <row r="138" spans="1:19" x14ac:dyDescent="0.3">
      <c r="A138" t="s">
        <v>349</v>
      </c>
      <c r="B138" t="s">
        <v>350</v>
      </c>
      <c r="C138" t="str">
        <f t="shared" si="22"/>
        <v>Donna Hansen</v>
      </c>
      <c r="D138" t="s">
        <v>31</v>
      </c>
      <c r="E138" t="str">
        <f t="shared" si="25"/>
        <v>Female</v>
      </c>
      <c r="F138">
        <v>43</v>
      </c>
      <c r="G138" t="s">
        <v>59</v>
      </c>
      <c r="H138" t="s">
        <v>14</v>
      </c>
      <c r="I138" t="s">
        <v>70</v>
      </c>
      <c r="J138">
        <v>5</v>
      </c>
      <c r="K138" s="4" t="str" cm="1">
        <f t="array" ref="K138">_xlfn.IFS(J138&lt;=5,"0-5",J138&lt;=10,"6-10",J138&lt;=15,"11-15",J138&lt;=20,"16-20",J138&gt;20,"21+")</f>
        <v>0-5</v>
      </c>
      <c r="L138" t="s">
        <v>90</v>
      </c>
      <c r="M138" s="2" t="str">
        <f>TRIM(MID(L138,FIND(" ",L138)+1,LEN(L138)))</f>
        <v>50</v>
      </c>
      <c r="N138" s="8">
        <f t="shared" si="26"/>
        <v>50</v>
      </c>
      <c r="P138">
        <v>1</v>
      </c>
      <c r="Q138" t="s">
        <v>2073</v>
      </c>
      <c r="R138" s="1">
        <v>0.84</v>
      </c>
      <c r="S138" s="3">
        <f t="shared" si="27"/>
        <v>0.84</v>
      </c>
    </row>
    <row r="139" spans="1:19" x14ac:dyDescent="0.3">
      <c r="A139" t="s">
        <v>351</v>
      </c>
      <c r="B139" t="s">
        <v>352</v>
      </c>
      <c r="C139" t="str">
        <f t="shared" si="22"/>
        <v>Donna Bailey</v>
      </c>
      <c r="D139" t="s">
        <v>26</v>
      </c>
      <c r="E139" t="str">
        <f t="shared" si="25"/>
        <v>Female</v>
      </c>
      <c r="F139">
        <v>39</v>
      </c>
      <c r="G139" t="s">
        <v>127</v>
      </c>
      <c r="H139" t="s">
        <v>128</v>
      </c>
      <c r="I139" t="s">
        <v>70</v>
      </c>
      <c r="J139">
        <v>5</v>
      </c>
      <c r="K139" s="4" t="str" cm="1">
        <f t="array" ref="K139">_xlfn.IFS(J139&lt;=5,"0-5",J139&lt;=10,"6-10",J139&lt;=15,"11-15",J139&lt;=20,"16-20",J139&gt;20,"21+")</f>
        <v>0-5</v>
      </c>
      <c r="L139" t="s">
        <v>47</v>
      </c>
      <c r="M139" s="2" t="str">
        <f>TRIM(MID(L139,FIND(" ",L139)+1,LEN(L139)))</f>
        <v>40</v>
      </c>
      <c r="N139" s="8">
        <f t="shared" si="26"/>
        <v>40</v>
      </c>
      <c r="O139">
        <v>1.2</v>
      </c>
      <c r="P139">
        <v>0</v>
      </c>
      <c r="Q139" t="s">
        <v>2072</v>
      </c>
      <c r="R139">
        <v>83</v>
      </c>
      <c r="S139" s="3">
        <f>R139/100</f>
        <v>0.83</v>
      </c>
    </row>
    <row r="140" spans="1:19" x14ac:dyDescent="0.3">
      <c r="A140" t="s">
        <v>353</v>
      </c>
      <c r="B140" t="s">
        <v>354</v>
      </c>
      <c r="C140" t="str">
        <f t="shared" si="22"/>
        <v>Joshua Armstrong</v>
      </c>
      <c r="D140" t="s">
        <v>19</v>
      </c>
      <c r="E140" t="str">
        <f t="shared" si="25"/>
        <v>Male</v>
      </c>
      <c r="F140">
        <v>26</v>
      </c>
      <c r="G140" t="s">
        <v>171</v>
      </c>
      <c r="H140" t="s">
        <v>64</v>
      </c>
      <c r="I140" t="s">
        <v>65</v>
      </c>
      <c r="J140">
        <v>5</v>
      </c>
      <c r="K140" s="4" t="str" cm="1">
        <f t="array" ref="K140">_xlfn.IFS(J140&lt;=5,"0-5",J140&lt;=10,"6-10",J140&lt;=15,"11-15",J140&lt;=20,"16-20",J140&gt;20,"21+")</f>
        <v>0-5</v>
      </c>
      <c r="L140">
        <v>50</v>
      </c>
      <c r="M140" s="2">
        <f>L140</f>
        <v>50</v>
      </c>
      <c r="N140" s="8">
        <f t="shared" si="26"/>
        <v>50</v>
      </c>
      <c r="O140">
        <v>0</v>
      </c>
      <c r="P140" t="s">
        <v>23</v>
      </c>
      <c r="Q140" t="s">
        <v>2072</v>
      </c>
    </row>
    <row r="141" spans="1:19" x14ac:dyDescent="0.3">
      <c r="A141" t="s">
        <v>355</v>
      </c>
      <c r="B141" t="s">
        <v>356</v>
      </c>
      <c r="C141" t="str">
        <f t="shared" si="22"/>
        <v>Jonathan Garza</v>
      </c>
      <c r="D141" t="s">
        <v>40</v>
      </c>
      <c r="E141" t="str">
        <f t="shared" si="25"/>
        <v>Male</v>
      </c>
      <c r="F141">
        <v>31</v>
      </c>
      <c r="G141" t="s">
        <v>20</v>
      </c>
      <c r="H141" t="s">
        <v>21</v>
      </c>
      <c r="I141" t="s">
        <v>70</v>
      </c>
      <c r="J141">
        <v>11</v>
      </c>
      <c r="K141" s="4" t="str" cm="1">
        <f t="array" ref="K141">_xlfn.IFS(J141&lt;=5,"0-5",J141&lt;=10,"6-10",J141&lt;=15,"11-15",J141&lt;=20,"16-20",J141&gt;20,"21+")</f>
        <v>11-15</v>
      </c>
      <c r="L141">
        <v>50</v>
      </c>
      <c r="M141" s="2">
        <f>L141</f>
        <v>50</v>
      </c>
      <c r="N141" s="8">
        <f t="shared" si="26"/>
        <v>50</v>
      </c>
      <c r="O141">
        <v>3.1</v>
      </c>
      <c r="P141" t="b">
        <v>0</v>
      </c>
      <c r="Q141" t="s">
        <v>2072</v>
      </c>
      <c r="R141" s="1">
        <v>0.88</v>
      </c>
      <c r="S141" s="3">
        <f t="shared" ref="S141:S145" si="28">R141</f>
        <v>0.88</v>
      </c>
    </row>
    <row r="142" spans="1:19" x14ac:dyDescent="0.3">
      <c r="A142" t="s">
        <v>357</v>
      </c>
      <c r="B142" t="s">
        <v>358</v>
      </c>
      <c r="C142" t="str">
        <f t="shared" si="22"/>
        <v>Charles Jones</v>
      </c>
      <c r="D142" t="s">
        <v>40</v>
      </c>
      <c r="E142" t="str">
        <f t="shared" si="25"/>
        <v>Male</v>
      </c>
      <c r="F142">
        <v>52</v>
      </c>
      <c r="G142" t="s">
        <v>127</v>
      </c>
      <c r="H142" t="s">
        <v>128</v>
      </c>
      <c r="I142" t="s">
        <v>65</v>
      </c>
      <c r="J142">
        <v>15</v>
      </c>
      <c r="K142" s="4" t="str" cm="1">
        <f t="array" ref="K142">_xlfn.IFS(J142&lt;=5,"0-5",J142&lt;=10,"6-10",J142&lt;=15,"11-15",J142&lt;=20,"16-20",J142&gt;20,"21+")</f>
        <v>11-15</v>
      </c>
      <c r="L142">
        <v>50</v>
      </c>
      <c r="M142" s="2">
        <f>L142</f>
        <v>50</v>
      </c>
      <c r="N142" s="8">
        <f t="shared" si="26"/>
        <v>50</v>
      </c>
      <c r="O142">
        <v>0</v>
      </c>
      <c r="P142" t="s">
        <v>60</v>
      </c>
      <c r="Q142" t="s">
        <v>2073</v>
      </c>
      <c r="R142" s="1">
        <v>0.81</v>
      </c>
      <c r="S142" s="3">
        <f t="shared" si="28"/>
        <v>0.81</v>
      </c>
    </row>
    <row r="143" spans="1:19" x14ac:dyDescent="0.3">
      <c r="A143" t="s">
        <v>359</v>
      </c>
      <c r="B143" t="s">
        <v>360</v>
      </c>
      <c r="C143" t="str">
        <f t="shared" si="22"/>
        <v>Lindsey Miles</v>
      </c>
      <c r="D143" t="s">
        <v>31</v>
      </c>
      <c r="E143" t="str">
        <f t="shared" si="25"/>
        <v>Female</v>
      </c>
      <c r="F143">
        <v>34</v>
      </c>
      <c r="G143" t="s">
        <v>85</v>
      </c>
      <c r="H143" t="s">
        <v>86</v>
      </c>
      <c r="I143" t="s">
        <v>43</v>
      </c>
      <c r="J143">
        <v>5</v>
      </c>
      <c r="K143" s="4" t="str" cm="1">
        <f t="array" ref="K143">_xlfn.IFS(J143&lt;=5,"0-5",J143&lt;=10,"6-10",J143&lt;=15,"11-15",J143&lt;=20,"16-20",J143&gt;20,"21+")</f>
        <v>0-5</v>
      </c>
      <c r="L143" t="s">
        <v>306</v>
      </c>
      <c r="M143" s="2" t="str">
        <f>TRIM(MID(L143,FIND(" ",L143)+1,LEN(L143)))</f>
        <v>20</v>
      </c>
      <c r="N143" s="8">
        <f t="shared" si="26"/>
        <v>20</v>
      </c>
      <c r="O143">
        <v>2.2000000000000002</v>
      </c>
      <c r="P143" t="s">
        <v>66</v>
      </c>
      <c r="Q143" t="s">
        <v>2073</v>
      </c>
      <c r="R143" s="1">
        <v>0.8</v>
      </c>
      <c r="S143" s="3">
        <f t="shared" si="28"/>
        <v>0.8</v>
      </c>
    </row>
    <row r="144" spans="1:19" x14ac:dyDescent="0.3">
      <c r="A144" t="s">
        <v>361</v>
      </c>
      <c r="B144" t="s">
        <v>362</v>
      </c>
      <c r="C144" t="str">
        <f t="shared" si="22"/>
        <v>Eduardo Reed</v>
      </c>
      <c r="D144" t="s">
        <v>19</v>
      </c>
      <c r="E144" t="str">
        <f t="shared" si="25"/>
        <v>Male</v>
      </c>
      <c r="F144">
        <v>45</v>
      </c>
      <c r="G144" t="s">
        <v>59</v>
      </c>
      <c r="H144" t="s">
        <v>14</v>
      </c>
      <c r="I144" t="s">
        <v>27</v>
      </c>
      <c r="J144">
        <v>7</v>
      </c>
      <c r="K144" s="4" t="str" cm="1">
        <f t="array" ref="K144">_xlfn.IFS(J144&lt;=5,"0-5",J144&lt;=10,"6-10",J144&lt;=15,"11-15",J144&lt;=20,"16-20",J144&gt;20,"21+")</f>
        <v>6-10</v>
      </c>
      <c r="L144">
        <v>75</v>
      </c>
      <c r="M144" s="2">
        <f>L144</f>
        <v>75</v>
      </c>
      <c r="N144" s="8">
        <f t="shared" si="26"/>
        <v>75</v>
      </c>
      <c r="O144">
        <v>3</v>
      </c>
      <c r="P144">
        <v>1</v>
      </c>
      <c r="Q144" t="s">
        <v>2073</v>
      </c>
      <c r="R144" s="1">
        <v>0.67</v>
      </c>
      <c r="S144" s="3">
        <f t="shared" si="28"/>
        <v>0.67</v>
      </c>
    </row>
    <row r="145" spans="1:19" x14ac:dyDescent="0.3">
      <c r="A145" t="s">
        <v>363</v>
      </c>
      <c r="B145" t="s">
        <v>364</v>
      </c>
      <c r="C145" t="str">
        <f t="shared" si="22"/>
        <v>Lee Fowler</v>
      </c>
      <c r="D145" t="s">
        <v>40</v>
      </c>
      <c r="E145" t="str">
        <f t="shared" si="25"/>
        <v>Male</v>
      </c>
      <c r="F145">
        <v>46</v>
      </c>
      <c r="G145" t="s">
        <v>59</v>
      </c>
      <c r="H145" t="s">
        <v>14</v>
      </c>
      <c r="I145" t="s">
        <v>70</v>
      </c>
      <c r="J145">
        <v>9</v>
      </c>
      <c r="K145" s="4" t="str" cm="1">
        <f t="array" ref="K145">_xlfn.IFS(J145&lt;=5,"0-5",J145&lt;=10,"6-10",J145&lt;=15,"11-15",J145&lt;=20,"16-20",J145&gt;20,"21+")</f>
        <v>6-10</v>
      </c>
      <c r="L145" t="s">
        <v>113</v>
      </c>
      <c r="M145" s="2" t="str">
        <f>SUBSTITUTE(L145,"$","")</f>
        <v>20</v>
      </c>
      <c r="N145" s="8">
        <f t="shared" si="26"/>
        <v>20</v>
      </c>
      <c r="O145">
        <v>0</v>
      </c>
      <c r="P145" t="s">
        <v>23</v>
      </c>
      <c r="Q145" t="s">
        <v>2072</v>
      </c>
      <c r="R145" s="1">
        <v>0.82</v>
      </c>
      <c r="S145" s="3">
        <f t="shared" si="28"/>
        <v>0.82</v>
      </c>
    </row>
    <row r="146" spans="1:19" x14ac:dyDescent="0.3">
      <c r="A146" t="s">
        <v>365</v>
      </c>
      <c r="B146" t="s">
        <v>366</v>
      </c>
      <c r="C146" t="str">
        <f>TRIM(MID(B146,FIND(" ",B146)+1,LEN(B146)))</f>
        <v>Jones Jr.</v>
      </c>
      <c r="D146" t="s">
        <v>40</v>
      </c>
      <c r="E146" t="str">
        <f t="shared" si="25"/>
        <v>Male</v>
      </c>
      <c r="F146">
        <v>56</v>
      </c>
      <c r="G146" t="s">
        <v>127</v>
      </c>
      <c r="H146" t="s">
        <v>128</v>
      </c>
      <c r="I146" t="s">
        <v>65</v>
      </c>
      <c r="J146">
        <v>21</v>
      </c>
      <c r="K146" s="4" t="str" cm="1">
        <f t="array" ref="K146">_xlfn.IFS(J146&lt;=5,"0-5",J146&lt;=10,"6-10",J146&lt;=15,"11-15",J146&lt;=20,"16-20",J146&gt;20,"21+")</f>
        <v>21+</v>
      </c>
      <c r="L146" t="s">
        <v>16</v>
      </c>
      <c r="M146" s="2" t="str">
        <f>TRIM(MID(L146,FIND(" ",L146)+1,LEN(L146)))</f>
        <v>100</v>
      </c>
      <c r="N146" s="8">
        <f t="shared" si="26"/>
        <v>100</v>
      </c>
      <c r="O146">
        <v>0</v>
      </c>
      <c r="P146" t="b">
        <v>1</v>
      </c>
      <c r="Q146" t="s">
        <v>2073</v>
      </c>
      <c r="R146">
        <v>78</v>
      </c>
      <c r="S146" s="3">
        <f>R146/100</f>
        <v>0.78</v>
      </c>
    </row>
    <row r="147" spans="1:19" x14ac:dyDescent="0.3">
      <c r="A147" t="s">
        <v>367</v>
      </c>
      <c r="B147" t="s">
        <v>368</v>
      </c>
      <c r="C147" t="str">
        <f t="shared" ref="C147:C209" si="29">B147</f>
        <v>Ashley Chen</v>
      </c>
      <c r="D147" t="s">
        <v>12</v>
      </c>
      <c r="E147" t="str">
        <f t="shared" si="25"/>
        <v>Female</v>
      </c>
      <c r="F147">
        <v>59</v>
      </c>
      <c r="G147" t="s">
        <v>20</v>
      </c>
      <c r="H147" t="s">
        <v>21</v>
      </c>
      <c r="I147" t="s">
        <v>36</v>
      </c>
      <c r="J147">
        <v>7</v>
      </c>
      <c r="K147" s="4" t="str" cm="1">
        <f t="array" ref="K147">_xlfn.IFS(J147&lt;=5,"0-5",J147&lt;=10,"6-10",J147&lt;=15,"11-15",J147&lt;=20,"16-20",J147&gt;20,"21+")</f>
        <v>6-10</v>
      </c>
      <c r="L147" t="s">
        <v>28</v>
      </c>
      <c r="M147" s="2" t="str">
        <f>SUBSTITUTE(L147,"$","")</f>
        <v>40</v>
      </c>
      <c r="N147" s="8">
        <f t="shared" si="26"/>
        <v>40</v>
      </c>
      <c r="O147">
        <v>1.4</v>
      </c>
      <c r="P147" t="b">
        <v>0</v>
      </c>
      <c r="Q147" t="s">
        <v>2072</v>
      </c>
      <c r="R147" s="1">
        <v>0.81</v>
      </c>
      <c r="S147" s="3">
        <f t="shared" ref="S147:S150" si="30">R147</f>
        <v>0.81</v>
      </c>
    </row>
    <row r="148" spans="1:19" x14ac:dyDescent="0.3">
      <c r="A148" t="s">
        <v>369</v>
      </c>
      <c r="B148" t="s">
        <v>370</v>
      </c>
      <c r="C148" t="str">
        <f t="shared" si="29"/>
        <v>Erica Davis</v>
      </c>
      <c r="D148" t="s">
        <v>12</v>
      </c>
      <c r="E148" t="str">
        <f t="shared" si="25"/>
        <v>Female</v>
      </c>
      <c r="F148">
        <v>54</v>
      </c>
      <c r="G148" t="s">
        <v>131</v>
      </c>
      <c r="H148" t="s">
        <v>132</v>
      </c>
      <c r="I148" t="s">
        <v>9</v>
      </c>
      <c r="J148">
        <v>4</v>
      </c>
      <c r="K148" s="4" t="str" cm="1">
        <f t="array" ref="K148">_xlfn.IFS(J148&lt;=5,"0-5",J148&lt;=10,"6-10",J148&lt;=15,"11-15",J148&lt;=20,"16-20",J148&gt;20,"21+")</f>
        <v>0-5</v>
      </c>
      <c r="N148" s="8" t="str">
        <f t="shared" si="26"/>
        <v/>
      </c>
      <c r="O148">
        <v>1.4</v>
      </c>
      <c r="P148" t="b">
        <v>1</v>
      </c>
      <c r="Q148" t="s">
        <v>2073</v>
      </c>
      <c r="R148" s="1">
        <v>0.74</v>
      </c>
      <c r="S148" s="3">
        <f t="shared" si="30"/>
        <v>0.74</v>
      </c>
    </row>
    <row r="149" spans="1:19" x14ac:dyDescent="0.3">
      <c r="A149" t="s">
        <v>371</v>
      </c>
      <c r="B149" t="s">
        <v>372</v>
      </c>
      <c r="C149" t="str">
        <f t="shared" si="29"/>
        <v>Wayne Gonzales</v>
      </c>
      <c r="D149" t="s">
        <v>84</v>
      </c>
      <c r="E149" t="str">
        <f t="shared" si="25"/>
        <v>Male</v>
      </c>
      <c r="F149">
        <v>36</v>
      </c>
      <c r="G149" t="s">
        <v>20</v>
      </c>
      <c r="H149" t="s">
        <v>21</v>
      </c>
      <c r="I149" t="s">
        <v>65</v>
      </c>
      <c r="J149">
        <v>7</v>
      </c>
      <c r="K149" s="4" t="str" cm="1">
        <f t="array" ref="K149">_xlfn.IFS(J149&lt;=5,"0-5",J149&lt;=10,"6-10",J149&lt;=15,"11-15",J149&lt;=20,"16-20",J149&gt;20,"21+")</f>
        <v>6-10</v>
      </c>
      <c r="L149">
        <v>30</v>
      </c>
      <c r="M149" s="2">
        <f>L149</f>
        <v>30</v>
      </c>
      <c r="N149" s="8">
        <f t="shared" si="26"/>
        <v>30</v>
      </c>
      <c r="O149">
        <v>0</v>
      </c>
      <c r="P149" t="s">
        <v>23</v>
      </c>
      <c r="Q149" t="s">
        <v>2072</v>
      </c>
      <c r="R149" s="1">
        <v>0.88</v>
      </c>
      <c r="S149" s="3">
        <f t="shared" si="30"/>
        <v>0.88</v>
      </c>
    </row>
    <row r="150" spans="1:19" x14ac:dyDescent="0.3">
      <c r="A150" t="s">
        <v>373</v>
      </c>
      <c r="B150" t="s">
        <v>374</v>
      </c>
      <c r="C150" t="str">
        <f t="shared" si="29"/>
        <v>Gary Ballard</v>
      </c>
      <c r="D150" t="s">
        <v>19</v>
      </c>
      <c r="E150" t="str">
        <f t="shared" si="25"/>
        <v>Male</v>
      </c>
      <c r="F150">
        <v>25</v>
      </c>
      <c r="G150" t="s">
        <v>171</v>
      </c>
      <c r="H150" t="s">
        <v>64</v>
      </c>
      <c r="I150" t="s">
        <v>43</v>
      </c>
      <c r="J150">
        <v>0</v>
      </c>
      <c r="K150" s="4" t="str" cm="1">
        <f t="array" ref="K150">_xlfn.IFS(J150&lt;=5,"0-5",J150&lt;=10,"6-10",J150&lt;=15,"11-15",J150&lt;=20,"16-20",J150&gt;20,"21+")</f>
        <v>0-5</v>
      </c>
      <c r="L150">
        <v>40</v>
      </c>
      <c r="M150" s="2">
        <f>L150</f>
        <v>40</v>
      </c>
      <c r="N150" s="8">
        <f t="shared" si="26"/>
        <v>40</v>
      </c>
      <c r="O150">
        <v>0</v>
      </c>
      <c r="P150">
        <v>0</v>
      </c>
      <c r="Q150" t="s">
        <v>2072</v>
      </c>
      <c r="R150" s="1">
        <v>0.9</v>
      </c>
      <c r="S150" s="3">
        <f t="shared" si="30"/>
        <v>0.9</v>
      </c>
    </row>
    <row r="151" spans="1:19" x14ac:dyDescent="0.3">
      <c r="A151" t="s">
        <v>375</v>
      </c>
      <c r="B151" t="s">
        <v>376</v>
      </c>
      <c r="C151" t="str">
        <f t="shared" si="29"/>
        <v>Maria Mcguire</v>
      </c>
      <c r="D151" t="s">
        <v>12</v>
      </c>
      <c r="E151" t="str">
        <f t="shared" si="25"/>
        <v>Female</v>
      </c>
      <c r="F151">
        <v>37</v>
      </c>
      <c r="G151" t="s">
        <v>116</v>
      </c>
      <c r="H151" t="s">
        <v>117</v>
      </c>
      <c r="I151" t="s">
        <v>43</v>
      </c>
      <c r="J151">
        <v>15</v>
      </c>
      <c r="K151" s="4" t="str" cm="1">
        <f t="array" ref="K151">_xlfn.IFS(J151&lt;=5,"0-5",J151&lt;=10,"6-10",J151&lt;=15,"11-15",J151&lt;=20,"16-20",J151&gt;20,"21+")</f>
        <v>11-15</v>
      </c>
      <c r="L151" t="s">
        <v>28</v>
      </c>
      <c r="M151" s="2" t="str">
        <f>SUBSTITUTE(L151,"$","")</f>
        <v>40</v>
      </c>
      <c r="N151" s="8">
        <f t="shared" si="26"/>
        <v>40</v>
      </c>
      <c r="O151">
        <v>2.9</v>
      </c>
      <c r="P151" t="b">
        <v>0</v>
      </c>
      <c r="Q151" t="s">
        <v>2072</v>
      </c>
    </row>
    <row r="152" spans="1:19" x14ac:dyDescent="0.3">
      <c r="A152" t="s">
        <v>377</v>
      </c>
      <c r="B152" t="s">
        <v>378</v>
      </c>
      <c r="C152" t="str">
        <f t="shared" si="29"/>
        <v>Matthew Richards</v>
      </c>
      <c r="D152" t="s">
        <v>84</v>
      </c>
      <c r="E152" t="str">
        <f t="shared" si="25"/>
        <v>Male</v>
      </c>
      <c r="G152" t="s">
        <v>54</v>
      </c>
      <c r="H152" t="s">
        <v>55</v>
      </c>
      <c r="I152" t="s">
        <v>43</v>
      </c>
      <c r="J152">
        <v>10</v>
      </c>
      <c r="K152" s="4" t="str" cm="1">
        <f t="array" ref="K152">_xlfn.IFS(J152&lt;=5,"0-5",J152&lt;=10,"6-10",J152&lt;=15,"11-15",J152&lt;=20,"16-20",J152&gt;20,"21+")</f>
        <v>6-10</v>
      </c>
      <c r="L152" t="s">
        <v>47</v>
      </c>
      <c r="M152" s="2" t="str">
        <f>TRIM(MID(L152,FIND(" ",L152)+1,LEN(L152)))</f>
        <v>40</v>
      </c>
      <c r="N152" s="8">
        <f t="shared" si="26"/>
        <v>40</v>
      </c>
      <c r="O152">
        <v>0</v>
      </c>
    </row>
    <row r="153" spans="1:19" x14ac:dyDescent="0.3">
      <c r="A153" t="s">
        <v>379</v>
      </c>
      <c r="B153" t="s">
        <v>380</v>
      </c>
      <c r="C153" t="str">
        <f t="shared" si="29"/>
        <v>Patrick Malone</v>
      </c>
      <c r="D153" t="s">
        <v>40</v>
      </c>
      <c r="E153" t="str">
        <f t="shared" si="25"/>
        <v>Male</v>
      </c>
      <c r="F153">
        <v>29</v>
      </c>
      <c r="G153" t="s">
        <v>182</v>
      </c>
      <c r="H153" t="s">
        <v>64</v>
      </c>
      <c r="I153" t="s">
        <v>43</v>
      </c>
      <c r="J153">
        <v>11</v>
      </c>
      <c r="K153" s="4" t="str" cm="1">
        <f t="array" ref="K153">_xlfn.IFS(J153&lt;=5,"0-5",J153&lt;=10,"6-10",J153&lt;=15,"11-15",J153&lt;=20,"16-20",J153&gt;20,"21+")</f>
        <v>11-15</v>
      </c>
      <c r="L153">
        <v>20</v>
      </c>
      <c r="M153" s="2">
        <f>L153</f>
        <v>20</v>
      </c>
      <c r="N153" s="8">
        <f t="shared" si="26"/>
        <v>20</v>
      </c>
      <c r="O153">
        <v>2.7</v>
      </c>
      <c r="P153" t="s">
        <v>151</v>
      </c>
      <c r="Q153" t="s">
        <v>2072</v>
      </c>
      <c r="R153" s="1">
        <v>0.93</v>
      </c>
      <c r="S153" s="3">
        <f>R153</f>
        <v>0.93</v>
      </c>
    </row>
    <row r="154" spans="1:19" x14ac:dyDescent="0.3">
      <c r="A154" t="s">
        <v>381</v>
      </c>
      <c r="B154" t="s">
        <v>382</v>
      </c>
      <c r="C154" t="str">
        <f t="shared" si="29"/>
        <v>Cindy Martin</v>
      </c>
      <c r="D154" t="s">
        <v>31</v>
      </c>
      <c r="E154" t="str">
        <f t="shared" si="25"/>
        <v>Female</v>
      </c>
      <c r="F154">
        <v>55</v>
      </c>
      <c r="G154" t="s">
        <v>63</v>
      </c>
      <c r="H154" t="s">
        <v>64</v>
      </c>
      <c r="I154" t="s">
        <v>15</v>
      </c>
      <c r="J154">
        <v>12</v>
      </c>
      <c r="K154" s="4" t="str" cm="1">
        <f t="array" ref="K154">_xlfn.IFS(J154&lt;=5,"0-5",J154&lt;=10,"6-10",J154&lt;=15,"11-15",J154&lt;=20,"16-20",J154&gt;20,"21+")</f>
        <v>11-15</v>
      </c>
      <c r="L154">
        <v>100</v>
      </c>
      <c r="M154" s="2">
        <f>L154</f>
        <v>100</v>
      </c>
      <c r="N154" s="8">
        <f t="shared" si="26"/>
        <v>100</v>
      </c>
      <c r="O154">
        <v>1.8</v>
      </c>
      <c r="P154">
        <v>1</v>
      </c>
      <c r="Q154" t="s">
        <v>2073</v>
      </c>
    </row>
    <row r="155" spans="1:19" x14ac:dyDescent="0.3">
      <c r="A155" t="s">
        <v>383</v>
      </c>
      <c r="B155" t="s">
        <v>384</v>
      </c>
      <c r="C155" t="str">
        <f t="shared" si="29"/>
        <v>Anne Edwards</v>
      </c>
      <c r="D155" t="s">
        <v>69</v>
      </c>
      <c r="E155" t="str">
        <f t="shared" si="25"/>
        <v>Female</v>
      </c>
      <c r="F155">
        <v>38</v>
      </c>
      <c r="G155" t="s">
        <v>77</v>
      </c>
      <c r="H155" t="s">
        <v>78</v>
      </c>
      <c r="I155" t="s">
        <v>81</v>
      </c>
      <c r="J155">
        <v>20</v>
      </c>
      <c r="K155" s="4" t="str" cm="1">
        <f t="array" ref="K155">_xlfn.IFS(J155&lt;=5,"0-5",J155&lt;=10,"6-10",J155&lt;=15,"11-15",J155&lt;=20,"16-20",J155&gt;20,"21+")</f>
        <v>16-20</v>
      </c>
      <c r="L155" t="s">
        <v>162</v>
      </c>
      <c r="M155" s="2" t="str">
        <f>SUBSTITUTE(L155,"$","")</f>
        <v>75</v>
      </c>
      <c r="N155" s="8">
        <f t="shared" si="26"/>
        <v>75</v>
      </c>
      <c r="O155">
        <v>1.1000000000000001</v>
      </c>
      <c r="P155" t="s">
        <v>151</v>
      </c>
      <c r="Q155" t="s">
        <v>2072</v>
      </c>
      <c r="R155" s="1">
        <v>0.71</v>
      </c>
      <c r="S155" s="3">
        <f t="shared" ref="S155:S156" si="31">R155</f>
        <v>0.71</v>
      </c>
    </row>
    <row r="156" spans="1:19" x14ac:dyDescent="0.3">
      <c r="A156" t="s">
        <v>385</v>
      </c>
      <c r="B156" t="s">
        <v>386</v>
      </c>
      <c r="C156" t="str">
        <f t="shared" si="29"/>
        <v>Mitchell Martin</v>
      </c>
      <c r="D156" t="s">
        <v>89</v>
      </c>
      <c r="E156" t="str">
        <f t="shared" si="25"/>
        <v>Male</v>
      </c>
      <c r="F156">
        <v>47</v>
      </c>
      <c r="G156" t="s">
        <v>104</v>
      </c>
      <c r="H156" t="s">
        <v>105</v>
      </c>
      <c r="I156" t="s">
        <v>81</v>
      </c>
      <c r="J156">
        <v>29</v>
      </c>
      <c r="K156" s="4" t="str" cm="1">
        <f t="array" ref="K156">_xlfn.IFS(J156&lt;=5,"0-5",J156&lt;=10,"6-10",J156&lt;=15,"11-15",J156&lt;=20,"16-20",J156&gt;20,"21+")</f>
        <v>21+</v>
      </c>
      <c r="L156" t="s">
        <v>28</v>
      </c>
      <c r="M156" s="2" t="str">
        <f>SUBSTITUTE(L156,"$","")</f>
        <v>40</v>
      </c>
      <c r="N156" s="8">
        <f t="shared" si="26"/>
        <v>40</v>
      </c>
      <c r="O156">
        <v>4.3</v>
      </c>
      <c r="P156">
        <v>1</v>
      </c>
      <c r="Q156" t="s">
        <v>2073</v>
      </c>
      <c r="R156" s="1">
        <v>0.95</v>
      </c>
      <c r="S156" s="3">
        <f t="shared" si="31"/>
        <v>0.95</v>
      </c>
    </row>
    <row r="157" spans="1:19" x14ac:dyDescent="0.3">
      <c r="A157" t="s">
        <v>387</v>
      </c>
      <c r="B157" t="s">
        <v>388</v>
      </c>
      <c r="C157" t="str">
        <f t="shared" si="29"/>
        <v>Mitchell Patrick</v>
      </c>
      <c r="D157" t="s">
        <v>84</v>
      </c>
      <c r="E157" t="str">
        <f t="shared" si="25"/>
        <v>Male</v>
      </c>
      <c r="F157">
        <v>60</v>
      </c>
      <c r="G157" t="s">
        <v>99</v>
      </c>
      <c r="H157" t="s">
        <v>100</v>
      </c>
      <c r="I157" t="s">
        <v>27</v>
      </c>
      <c r="J157">
        <v>15</v>
      </c>
      <c r="K157" s="4" t="str" cm="1">
        <f t="array" ref="K157">_xlfn.IFS(J157&lt;=5,"0-5",J157&lt;=10,"6-10",J157&lt;=15,"11-15",J157&lt;=20,"16-20",J157&gt;20,"21+")</f>
        <v>11-15</v>
      </c>
      <c r="L157">
        <v>100</v>
      </c>
      <c r="M157" s="2">
        <f>L157</f>
        <v>100</v>
      </c>
      <c r="N157" s="8">
        <f t="shared" si="26"/>
        <v>100</v>
      </c>
      <c r="O157">
        <v>1.5</v>
      </c>
      <c r="P157">
        <v>0</v>
      </c>
      <c r="Q157" t="s">
        <v>2072</v>
      </c>
      <c r="R157">
        <v>80</v>
      </c>
      <c r="S157" s="3">
        <f>R157/100</f>
        <v>0.8</v>
      </c>
    </row>
    <row r="158" spans="1:19" x14ac:dyDescent="0.3">
      <c r="A158" t="s">
        <v>389</v>
      </c>
      <c r="B158" t="s">
        <v>390</v>
      </c>
      <c r="C158" t="str">
        <f t="shared" si="29"/>
        <v>Rebecca Lyons</v>
      </c>
      <c r="D158" t="s">
        <v>12</v>
      </c>
      <c r="E158" t="str">
        <f t="shared" si="25"/>
        <v>Female</v>
      </c>
      <c r="F158">
        <v>43</v>
      </c>
      <c r="G158" t="s">
        <v>7</v>
      </c>
      <c r="H158" t="s">
        <v>8</v>
      </c>
      <c r="I158" t="s">
        <v>43</v>
      </c>
      <c r="J158">
        <v>9</v>
      </c>
      <c r="K158" s="4" t="str" cm="1">
        <f t="array" ref="K158">_xlfn.IFS(J158&lt;=5,"0-5",J158&lt;=10,"6-10",J158&lt;=15,"11-15",J158&lt;=20,"16-20",J158&gt;20,"21+")</f>
        <v>6-10</v>
      </c>
      <c r="L158" t="s">
        <v>113</v>
      </c>
      <c r="M158" s="2" t="str">
        <f>SUBSTITUTE(L158,"$","")</f>
        <v>20</v>
      </c>
      <c r="N158" s="8">
        <f t="shared" si="26"/>
        <v>20</v>
      </c>
      <c r="O158">
        <v>2.2000000000000002</v>
      </c>
      <c r="P158" t="s">
        <v>23</v>
      </c>
      <c r="Q158" t="s">
        <v>2072</v>
      </c>
    </row>
    <row r="159" spans="1:19" x14ac:dyDescent="0.3">
      <c r="A159" t="s">
        <v>391</v>
      </c>
      <c r="B159" t="s">
        <v>392</v>
      </c>
      <c r="C159" t="str">
        <f t="shared" si="29"/>
        <v>Christian Lopez</v>
      </c>
      <c r="D159" t="s">
        <v>89</v>
      </c>
      <c r="E159" t="str">
        <f t="shared" si="25"/>
        <v>Male</v>
      </c>
      <c r="F159">
        <v>56</v>
      </c>
      <c r="G159" t="s">
        <v>145</v>
      </c>
      <c r="H159" t="s">
        <v>146</v>
      </c>
      <c r="I159" t="s">
        <v>43</v>
      </c>
      <c r="K159" s="4" t="str" cm="1">
        <f t="array" ref="K159">_xlfn.IFS(J159&lt;=5,"0-5",J159&lt;=10,"6-10",J159&lt;=15,"11-15",J159&lt;=20,"16-20",J159&gt;20,"21+")</f>
        <v>0-5</v>
      </c>
      <c r="L159">
        <v>100</v>
      </c>
      <c r="M159" s="2">
        <f>L159</f>
        <v>100</v>
      </c>
      <c r="N159" s="8">
        <f t="shared" si="26"/>
        <v>100</v>
      </c>
      <c r="O159">
        <v>3.2</v>
      </c>
      <c r="P159">
        <v>0</v>
      </c>
      <c r="Q159" t="s">
        <v>2072</v>
      </c>
      <c r="R159" s="1">
        <v>0.62</v>
      </c>
      <c r="S159" s="3">
        <f t="shared" ref="S159:S163" si="32">R159</f>
        <v>0.62</v>
      </c>
    </row>
    <row r="160" spans="1:19" x14ac:dyDescent="0.3">
      <c r="A160" t="s">
        <v>393</v>
      </c>
      <c r="B160" t="s">
        <v>394</v>
      </c>
      <c r="C160" t="str">
        <f t="shared" si="29"/>
        <v>Nathan Blair</v>
      </c>
      <c r="D160" t="s">
        <v>19</v>
      </c>
      <c r="E160" t="str">
        <f t="shared" si="25"/>
        <v>Male</v>
      </c>
      <c r="F160">
        <v>42</v>
      </c>
      <c r="G160" t="s">
        <v>116</v>
      </c>
      <c r="H160" t="s">
        <v>117</v>
      </c>
      <c r="I160" t="s">
        <v>81</v>
      </c>
      <c r="J160">
        <v>2</v>
      </c>
      <c r="K160" s="4" t="str" cm="1">
        <f t="array" ref="K160">_xlfn.IFS(J160&lt;=5,"0-5",J160&lt;=10,"6-10",J160&lt;=15,"11-15",J160&lt;=20,"16-20",J160&gt;20,"21+")</f>
        <v>0-5</v>
      </c>
      <c r="L160" t="s">
        <v>56</v>
      </c>
      <c r="M160" s="2" t="str">
        <f>SUBSTITUTE(L160,"$","")</f>
        <v>50</v>
      </c>
      <c r="N160" s="8">
        <f t="shared" si="26"/>
        <v>50</v>
      </c>
      <c r="O160">
        <v>1.9</v>
      </c>
      <c r="P160" t="b">
        <v>0</v>
      </c>
      <c r="Q160" t="s">
        <v>2072</v>
      </c>
      <c r="R160" s="1">
        <v>0.95</v>
      </c>
      <c r="S160" s="3">
        <f t="shared" si="32"/>
        <v>0.95</v>
      </c>
    </row>
    <row r="161" spans="1:19" x14ac:dyDescent="0.3">
      <c r="A161" t="s">
        <v>395</v>
      </c>
      <c r="B161" t="s">
        <v>396</v>
      </c>
      <c r="C161" t="str">
        <f t="shared" si="29"/>
        <v>Patricia Lopez</v>
      </c>
      <c r="D161" t="s">
        <v>69</v>
      </c>
      <c r="E161" t="str">
        <f t="shared" si="25"/>
        <v>Female</v>
      </c>
      <c r="F161">
        <v>20</v>
      </c>
      <c r="G161" t="s">
        <v>182</v>
      </c>
      <c r="H161" t="s">
        <v>64</v>
      </c>
      <c r="I161" t="s">
        <v>22</v>
      </c>
      <c r="J161">
        <v>0</v>
      </c>
      <c r="K161" s="4" t="str" cm="1">
        <f t="array" ref="K161">_xlfn.IFS(J161&lt;=5,"0-5",J161&lt;=10,"6-10",J161&lt;=15,"11-15",J161&lt;=20,"16-20",J161&gt;20,"21+")</f>
        <v>0-5</v>
      </c>
      <c r="L161">
        <v>40</v>
      </c>
      <c r="M161" s="2">
        <f>L161</f>
        <v>40</v>
      </c>
      <c r="N161" s="8">
        <f t="shared" si="26"/>
        <v>40</v>
      </c>
      <c r="O161">
        <v>2.5</v>
      </c>
      <c r="P161">
        <v>0</v>
      </c>
      <c r="Q161" t="s">
        <v>2072</v>
      </c>
      <c r="R161" s="1">
        <v>0.79</v>
      </c>
      <c r="S161" s="3">
        <f t="shared" si="32"/>
        <v>0.79</v>
      </c>
    </row>
    <row r="162" spans="1:19" x14ac:dyDescent="0.3">
      <c r="A162" t="s">
        <v>397</v>
      </c>
      <c r="B162" t="s">
        <v>398</v>
      </c>
      <c r="C162" t="str">
        <f t="shared" si="29"/>
        <v>Michelle Wu</v>
      </c>
      <c r="D162" t="s">
        <v>31</v>
      </c>
      <c r="E162" t="str">
        <f t="shared" si="25"/>
        <v>Female</v>
      </c>
      <c r="F162">
        <v>47</v>
      </c>
      <c r="G162" t="s">
        <v>41</v>
      </c>
      <c r="H162" t="s">
        <v>42</v>
      </c>
      <c r="I162" t="s">
        <v>65</v>
      </c>
      <c r="J162">
        <v>12</v>
      </c>
      <c r="K162" s="4" t="str" cm="1">
        <f t="array" ref="K162">_xlfn.IFS(J162&lt;=5,"0-5",J162&lt;=10,"6-10",J162&lt;=15,"11-15",J162&lt;=20,"16-20",J162&gt;20,"21+")</f>
        <v>11-15</v>
      </c>
      <c r="L162">
        <v>40</v>
      </c>
      <c r="M162" s="2">
        <f>L162</f>
        <v>40</v>
      </c>
      <c r="N162" s="8">
        <f t="shared" si="26"/>
        <v>40</v>
      </c>
      <c r="O162">
        <v>4.5</v>
      </c>
      <c r="P162" t="s">
        <v>151</v>
      </c>
      <c r="Q162" t="s">
        <v>2072</v>
      </c>
      <c r="R162" s="1">
        <v>0.62</v>
      </c>
      <c r="S162" s="3">
        <f t="shared" si="32"/>
        <v>0.62</v>
      </c>
    </row>
    <row r="163" spans="1:19" x14ac:dyDescent="0.3">
      <c r="A163" t="s">
        <v>399</v>
      </c>
      <c r="B163" t="s">
        <v>400</v>
      </c>
      <c r="C163" t="str">
        <f t="shared" si="29"/>
        <v>Donald Mitchell</v>
      </c>
      <c r="D163" t="s">
        <v>40</v>
      </c>
      <c r="E163" t="str">
        <f t="shared" si="25"/>
        <v>Male</v>
      </c>
      <c r="G163" t="s">
        <v>63</v>
      </c>
      <c r="H163" t="s">
        <v>64</v>
      </c>
      <c r="I163" t="s">
        <v>43</v>
      </c>
      <c r="J163">
        <v>12</v>
      </c>
      <c r="K163" s="4" t="str" cm="1">
        <f t="array" ref="K163">_xlfn.IFS(J163&lt;=5,"0-5",J163&lt;=10,"6-10",J163&lt;=15,"11-15",J163&lt;=20,"16-20",J163&gt;20,"21+")</f>
        <v>11-15</v>
      </c>
      <c r="L163" t="s">
        <v>37</v>
      </c>
      <c r="M163" s="2" t="str">
        <f>SUBSTITUTE(L163,"$","")</f>
        <v>30</v>
      </c>
      <c r="N163" s="8">
        <f t="shared" si="26"/>
        <v>30</v>
      </c>
      <c r="O163">
        <v>4.0999999999999996</v>
      </c>
      <c r="P163" t="s">
        <v>151</v>
      </c>
      <c r="Q163" t="s">
        <v>2072</v>
      </c>
      <c r="R163" s="1">
        <v>0.68</v>
      </c>
      <c r="S163" s="3">
        <f t="shared" si="32"/>
        <v>0.68</v>
      </c>
    </row>
    <row r="164" spans="1:19" x14ac:dyDescent="0.3">
      <c r="A164" t="s">
        <v>401</v>
      </c>
      <c r="B164" t="s">
        <v>402</v>
      </c>
      <c r="C164" t="str">
        <f t="shared" si="29"/>
        <v>Sean Gordon</v>
      </c>
      <c r="D164" t="s">
        <v>84</v>
      </c>
      <c r="E164" t="str">
        <f t="shared" si="25"/>
        <v>Male</v>
      </c>
      <c r="F164">
        <v>56</v>
      </c>
      <c r="G164" t="s">
        <v>41</v>
      </c>
      <c r="H164" t="s">
        <v>42</v>
      </c>
      <c r="I164" t="s">
        <v>81</v>
      </c>
      <c r="J164">
        <v>15</v>
      </c>
      <c r="K164" s="4" t="str" cm="1">
        <f t="array" ref="K164">_xlfn.IFS(J164&lt;=5,"0-5",J164&lt;=10,"6-10",J164&lt;=15,"11-15",J164&lt;=20,"16-20",J164&gt;20,"21+")</f>
        <v>11-15</v>
      </c>
      <c r="L164" t="s">
        <v>44</v>
      </c>
      <c r="M164" s="2" t="str">
        <f>TRIM(MID(L164,FIND(" ",L164)+1,LEN(L164)))</f>
        <v>75</v>
      </c>
      <c r="N164" s="8">
        <f t="shared" si="26"/>
        <v>75</v>
      </c>
      <c r="O164">
        <v>0</v>
      </c>
      <c r="P164" t="s">
        <v>151</v>
      </c>
      <c r="Q164" t="s">
        <v>2072</v>
      </c>
    </row>
    <row r="165" spans="1:19" x14ac:dyDescent="0.3">
      <c r="A165" t="s">
        <v>403</v>
      </c>
      <c r="B165" t="s">
        <v>404</v>
      </c>
      <c r="C165" t="str">
        <f t="shared" si="29"/>
        <v>Gregory Clarke</v>
      </c>
      <c r="D165" t="s">
        <v>89</v>
      </c>
      <c r="E165" t="str">
        <f t="shared" si="25"/>
        <v>Male</v>
      </c>
      <c r="F165">
        <v>59</v>
      </c>
      <c r="G165" t="s">
        <v>59</v>
      </c>
      <c r="H165" t="s">
        <v>14</v>
      </c>
      <c r="I165" t="s">
        <v>81</v>
      </c>
      <c r="J165">
        <v>29</v>
      </c>
      <c r="K165" s="4" t="str" cm="1">
        <f t="array" ref="K165">_xlfn.IFS(J165&lt;=5,"0-5",J165&lt;=10,"6-10",J165&lt;=15,"11-15",J165&lt;=20,"16-20",J165&gt;20,"21+")</f>
        <v>21+</v>
      </c>
      <c r="L165" t="s">
        <v>44</v>
      </c>
      <c r="M165" s="2" t="str">
        <f>TRIM(MID(L165,FIND(" ",L165)+1,LEN(L165)))</f>
        <v>75</v>
      </c>
      <c r="N165" s="8">
        <f t="shared" si="26"/>
        <v>75</v>
      </c>
      <c r="P165">
        <v>0</v>
      </c>
      <c r="Q165" t="s">
        <v>2072</v>
      </c>
      <c r="R165" s="1">
        <v>0.8</v>
      </c>
      <c r="S165" s="3">
        <f t="shared" ref="S165:S169" si="33">R165</f>
        <v>0.8</v>
      </c>
    </row>
    <row r="166" spans="1:19" x14ac:dyDescent="0.3">
      <c r="A166" t="s">
        <v>405</v>
      </c>
      <c r="B166" t="s">
        <v>406</v>
      </c>
      <c r="C166" t="str">
        <f t="shared" si="29"/>
        <v>Steven Whitney</v>
      </c>
      <c r="D166" t="s">
        <v>53</v>
      </c>
      <c r="E166" t="str">
        <f t="shared" si="25"/>
        <v>Male</v>
      </c>
      <c r="F166">
        <v>56</v>
      </c>
      <c r="G166" t="s">
        <v>77</v>
      </c>
      <c r="H166" t="s">
        <v>78</v>
      </c>
      <c r="I166" t="s">
        <v>70</v>
      </c>
      <c r="J166">
        <v>15</v>
      </c>
      <c r="K166" s="4" t="str" cm="1">
        <f t="array" ref="K166">_xlfn.IFS(J166&lt;=5,"0-5",J166&lt;=10,"6-10",J166&lt;=15,"11-15",J166&lt;=20,"16-20",J166&gt;20,"21+")</f>
        <v>11-15</v>
      </c>
      <c r="L166">
        <v>40</v>
      </c>
      <c r="M166" s="2">
        <f>L166</f>
        <v>40</v>
      </c>
      <c r="N166" s="8">
        <f t="shared" si="26"/>
        <v>40</v>
      </c>
      <c r="O166">
        <v>3.7</v>
      </c>
      <c r="R166" s="1">
        <v>0.92</v>
      </c>
      <c r="S166" s="3">
        <f t="shared" si="33"/>
        <v>0.92</v>
      </c>
    </row>
    <row r="167" spans="1:19" x14ac:dyDescent="0.3">
      <c r="A167" t="s">
        <v>407</v>
      </c>
      <c r="B167" t="s">
        <v>408</v>
      </c>
      <c r="C167" t="str">
        <f t="shared" si="29"/>
        <v>Robin Acosta</v>
      </c>
      <c r="D167" t="s">
        <v>31</v>
      </c>
      <c r="E167" t="str">
        <f t="shared" si="25"/>
        <v>Female</v>
      </c>
      <c r="F167">
        <v>31</v>
      </c>
      <c r="G167" t="s">
        <v>145</v>
      </c>
      <c r="H167" t="s">
        <v>146</v>
      </c>
      <c r="I167" t="s">
        <v>27</v>
      </c>
      <c r="K167" s="4" t="str" cm="1">
        <f t="array" ref="K167">_xlfn.IFS(J167&lt;=5,"0-5",J167&lt;=10,"6-10",J167&lt;=15,"11-15",J167&lt;=20,"16-20",J167&gt;20,"21+")</f>
        <v>0-5</v>
      </c>
      <c r="L167" t="s">
        <v>44</v>
      </c>
      <c r="M167" s="2" t="str">
        <f>TRIM(MID(L167,FIND(" ",L167)+1,LEN(L167)))</f>
        <v>75</v>
      </c>
      <c r="N167" s="8">
        <f t="shared" si="26"/>
        <v>75</v>
      </c>
      <c r="O167">
        <v>1.3</v>
      </c>
      <c r="P167">
        <v>1</v>
      </c>
      <c r="Q167" t="s">
        <v>2073</v>
      </c>
      <c r="R167" s="1">
        <v>0.65</v>
      </c>
      <c r="S167" s="3">
        <f t="shared" si="33"/>
        <v>0.65</v>
      </c>
    </row>
    <row r="168" spans="1:19" x14ac:dyDescent="0.3">
      <c r="A168" t="s">
        <v>409</v>
      </c>
      <c r="B168" t="s">
        <v>410</v>
      </c>
      <c r="C168" t="str">
        <f t="shared" si="29"/>
        <v>John Smith</v>
      </c>
      <c r="D168" t="s">
        <v>40</v>
      </c>
      <c r="E168" t="str">
        <f t="shared" si="25"/>
        <v>Male</v>
      </c>
      <c r="F168">
        <v>60</v>
      </c>
      <c r="G168" t="s">
        <v>104</v>
      </c>
      <c r="H168" t="s">
        <v>105</v>
      </c>
      <c r="I168" t="s">
        <v>15</v>
      </c>
      <c r="J168">
        <v>33</v>
      </c>
      <c r="K168" s="4" t="str" cm="1">
        <f t="array" ref="K168">_xlfn.IFS(J168&lt;=5,"0-5",J168&lt;=10,"6-10",J168&lt;=15,"11-15",J168&lt;=20,"16-20",J168&gt;20,"21+")</f>
        <v>21+</v>
      </c>
      <c r="L168">
        <v>40</v>
      </c>
      <c r="M168" s="2">
        <f t="shared" ref="M168:M173" si="34">L168</f>
        <v>40</v>
      </c>
      <c r="N168" s="8">
        <f t="shared" si="26"/>
        <v>40</v>
      </c>
      <c r="O168">
        <v>3.6</v>
      </c>
      <c r="P168">
        <v>1</v>
      </c>
      <c r="Q168" t="s">
        <v>2073</v>
      </c>
      <c r="R168" s="1">
        <v>0.87</v>
      </c>
      <c r="S168" s="3">
        <f t="shared" si="33"/>
        <v>0.87</v>
      </c>
    </row>
    <row r="169" spans="1:19" x14ac:dyDescent="0.3">
      <c r="A169" t="s">
        <v>411</v>
      </c>
      <c r="B169" t="s">
        <v>412</v>
      </c>
      <c r="C169" t="str">
        <f t="shared" si="29"/>
        <v>Susan Baker</v>
      </c>
      <c r="D169" t="s">
        <v>12</v>
      </c>
      <c r="E169" t="str">
        <f t="shared" si="25"/>
        <v>Female</v>
      </c>
      <c r="F169">
        <v>31</v>
      </c>
      <c r="G169" t="s">
        <v>120</v>
      </c>
      <c r="H169" t="s">
        <v>14</v>
      </c>
      <c r="I169" t="s">
        <v>27</v>
      </c>
      <c r="J169">
        <v>10</v>
      </c>
      <c r="K169" s="4" t="str" cm="1">
        <f t="array" ref="K169">_xlfn.IFS(J169&lt;=5,"0-5",J169&lt;=10,"6-10",J169&lt;=15,"11-15",J169&lt;=20,"16-20",J169&gt;20,"21+")</f>
        <v>6-10</v>
      </c>
      <c r="L169">
        <v>75</v>
      </c>
      <c r="M169" s="2">
        <f t="shared" si="34"/>
        <v>75</v>
      </c>
      <c r="N169" s="8">
        <f t="shared" si="26"/>
        <v>75</v>
      </c>
      <c r="O169">
        <v>0</v>
      </c>
      <c r="P169" t="s">
        <v>151</v>
      </c>
      <c r="Q169" t="s">
        <v>2072</v>
      </c>
      <c r="R169" s="1">
        <v>0.7</v>
      </c>
      <c r="S169" s="3">
        <f t="shared" si="33"/>
        <v>0.7</v>
      </c>
    </row>
    <row r="170" spans="1:19" x14ac:dyDescent="0.3">
      <c r="A170" t="s">
        <v>413</v>
      </c>
      <c r="B170" t="s">
        <v>414</v>
      </c>
      <c r="C170" t="str">
        <f t="shared" si="29"/>
        <v>Anthony Larsen</v>
      </c>
      <c r="D170" t="s">
        <v>53</v>
      </c>
      <c r="E170" t="str">
        <f t="shared" si="25"/>
        <v>Male</v>
      </c>
      <c r="F170">
        <v>60</v>
      </c>
      <c r="G170" t="s">
        <v>63</v>
      </c>
      <c r="H170" t="s">
        <v>64</v>
      </c>
      <c r="I170" t="s">
        <v>70</v>
      </c>
      <c r="J170">
        <v>20</v>
      </c>
      <c r="K170" s="4" t="str" cm="1">
        <f t="array" ref="K170">_xlfn.IFS(J170&lt;=5,"0-5",J170&lt;=10,"6-10",J170&lt;=15,"11-15",J170&lt;=20,"16-20",J170&gt;20,"21+")</f>
        <v>16-20</v>
      </c>
      <c r="L170">
        <v>40</v>
      </c>
      <c r="M170" s="2">
        <f t="shared" si="34"/>
        <v>40</v>
      </c>
      <c r="N170" s="8">
        <f t="shared" si="26"/>
        <v>40</v>
      </c>
      <c r="O170">
        <v>1.4</v>
      </c>
      <c r="P170" t="s">
        <v>151</v>
      </c>
      <c r="Q170" t="s">
        <v>2072</v>
      </c>
      <c r="R170">
        <v>87</v>
      </c>
      <c r="S170" s="3">
        <f>R170/100</f>
        <v>0.87</v>
      </c>
    </row>
    <row r="171" spans="1:19" x14ac:dyDescent="0.3">
      <c r="A171" t="s">
        <v>415</v>
      </c>
      <c r="B171" t="s">
        <v>416</v>
      </c>
      <c r="C171" t="str">
        <f t="shared" si="29"/>
        <v>Nicholas Carpenter</v>
      </c>
      <c r="D171" t="s">
        <v>53</v>
      </c>
      <c r="E171" t="str">
        <f t="shared" si="25"/>
        <v>Male</v>
      </c>
      <c r="F171">
        <v>46</v>
      </c>
      <c r="G171" t="s">
        <v>127</v>
      </c>
      <c r="H171" t="s">
        <v>128</v>
      </c>
      <c r="I171" t="s">
        <v>81</v>
      </c>
      <c r="J171">
        <v>23</v>
      </c>
      <c r="K171" s="4" t="str" cm="1">
        <f t="array" ref="K171">_xlfn.IFS(J171&lt;=5,"0-5",J171&lt;=10,"6-10",J171&lt;=15,"11-15",J171&lt;=20,"16-20",J171&gt;20,"21+")</f>
        <v>21+</v>
      </c>
      <c r="L171">
        <v>20</v>
      </c>
      <c r="M171" s="2">
        <f t="shared" si="34"/>
        <v>20</v>
      </c>
      <c r="N171" s="8">
        <f t="shared" si="26"/>
        <v>20</v>
      </c>
      <c r="O171">
        <v>2.9</v>
      </c>
      <c r="P171" t="s">
        <v>23</v>
      </c>
      <c r="Q171" t="s">
        <v>2072</v>
      </c>
      <c r="R171" s="1">
        <v>0.72</v>
      </c>
      <c r="S171" s="3">
        <f t="shared" ref="S171:S173" si="35">R171</f>
        <v>0.72</v>
      </c>
    </row>
    <row r="172" spans="1:19" x14ac:dyDescent="0.3">
      <c r="A172" t="s">
        <v>417</v>
      </c>
      <c r="B172" t="s">
        <v>418</v>
      </c>
      <c r="C172" t="str">
        <f t="shared" si="29"/>
        <v>Debra Salazar</v>
      </c>
      <c r="D172" t="s">
        <v>26</v>
      </c>
      <c r="E172" t="str">
        <f t="shared" si="25"/>
        <v>Female</v>
      </c>
      <c r="G172" t="s">
        <v>34</v>
      </c>
      <c r="H172" t="s">
        <v>35</v>
      </c>
      <c r="I172" t="s">
        <v>9</v>
      </c>
      <c r="K172" s="4" t="str" cm="1">
        <f t="array" ref="K172">_xlfn.IFS(J172&lt;=5,"0-5",J172&lt;=10,"6-10",J172&lt;=15,"11-15",J172&lt;=20,"16-20",J172&gt;20,"21+")</f>
        <v>0-5</v>
      </c>
      <c r="L172">
        <v>40</v>
      </c>
      <c r="M172" s="2">
        <f t="shared" si="34"/>
        <v>40</v>
      </c>
      <c r="N172" s="8">
        <f t="shared" si="26"/>
        <v>40</v>
      </c>
      <c r="O172">
        <v>2.8</v>
      </c>
      <c r="P172" t="s">
        <v>23</v>
      </c>
      <c r="Q172" t="s">
        <v>2072</v>
      </c>
      <c r="R172" s="1">
        <v>0.8</v>
      </c>
      <c r="S172" s="3">
        <f t="shared" si="35"/>
        <v>0.8</v>
      </c>
    </row>
    <row r="173" spans="1:19" x14ac:dyDescent="0.3">
      <c r="A173" t="s">
        <v>419</v>
      </c>
      <c r="B173" t="s">
        <v>420</v>
      </c>
      <c r="C173" t="str">
        <f t="shared" si="29"/>
        <v>William Smith</v>
      </c>
      <c r="D173" t="s">
        <v>89</v>
      </c>
      <c r="E173" t="str">
        <f t="shared" si="25"/>
        <v>Male</v>
      </c>
      <c r="F173">
        <v>34</v>
      </c>
      <c r="G173" t="s">
        <v>77</v>
      </c>
      <c r="H173" t="s">
        <v>78</v>
      </c>
      <c r="I173" t="s">
        <v>65</v>
      </c>
      <c r="J173">
        <v>0</v>
      </c>
      <c r="K173" s="4" t="str" cm="1">
        <f t="array" ref="K173">_xlfn.IFS(J173&lt;=5,"0-5",J173&lt;=10,"6-10",J173&lt;=15,"11-15",J173&lt;=20,"16-20",J173&gt;20,"21+")</f>
        <v>0-5</v>
      </c>
      <c r="L173">
        <v>20</v>
      </c>
      <c r="M173" s="2">
        <f t="shared" si="34"/>
        <v>20</v>
      </c>
      <c r="N173" s="8">
        <f t="shared" si="26"/>
        <v>20</v>
      </c>
      <c r="O173">
        <v>1.7</v>
      </c>
      <c r="P173">
        <v>0</v>
      </c>
      <c r="Q173" t="s">
        <v>2072</v>
      </c>
      <c r="R173" s="1">
        <v>0.66</v>
      </c>
      <c r="S173" s="3">
        <f t="shared" si="35"/>
        <v>0.66</v>
      </c>
    </row>
    <row r="174" spans="1:19" x14ac:dyDescent="0.3">
      <c r="A174" t="s">
        <v>421</v>
      </c>
      <c r="B174" t="s">
        <v>422</v>
      </c>
      <c r="C174" t="str">
        <f t="shared" si="29"/>
        <v>Caroline Gross</v>
      </c>
      <c r="D174" t="s">
        <v>6</v>
      </c>
      <c r="E174" t="str">
        <f t="shared" si="25"/>
        <v>Female</v>
      </c>
      <c r="F174">
        <v>42</v>
      </c>
      <c r="G174" t="s">
        <v>34</v>
      </c>
      <c r="H174" t="s">
        <v>35</v>
      </c>
      <c r="I174" t="s">
        <v>22</v>
      </c>
      <c r="J174">
        <v>7</v>
      </c>
      <c r="K174" s="4" t="str" cm="1">
        <f t="array" ref="K174">_xlfn.IFS(J174&lt;=5,"0-5",J174&lt;=10,"6-10",J174&lt;=15,"11-15",J174&lt;=20,"16-20",J174&gt;20,"21+")</f>
        <v>6-10</v>
      </c>
      <c r="L174" t="s">
        <v>47</v>
      </c>
      <c r="M174" s="2" t="str">
        <f>TRIM(MID(L174,FIND(" ",L174)+1,LEN(L174)))</f>
        <v>40</v>
      </c>
      <c r="N174" s="8">
        <f t="shared" si="26"/>
        <v>40</v>
      </c>
      <c r="O174">
        <v>0</v>
      </c>
      <c r="P174">
        <v>1</v>
      </c>
      <c r="Q174" t="s">
        <v>2073</v>
      </c>
    </row>
    <row r="175" spans="1:19" x14ac:dyDescent="0.3">
      <c r="A175" t="s">
        <v>423</v>
      </c>
      <c r="B175" t="s">
        <v>424</v>
      </c>
      <c r="C175" t="str">
        <f t="shared" si="29"/>
        <v>Jeremy Sawyer</v>
      </c>
      <c r="D175" t="s">
        <v>84</v>
      </c>
      <c r="E175" t="str">
        <f t="shared" si="25"/>
        <v>Male</v>
      </c>
      <c r="F175">
        <v>31</v>
      </c>
      <c r="G175" t="s">
        <v>59</v>
      </c>
      <c r="H175" t="s">
        <v>14</v>
      </c>
      <c r="I175" t="s">
        <v>43</v>
      </c>
      <c r="J175">
        <v>4</v>
      </c>
      <c r="K175" s="4" t="str" cm="1">
        <f t="array" ref="K175">_xlfn.IFS(J175&lt;=5,"0-5",J175&lt;=10,"6-10",J175&lt;=15,"11-15",J175&lt;=20,"16-20",J175&gt;20,"21+")</f>
        <v>0-5</v>
      </c>
      <c r="L175" t="s">
        <v>44</v>
      </c>
      <c r="M175" s="2" t="str">
        <f>TRIM(MID(L175,FIND(" ",L175)+1,LEN(L175)))</f>
        <v>75</v>
      </c>
      <c r="N175" s="8">
        <f t="shared" si="26"/>
        <v>75</v>
      </c>
      <c r="O175">
        <v>1.1000000000000001</v>
      </c>
      <c r="P175" t="b">
        <v>1</v>
      </c>
      <c r="Q175" t="s">
        <v>2073</v>
      </c>
      <c r="R175" s="1">
        <v>0.64</v>
      </c>
      <c r="S175" s="3">
        <f t="shared" ref="S175:S187" si="36">R175</f>
        <v>0.64</v>
      </c>
    </row>
    <row r="176" spans="1:19" x14ac:dyDescent="0.3">
      <c r="A176" t="s">
        <v>425</v>
      </c>
      <c r="B176" t="s">
        <v>426</v>
      </c>
      <c r="C176" t="str">
        <f t="shared" si="29"/>
        <v>Eduardo Burns</v>
      </c>
      <c r="D176" t="s">
        <v>19</v>
      </c>
      <c r="E176" t="str">
        <f t="shared" si="25"/>
        <v>Male</v>
      </c>
      <c r="F176">
        <v>29</v>
      </c>
      <c r="G176" t="s">
        <v>99</v>
      </c>
      <c r="H176" t="s">
        <v>100</v>
      </c>
      <c r="I176" t="s">
        <v>65</v>
      </c>
      <c r="J176">
        <v>9</v>
      </c>
      <c r="K176" s="4" t="str" cm="1">
        <f t="array" ref="K176">_xlfn.IFS(J176&lt;=5,"0-5",J176&lt;=10,"6-10",J176&lt;=15,"11-15",J176&lt;=20,"16-20",J176&gt;20,"21+")</f>
        <v>6-10</v>
      </c>
      <c r="L176">
        <v>20</v>
      </c>
      <c r="M176" s="2">
        <f>L176</f>
        <v>20</v>
      </c>
      <c r="N176" s="8">
        <f t="shared" si="26"/>
        <v>20</v>
      </c>
      <c r="R176" s="1">
        <v>0.68</v>
      </c>
      <c r="S176" s="3">
        <f t="shared" si="36"/>
        <v>0.68</v>
      </c>
    </row>
    <row r="177" spans="1:19" x14ac:dyDescent="0.3">
      <c r="A177" t="s">
        <v>427</v>
      </c>
      <c r="B177" t="s">
        <v>428</v>
      </c>
      <c r="C177" t="str">
        <f t="shared" si="29"/>
        <v>Amanda Jones</v>
      </c>
      <c r="D177" t="s">
        <v>31</v>
      </c>
      <c r="E177" t="str">
        <f t="shared" si="25"/>
        <v>Female</v>
      </c>
      <c r="F177">
        <v>57</v>
      </c>
      <c r="G177" t="s">
        <v>13</v>
      </c>
      <c r="H177" t="s">
        <v>14</v>
      </c>
      <c r="I177" t="s">
        <v>22</v>
      </c>
      <c r="J177">
        <v>17</v>
      </c>
      <c r="K177" s="4" t="str" cm="1">
        <f t="array" ref="K177">_xlfn.IFS(J177&lt;=5,"0-5",J177&lt;=10,"6-10",J177&lt;=15,"11-15",J177&lt;=20,"16-20",J177&gt;20,"21+")</f>
        <v>16-20</v>
      </c>
      <c r="L177">
        <v>20</v>
      </c>
      <c r="M177" s="2">
        <f>L177</f>
        <v>20</v>
      </c>
      <c r="N177" s="8">
        <f t="shared" si="26"/>
        <v>20</v>
      </c>
      <c r="O177">
        <v>3.6</v>
      </c>
      <c r="P177">
        <v>0</v>
      </c>
      <c r="Q177" t="s">
        <v>2072</v>
      </c>
      <c r="R177" s="1">
        <v>0.63</v>
      </c>
      <c r="S177" s="3">
        <f t="shared" si="36"/>
        <v>0.63</v>
      </c>
    </row>
    <row r="178" spans="1:19" x14ac:dyDescent="0.3">
      <c r="A178" t="s">
        <v>429</v>
      </c>
      <c r="B178" t="s">
        <v>430</v>
      </c>
      <c r="C178" t="str">
        <f t="shared" si="29"/>
        <v>Frederick Ware</v>
      </c>
      <c r="D178" t="s">
        <v>53</v>
      </c>
      <c r="E178" t="str">
        <f t="shared" si="25"/>
        <v>Male</v>
      </c>
      <c r="F178">
        <v>47</v>
      </c>
      <c r="G178" t="s">
        <v>85</v>
      </c>
      <c r="H178" t="s">
        <v>86</v>
      </c>
      <c r="I178" t="s">
        <v>81</v>
      </c>
      <c r="J178">
        <v>8</v>
      </c>
      <c r="K178" s="4" t="str" cm="1">
        <f t="array" ref="K178">_xlfn.IFS(J178&lt;=5,"0-5",J178&lt;=10,"6-10",J178&lt;=15,"11-15",J178&lt;=20,"16-20",J178&gt;20,"21+")</f>
        <v>6-10</v>
      </c>
      <c r="L178">
        <v>20</v>
      </c>
      <c r="M178" s="2">
        <f>L178</f>
        <v>20</v>
      </c>
      <c r="N178" s="8">
        <f t="shared" si="26"/>
        <v>20</v>
      </c>
      <c r="O178">
        <v>4.5</v>
      </c>
      <c r="P178">
        <v>1</v>
      </c>
      <c r="Q178" t="s">
        <v>2073</v>
      </c>
      <c r="R178" s="1">
        <v>0.72</v>
      </c>
      <c r="S178" s="3">
        <f t="shared" si="36"/>
        <v>0.72</v>
      </c>
    </row>
    <row r="179" spans="1:19" x14ac:dyDescent="0.3">
      <c r="A179" t="s">
        <v>431</v>
      </c>
      <c r="B179" t="s">
        <v>432</v>
      </c>
      <c r="C179" t="str">
        <f t="shared" si="29"/>
        <v>Michael Black</v>
      </c>
      <c r="D179" t="s">
        <v>53</v>
      </c>
      <c r="E179" t="str">
        <f t="shared" si="25"/>
        <v>Male</v>
      </c>
      <c r="F179">
        <v>47</v>
      </c>
      <c r="G179" t="s">
        <v>145</v>
      </c>
      <c r="H179" t="s">
        <v>146</v>
      </c>
      <c r="I179" t="s">
        <v>36</v>
      </c>
      <c r="J179">
        <v>14</v>
      </c>
      <c r="K179" s="4" t="str" cm="1">
        <f t="array" ref="K179">_xlfn.IFS(J179&lt;=5,"0-5",J179&lt;=10,"6-10",J179&lt;=15,"11-15",J179&lt;=20,"16-20",J179&gt;20,"21+")</f>
        <v>11-15</v>
      </c>
      <c r="L179" t="s">
        <v>37</v>
      </c>
      <c r="M179" s="2" t="str">
        <f>SUBSTITUTE(L179,"$","")</f>
        <v>30</v>
      </c>
      <c r="N179" s="8">
        <f t="shared" si="26"/>
        <v>30</v>
      </c>
      <c r="O179">
        <v>0</v>
      </c>
      <c r="P179" t="b">
        <v>1</v>
      </c>
      <c r="Q179" t="s">
        <v>2073</v>
      </c>
      <c r="R179" s="1">
        <v>0.86</v>
      </c>
      <c r="S179" s="3">
        <f t="shared" si="36"/>
        <v>0.86</v>
      </c>
    </row>
    <row r="180" spans="1:19" x14ac:dyDescent="0.3">
      <c r="A180" t="s">
        <v>433</v>
      </c>
      <c r="B180" t="s">
        <v>434</v>
      </c>
      <c r="C180" t="str">
        <f t="shared" si="29"/>
        <v>Patricia Sanders</v>
      </c>
      <c r="D180" t="s">
        <v>12</v>
      </c>
      <c r="E180" t="str">
        <f t="shared" si="25"/>
        <v>Female</v>
      </c>
      <c r="F180">
        <v>45</v>
      </c>
      <c r="G180" t="s">
        <v>127</v>
      </c>
      <c r="H180" t="s">
        <v>128</v>
      </c>
      <c r="I180" t="s">
        <v>22</v>
      </c>
      <c r="J180">
        <v>21</v>
      </c>
      <c r="K180" s="4" t="str" cm="1">
        <f t="array" ref="K180">_xlfn.IFS(J180&lt;=5,"0-5",J180&lt;=10,"6-10",J180&lt;=15,"11-15",J180&lt;=20,"16-20",J180&gt;20,"21+")</f>
        <v>21+</v>
      </c>
      <c r="L180" t="s">
        <v>101</v>
      </c>
      <c r="M180" s="2" t="str">
        <f>TRIM(MID(L180,FIND(" ",L180)+1,LEN(L180)))</f>
        <v>30</v>
      </c>
      <c r="N180" s="8">
        <f t="shared" si="26"/>
        <v>30</v>
      </c>
      <c r="O180">
        <v>1.5</v>
      </c>
      <c r="P180">
        <v>1</v>
      </c>
      <c r="Q180" t="s">
        <v>2073</v>
      </c>
      <c r="R180" s="1">
        <v>0.73</v>
      </c>
      <c r="S180" s="3">
        <f t="shared" si="36"/>
        <v>0.73</v>
      </c>
    </row>
    <row r="181" spans="1:19" x14ac:dyDescent="0.3">
      <c r="A181" t="s">
        <v>435</v>
      </c>
      <c r="B181" t="s">
        <v>436</v>
      </c>
      <c r="C181" t="str">
        <f t="shared" si="29"/>
        <v>Marc Joseph</v>
      </c>
      <c r="D181" t="s">
        <v>40</v>
      </c>
      <c r="E181" t="str">
        <f t="shared" si="25"/>
        <v>Male</v>
      </c>
      <c r="F181">
        <v>24</v>
      </c>
      <c r="G181" t="s">
        <v>54</v>
      </c>
      <c r="H181" t="s">
        <v>55</v>
      </c>
      <c r="I181" t="s">
        <v>106</v>
      </c>
      <c r="J181">
        <v>1</v>
      </c>
      <c r="K181" s="4" t="str" cm="1">
        <f t="array" ref="K181">_xlfn.IFS(J181&lt;=5,"0-5",J181&lt;=10,"6-10",J181&lt;=15,"11-15",J181&lt;=20,"16-20",J181&gt;20,"21+")</f>
        <v>0-5</v>
      </c>
      <c r="L181" t="s">
        <v>37</v>
      </c>
      <c r="M181" s="2" t="str">
        <f>SUBSTITUTE(L181,"$","")</f>
        <v>30</v>
      </c>
      <c r="N181" s="8">
        <f t="shared" si="26"/>
        <v>30</v>
      </c>
      <c r="O181">
        <v>3.7</v>
      </c>
      <c r="P181" t="s">
        <v>151</v>
      </c>
      <c r="Q181" t="s">
        <v>2072</v>
      </c>
      <c r="R181" s="1">
        <v>0.95</v>
      </c>
      <c r="S181" s="3">
        <f t="shared" si="36"/>
        <v>0.95</v>
      </c>
    </row>
    <row r="182" spans="1:19" x14ac:dyDescent="0.3">
      <c r="A182" t="s">
        <v>437</v>
      </c>
      <c r="B182" t="s">
        <v>438</v>
      </c>
      <c r="C182" t="str">
        <f t="shared" si="29"/>
        <v>Vanessa White</v>
      </c>
      <c r="D182" t="s">
        <v>12</v>
      </c>
      <c r="E182" t="str">
        <f t="shared" si="25"/>
        <v>Female</v>
      </c>
      <c r="F182">
        <v>31</v>
      </c>
      <c r="G182" t="s">
        <v>63</v>
      </c>
      <c r="H182" t="s">
        <v>64</v>
      </c>
      <c r="I182" t="s">
        <v>15</v>
      </c>
      <c r="J182">
        <v>12</v>
      </c>
      <c r="K182" s="4" t="str" cm="1">
        <f t="array" ref="K182">_xlfn.IFS(J182&lt;=5,"0-5",J182&lt;=10,"6-10",J182&lt;=15,"11-15",J182&lt;=20,"16-20",J182&gt;20,"21+")</f>
        <v>11-15</v>
      </c>
      <c r="L182">
        <v>20</v>
      </c>
      <c r="M182" s="2">
        <f>L182</f>
        <v>20</v>
      </c>
      <c r="N182" s="8">
        <f t="shared" si="26"/>
        <v>20</v>
      </c>
      <c r="O182">
        <v>2.2999999999999998</v>
      </c>
      <c r="P182" t="b">
        <v>0</v>
      </c>
      <c r="Q182" t="s">
        <v>2072</v>
      </c>
      <c r="R182" s="1">
        <v>0.9</v>
      </c>
      <c r="S182" s="3">
        <f t="shared" si="36"/>
        <v>0.9</v>
      </c>
    </row>
    <row r="183" spans="1:19" x14ac:dyDescent="0.3">
      <c r="A183" t="s">
        <v>439</v>
      </c>
      <c r="B183" t="s">
        <v>440</v>
      </c>
      <c r="C183" t="str">
        <f t="shared" si="29"/>
        <v>Jennifer Garcia</v>
      </c>
      <c r="D183" t="s">
        <v>26</v>
      </c>
      <c r="E183" t="str">
        <f t="shared" si="25"/>
        <v>Female</v>
      </c>
      <c r="F183">
        <v>20</v>
      </c>
      <c r="G183" t="s">
        <v>171</v>
      </c>
      <c r="H183" t="s">
        <v>64</v>
      </c>
      <c r="I183" t="s">
        <v>22</v>
      </c>
      <c r="J183">
        <v>2</v>
      </c>
      <c r="K183" s="4" t="str" cm="1">
        <f t="array" ref="K183">_xlfn.IFS(J183&lt;=5,"0-5",J183&lt;=10,"6-10",J183&lt;=15,"11-15",J183&lt;=20,"16-20",J183&gt;20,"21+")</f>
        <v>0-5</v>
      </c>
      <c r="L183" t="s">
        <v>113</v>
      </c>
      <c r="M183" s="2" t="str">
        <f>SUBSTITUTE(L183,"$","")</f>
        <v>20</v>
      </c>
      <c r="N183" s="8">
        <f t="shared" si="26"/>
        <v>20</v>
      </c>
      <c r="O183">
        <v>2.8</v>
      </c>
      <c r="P183">
        <v>0</v>
      </c>
      <c r="Q183" t="s">
        <v>2072</v>
      </c>
      <c r="R183" s="1">
        <v>0.78</v>
      </c>
      <c r="S183" s="3">
        <f t="shared" si="36"/>
        <v>0.78</v>
      </c>
    </row>
    <row r="184" spans="1:19" x14ac:dyDescent="0.3">
      <c r="A184" t="s">
        <v>441</v>
      </c>
      <c r="B184" t="s">
        <v>442</v>
      </c>
      <c r="C184" t="str">
        <f t="shared" si="29"/>
        <v>Michael Zavala</v>
      </c>
      <c r="D184" t="s">
        <v>53</v>
      </c>
      <c r="E184" t="str">
        <f t="shared" si="25"/>
        <v>Male</v>
      </c>
      <c r="F184">
        <v>38</v>
      </c>
      <c r="G184" t="s">
        <v>77</v>
      </c>
      <c r="H184" t="s">
        <v>78</v>
      </c>
      <c r="I184" t="s">
        <v>27</v>
      </c>
      <c r="J184">
        <v>3</v>
      </c>
      <c r="K184" s="4" t="str" cm="1">
        <f t="array" ref="K184">_xlfn.IFS(J184&lt;=5,"0-5",J184&lt;=10,"6-10",J184&lt;=15,"11-15",J184&lt;=20,"16-20",J184&gt;20,"21+")</f>
        <v>0-5</v>
      </c>
      <c r="L184">
        <v>30</v>
      </c>
      <c r="M184" s="2">
        <f>L184</f>
        <v>30</v>
      </c>
      <c r="N184" s="8">
        <f t="shared" si="26"/>
        <v>30</v>
      </c>
      <c r="O184">
        <v>3.5</v>
      </c>
      <c r="P184" t="s">
        <v>151</v>
      </c>
      <c r="Q184" t="s">
        <v>2072</v>
      </c>
      <c r="R184" s="1">
        <v>0.97</v>
      </c>
      <c r="S184" s="3">
        <f t="shared" si="36"/>
        <v>0.97</v>
      </c>
    </row>
    <row r="185" spans="1:19" x14ac:dyDescent="0.3">
      <c r="A185" t="s">
        <v>443</v>
      </c>
      <c r="B185" t="s">
        <v>444</v>
      </c>
      <c r="C185" t="str">
        <f t="shared" si="29"/>
        <v>Kimberly Williams</v>
      </c>
      <c r="D185" t="s">
        <v>31</v>
      </c>
      <c r="E185" t="str">
        <f t="shared" si="25"/>
        <v>Female</v>
      </c>
      <c r="F185">
        <v>33</v>
      </c>
      <c r="G185" t="s">
        <v>20</v>
      </c>
      <c r="H185" t="s">
        <v>21</v>
      </c>
      <c r="I185" t="s">
        <v>65</v>
      </c>
      <c r="J185">
        <v>11</v>
      </c>
      <c r="K185" s="4" t="str" cm="1">
        <f t="array" ref="K185">_xlfn.IFS(J185&lt;=5,"0-5",J185&lt;=10,"6-10",J185&lt;=15,"11-15",J185&lt;=20,"16-20",J185&gt;20,"21+")</f>
        <v>11-15</v>
      </c>
      <c r="N185" s="8" t="str">
        <f t="shared" si="26"/>
        <v/>
      </c>
      <c r="O185">
        <v>0</v>
      </c>
      <c r="P185" t="s">
        <v>60</v>
      </c>
      <c r="Q185" t="s">
        <v>2073</v>
      </c>
      <c r="R185" s="1">
        <v>0.65</v>
      </c>
      <c r="S185" s="3">
        <f t="shared" si="36"/>
        <v>0.65</v>
      </c>
    </row>
    <row r="186" spans="1:19" x14ac:dyDescent="0.3">
      <c r="A186" t="s">
        <v>445</v>
      </c>
      <c r="B186" t="s">
        <v>446</v>
      </c>
      <c r="C186" t="str">
        <f t="shared" si="29"/>
        <v>Elizabeth Jenkins</v>
      </c>
      <c r="D186" t="s">
        <v>26</v>
      </c>
      <c r="E186" t="str">
        <f t="shared" si="25"/>
        <v>Female</v>
      </c>
      <c r="F186">
        <v>31</v>
      </c>
      <c r="G186" t="s">
        <v>13</v>
      </c>
      <c r="H186" t="s">
        <v>14</v>
      </c>
      <c r="I186" t="s">
        <v>27</v>
      </c>
      <c r="J186">
        <v>4</v>
      </c>
      <c r="K186" s="4" t="str" cm="1">
        <f t="array" ref="K186">_xlfn.IFS(J186&lt;=5,"0-5",J186&lt;=10,"6-10",J186&lt;=15,"11-15",J186&lt;=20,"16-20",J186&gt;20,"21+")</f>
        <v>0-5</v>
      </c>
      <c r="L186">
        <v>40</v>
      </c>
      <c r="M186" s="2">
        <f>L186</f>
        <v>40</v>
      </c>
      <c r="N186" s="8">
        <f t="shared" si="26"/>
        <v>40</v>
      </c>
      <c r="O186">
        <v>3.2</v>
      </c>
      <c r="P186">
        <v>1</v>
      </c>
      <c r="Q186" t="s">
        <v>2073</v>
      </c>
      <c r="R186" s="1">
        <v>0.78</v>
      </c>
      <c r="S186" s="3">
        <f t="shared" si="36"/>
        <v>0.78</v>
      </c>
    </row>
    <row r="187" spans="1:19" x14ac:dyDescent="0.3">
      <c r="A187" t="s">
        <v>447</v>
      </c>
      <c r="B187" t="s">
        <v>448</v>
      </c>
      <c r="C187" t="str">
        <f t="shared" si="29"/>
        <v>Brandon Ford</v>
      </c>
      <c r="D187" t="s">
        <v>40</v>
      </c>
      <c r="E187" t="str">
        <f t="shared" si="25"/>
        <v>Male</v>
      </c>
      <c r="F187">
        <v>41</v>
      </c>
      <c r="G187" t="s">
        <v>182</v>
      </c>
      <c r="H187" t="s">
        <v>64</v>
      </c>
      <c r="I187" t="s">
        <v>106</v>
      </c>
      <c r="J187">
        <v>21</v>
      </c>
      <c r="K187" s="4" t="str" cm="1">
        <f t="array" ref="K187">_xlfn.IFS(J187&lt;=5,"0-5",J187&lt;=10,"6-10",J187&lt;=15,"11-15",J187&lt;=20,"16-20",J187&gt;20,"21+")</f>
        <v>21+</v>
      </c>
      <c r="L187">
        <v>50</v>
      </c>
      <c r="M187" s="2">
        <f>L187</f>
        <v>50</v>
      </c>
      <c r="N187" s="8">
        <f t="shared" si="26"/>
        <v>50</v>
      </c>
      <c r="O187">
        <v>3.3</v>
      </c>
      <c r="P187" t="s">
        <v>66</v>
      </c>
      <c r="Q187" t="s">
        <v>2073</v>
      </c>
      <c r="R187" s="1">
        <v>0.65</v>
      </c>
      <c r="S187" s="3">
        <f t="shared" si="36"/>
        <v>0.65</v>
      </c>
    </row>
    <row r="188" spans="1:19" x14ac:dyDescent="0.3">
      <c r="A188" t="s">
        <v>449</v>
      </c>
      <c r="B188" t="s">
        <v>450</v>
      </c>
      <c r="C188" t="str">
        <f t="shared" si="29"/>
        <v>Justin House</v>
      </c>
      <c r="D188" t="s">
        <v>53</v>
      </c>
      <c r="E188" t="str">
        <f t="shared" si="25"/>
        <v>Male</v>
      </c>
      <c r="F188">
        <v>54</v>
      </c>
      <c r="G188" t="s">
        <v>54</v>
      </c>
      <c r="H188" t="s">
        <v>55</v>
      </c>
      <c r="I188" t="s">
        <v>27</v>
      </c>
      <c r="J188">
        <v>0</v>
      </c>
      <c r="K188" s="4" t="str" cm="1">
        <f t="array" ref="K188">_xlfn.IFS(J188&lt;=5,"0-5",J188&lt;=10,"6-10",J188&lt;=15,"11-15",J188&lt;=20,"16-20",J188&gt;20,"21+")</f>
        <v>0-5</v>
      </c>
      <c r="L188" t="s">
        <v>113</v>
      </c>
      <c r="M188" s="2" t="str">
        <f>SUBSTITUTE(L188,"$","")</f>
        <v>20</v>
      </c>
      <c r="N188" s="8">
        <f t="shared" si="26"/>
        <v>20</v>
      </c>
      <c r="O188">
        <v>4.9000000000000004</v>
      </c>
    </row>
    <row r="189" spans="1:19" x14ac:dyDescent="0.3">
      <c r="A189" t="s">
        <v>451</v>
      </c>
      <c r="B189" t="s">
        <v>452</v>
      </c>
      <c r="C189" t="str">
        <f t="shared" si="29"/>
        <v>Henry Mullen</v>
      </c>
      <c r="D189" t="s">
        <v>19</v>
      </c>
      <c r="E189" t="str">
        <f t="shared" si="25"/>
        <v>Male</v>
      </c>
      <c r="F189">
        <v>50</v>
      </c>
      <c r="G189" t="s">
        <v>171</v>
      </c>
      <c r="H189" t="s">
        <v>64</v>
      </c>
      <c r="I189" t="s">
        <v>43</v>
      </c>
      <c r="J189">
        <v>6</v>
      </c>
      <c r="K189" s="4" t="str" cm="1">
        <f t="array" ref="K189">_xlfn.IFS(J189&lt;=5,"0-5",J189&lt;=10,"6-10",J189&lt;=15,"11-15",J189&lt;=20,"16-20",J189&gt;20,"21+")</f>
        <v>6-10</v>
      </c>
      <c r="L189">
        <v>30</v>
      </c>
      <c r="M189" s="2">
        <f>L189</f>
        <v>30</v>
      </c>
      <c r="N189" s="8">
        <f t="shared" si="26"/>
        <v>30</v>
      </c>
      <c r="O189">
        <v>2.2000000000000002</v>
      </c>
      <c r="P189">
        <v>1</v>
      </c>
      <c r="Q189" t="s">
        <v>2073</v>
      </c>
      <c r="R189" s="1">
        <v>0.95</v>
      </c>
      <c r="S189" s="3">
        <f t="shared" ref="S189:S190" si="37">R189</f>
        <v>0.95</v>
      </c>
    </row>
    <row r="190" spans="1:19" x14ac:dyDescent="0.3">
      <c r="A190" t="s">
        <v>453</v>
      </c>
      <c r="B190" t="s">
        <v>454</v>
      </c>
      <c r="C190" t="str">
        <f t="shared" si="29"/>
        <v>Jesse Cochran</v>
      </c>
      <c r="D190" t="s">
        <v>53</v>
      </c>
      <c r="E190" t="str">
        <f t="shared" si="25"/>
        <v>Male</v>
      </c>
      <c r="F190">
        <v>48</v>
      </c>
      <c r="G190" t="s">
        <v>99</v>
      </c>
      <c r="H190" t="s">
        <v>100</v>
      </c>
      <c r="I190" t="s">
        <v>106</v>
      </c>
      <c r="J190">
        <v>18</v>
      </c>
      <c r="K190" s="4" t="str" cm="1">
        <f t="array" ref="K190">_xlfn.IFS(J190&lt;=5,"0-5",J190&lt;=10,"6-10",J190&lt;=15,"11-15",J190&lt;=20,"16-20",J190&gt;20,"21+")</f>
        <v>16-20</v>
      </c>
      <c r="L190" t="s">
        <v>47</v>
      </c>
      <c r="M190" s="2" t="str">
        <f>TRIM(MID(L190,FIND(" ",L190)+1,LEN(L190)))</f>
        <v>40</v>
      </c>
      <c r="N190" s="8">
        <f t="shared" si="26"/>
        <v>40</v>
      </c>
      <c r="P190">
        <v>1</v>
      </c>
      <c r="Q190" t="s">
        <v>2073</v>
      </c>
      <c r="R190" s="1">
        <v>0.88</v>
      </c>
      <c r="S190" s="3">
        <f t="shared" si="37"/>
        <v>0.88</v>
      </c>
    </row>
    <row r="191" spans="1:19" x14ac:dyDescent="0.3">
      <c r="A191" t="s">
        <v>455</v>
      </c>
      <c r="B191" t="s">
        <v>456</v>
      </c>
      <c r="C191" t="str">
        <f t="shared" si="29"/>
        <v>Melissa Rich</v>
      </c>
      <c r="D191" t="s">
        <v>6</v>
      </c>
      <c r="E191" t="str">
        <f t="shared" si="25"/>
        <v>Female</v>
      </c>
      <c r="F191">
        <v>49</v>
      </c>
      <c r="G191" t="s">
        <v>171</v>
      </c>
      <c r="H191" t="s">
        <v>64</v>
      </c>
      <c r="I191" t="s">
        <v>22</v>
      </c>
      <c r="K191" s="4" t="str" cm="1">
        <f t="array" ref="K191">_xlfn.IFS(J191&lt;=5,"0-5",J191&lt;=10,"6-10",J191&lt;=15,"11-15",J191&lt;=20,"16-20",J191&gt;20,"21+")</f>
        <v>0-5</v>
      </c>
      <c r="N191" s="8" t="str">
        <f t="shared" si="26"/>
        <v/>
      </c>
      <c r="O191">
        <v>1.8</v>
      </c>
      <c r="P191">
        <v>0</v>
      </c>
      <c r="Q191" t="s">
        <v>2072</v>
      </c>
    </row>
    <row r="192" spans="1:19" x14ac:dyDescent="0.3">
      <c r="A192" t="s">
        <v>457</v>
      </c>
      <c r="B192" t="s">
        <v>458</v>
      </c>
      <c r="C192" t="str">
        <f t="shared" si="29"/>
        <v>Patrick Dunlap</v>
      </c>
      <c r="D192" t="s">
        <v>89</v>
      </c>
      <c r="E192" t="str">
        <f t="shared" si="25"/>
        <v>Male</v>
      </c>
      <c r="F192">
        <v>21</v>
      </c>
      <c r="G192" t="s">
        <v>104</v>
      </c>
      <c r="H192" t="s">
        <v>105</v>
      </c>
      <c r="I192" t="s">
        <v>22</v>
      </c>
      <c r="J192">
        <v>1</v>
      </c>
      <c r="K192" s="4" t="str" cm="1">
        <f t="array" ref="K192">_xlfn.IFS(J192&lt;=5,"0-5",J192&lt;=10,"6-10",J192&lt;=15,"11-15",J192&lt;=20,"16-20",J192&gt;20,"21+")</f>
        <v>0-5</v>
      </c>
      <c r="L192">
        <v>75</v>
      </c>
      <c r="M192" s="2">
        <f>L192</f>
        <v>75</v>
      </c>
      <c r="N192" s="8">
        <f t="shared" si="26"/>
        <v>75</v>
      </c>
      <c r="O192">
        <v>4.5999999999999996</v>
      </c>
      <c r="P192">
        <v>0</v>
      </c>
      <c r="Q192" t="s">
        <v>2072</v>
      </c>
      <c r="R192" s="1">
        <v>0.92</v>
      </c>
      <c r="S192" s="3">
        <f t="shared" ref="S192:S197" si="38">R192</f>
        <v>0.92</v>
      </c>
    </row>
    <row r="193" spans="1:19" x14ac:dyDescent="0.3">
      <c r="A193" t="s">
        <v>459</v>
      </c>
      <c r="B193" t="s">
        <v>460</v>
      </c>
      <c r="C193" t="str">
        <f t="shared" si="29"/>
        <v>Troy Carson</v>
      </c>
      <c r="D193" t="s">
        <v>84</v>
      </c>
      <c r="E193" t="str">
        <f t="shared" si="25"/>
        <v>Male</v>
      </c>
      <c r="F193">
        <v>58</v>
      </c>
      <c r="G193" t="s">
        <v>13</v>
      </c>
      <c r="H193" t="s">
        <v>14</v>
      </c>
      <c r="I193" t="s">
        <v>22</v>
      </c>
      <c r="J193">
        <v>20</v>
      </c>
      <c r="K193" s="4" t="str" cm="1">
        <f t="array" ref="K193">_xlfn.IFS(J193&lt;=5,"0-5",J193&lt;=10,"6-10",J193&lt;=15,"11-15",J193&lt;=20,"16-20",J193&gt;20,"21+")</f>
        <v>16-20</v>
      </c>
      <c r="L193">
        <v>75</v>
      </c>
      <c r="M193" s="2">
        <f>L193</f>
        <v>75</v>
      </c>
      <c r="N193" s="8">
        <f t="shared" si="26"/>
        <v>75</v>
      </c>
      <c r="O193">
        <v>2.8</v>
      </c>
      <c r="P193" t="s">
        <v>151</v>
      </c>
      <c r="Q193" t="s">
        <v>2072</v>
      </c>
      <c r="R193" s="1">
        <v>0.75</v>
      </c>
      <c r="S193" s="3">
        <f t="shared" si="38"/>
        <v>0.75</v>
      </c>
    </row>
    <row r="194" spans="1:19" x14ac:dyDescent="0.3">
      <c r="A194" t="s">
        <v>461</v>
      </c>
      <c r="B194" t="s">
        <v>255</v>
      </c>
      <c r="C194" t="str">
        <f t="shared" si="29"/>
        <v>Matthew Smith</v>
      </c>
      <c r="D194" t="s">
        <v>53</v>
      </c>
      <c r="E194" t="str">
        <f t="shared" ref="E194:E257" si="39">IF(LOWER(LEFT(D194,1))="f","Female","Male")</f>
        <v>Male</v>
      </c>
      <c r="F194">
        <v>41</v>
      </c>
      <c r="G194" t="s">
        <v>7</v>
      </c>
      <c r="H194" t="s">
        <v>8</v>
      </c>
      <c r="I194" t="s">
        <v>81</v>
      </c>
      <c r="K194" s="4" t="str" cm="1">
        <f t="array" ref="K194">_xlfn.IFS(J194&lt;=5,"0-5",J194&lt;=10,"6-10",J194&lt;=15,"11-15",J194&lt;=20,"16-20",J194&gt;20,"21+")</f>
        <v>0-5</v>
      </c>
      <c r="L194" t="s">
        <v>37</v>
      </c>
      <c r="M194" s="2" t="str">
        <f>SUBSTITUTE(L194,"$","")</f>
        <v>30</v>
      </c>
      <c r="N194" s="8">
        <f t="shared" si="26"/>
        <v>30</v>
      </c>
      <c r="O194">
        <v>1.4</v>
      </c>
      <c r="P194" t="b">
        <v>0</v>
      </c>
      <c r="Q194" t="s">
        <v>2072</v>
      </c>
      <c r="R194" s="1">
        <v>0.74</v>
      </c>
      <c r="S194" s="3">
        <f t="shared" si="38"/>
        <v>0.74</v>
      </c>
    </row>
    <row r="195" spans="1:19" x14ac:dyDescent="0.3">
      <c r="A195" t="s">
        <v>462</v>
      </c>
      <c r="B195" t="s">
        <v>463</v>
      </c>
      <c r="C195" t="str">
        <f t="shared" si="29"/>
        <v>Jennifer Cherry</v>
      </c>
      <c r="D195" t="s">
        <v>26</v>
      </c>
      <c r="E195" t="str">
        <f t="shared" si="39"/>
        <v>Female</v>
      </c>
      <c r="F195">
        <v>58</v>
      </c>
      <c r="G195" t="s">
        <v>116</v>
      </c>
      <c r="H195" t="s">
        <v>117</v>
      </c>
      <c r="I195" t="s">
        <v>9</v>
      </c>
      <c r="J195">
        <v>25</v>
      </c>
      <c r="K195" s="4" t="str" cm="1">
        <f t="array" ref="K195">_xlfn.IFS(J195&lt;=5,"0-5",J195&lt;=10,"6-10",J195&lt;=15,"11-15",J195&lt;=20,"16-20",J195&gt;20,"21+")</f>
        <v>21+</v>
      </c>
      <c r="L195" t="s">
        <v>37</v>
      </c>
      <c r="M195" s="2" t="str">
        <f>SUBSTITUTE(L195,"$","")</f>
        <v>30</v>
      </c>
      <c r="N195" s="8">
        <f t="shared" ref="N195:N258" si="40">IF(M195="", "", VALUE(M195))</f>
        <v>30</v>
      </c>
      <c r="O195">
        <v>4.2</v>
      </c>
      <c r="P195" t="s">
        <v>66</v>
      </c>
      <c r="Q195" t="s">
        <v>2073</v>
      </c>
      <c r="R195" s="1">
        <v>0.71</v>
      </c>
      <c r="S195" s="3">
        <f t="shared" si="38"/>
        <v>0.71</v>
      </c>
    </row>
    <row r="196" spans="1:19" x14ac:dyDescent="0.3">
      <c r="A196" t="s">
        <v>464</v>
      </c>
      <c r="B196" t="s">
        <v>465</v>
      </c>
      <c r="C196" t="str">
        <f t="shared" si="29"/>
        <v>Brandi Tucker</v>
      </c>
      <c r="D196" t="s">
        <v>31</v>
      </c>
      <c r="E196" t="str">
        <f t="shared" si="39"/>
        <v>Female</v>
      </c>
      <c r="F196">
        <v>50</v>
      </c>
      <c r="G196" t="s">
        <v>145</v>
      </c>
      <c r="H196" t="s">
        <v>146</v>
      </c>
      <c r="I196" t="s">
        <v>22</v>
      </c>
      <c r="J196">
        <v>20</v>
      </c>
      <c r="K196" s="4" t="str" cm="1">
        <f t="array" ref="K196">_xlfn.IFS(J196&lt;=5,"0-5",J196&lt;=10,"6-10",J196&lt;=15,"11-15",J196&lt;=20,"16-20",J196&gt;20,"21+")</f>
        <v>16-20</v>
      </c>
      <c r="L196" t="s">
        <v>47</v>
      </c>
      <c r="M196" s="2" t="str">
        <f>TRIM(MID(L196,FIND(" ",L196)+1,LEN(L196)))</f>
        <v>40</v>
      </c>
      <c r="N196" s="8">
        <f t="shared" si="40"/>
        <v>40</v>
      </c>
      <c r="O196">
        <v>3.6</v>
      </c>
      <c r="P196">
        <v>1</v>
      </c>
      <c r="Q196" t="s">
        <v>2073</v>
      </c>
      <c r="R196" s="1">
        <v>0.89</v>
      </c>
      <c r="S196" s="3">
        <f t="shared" si="38"/>
        <v>0.89</v>
      </c>
    </row>
    <row r="197" spans="1:19" x14ac:dyDescent="0.3">
      <c r="A197" t="s">
        <v>466</v>
      </c>
      <c r="B197" t="s">
        <v>467</v>
      </c>
      <c r="C197" t="str">
        <f t="shared" si="29"/>
        <v>Zachary Burke</v>
      </c>
      <c r="D197" t="s">
        <v>40</v>
      </c>
      <c r="E197" t="str">
        <f t="shared" si="39"/>
        <v>Male</v>
      </c>
      <c r="F197">
        <v>52</v>
      </c>
      <c r="G197" t="s">
        <v>41</v>
      </c>
      <c r="H197" t="s">
        <v>42</v>
      </c>
      <c r="I197" t="s">
        <v>27</v>
      </c>
      <c r="J197">
        <v>33</v>
      </c>
      <c r="K197" s="4" t="str" cm="1">
        <f t="array" ref="K197">_xlfn.IFS(J197&lt;=5,"0-5",J197&lt;=10,"6-10",J197&lt;=15,"11-15",J197&lt;=20,"16-20",J197&gt;20,"21+")</f>
        <v>21+</v>
      </c>
      <c r="L197" t="s">
        <v>221</v>
      </c>
      <c r="M197" s="2" t="str">
        <f>SUBSTITUTE(L197,"$","")</f>
        <v>100</v>
      </c>
      <c r="N197" s="8">
        <f t="shared" si="40"/>
        <v>100</v>
      </c>
      <c r="O197">
        <v>1.6</v>
      </c>
      <c r="R197" s="1">
        <v>0.66</v>
      </c>
      <c r="S197" s="3">
        <f t="shared" si="38"/>
        <v>0.66</v>
      </c>
    </row>
    <row r="198" spans="1:19" x14ac:dyDescent="0.3">
      <c r="A198" t="s">
        <v>468</v>
      </c>
      <c r="B198" t="s">
        <v>469</v>
      </c>
      <c r="C198" t="str">
        <f t="shared" si="29"/>
        <v>Thomas Jones</v>
      </c>
      <c r="D198" t="s">
        <v>40</v>
      </c>
      <c r="E198" t="str">
        <f t="shared" si="39"/>
        <v>Male</v>
      </c>
      <c r="F198">
        <v>34</v>
      </c>
      <c r="G198" t="s">
        <v>34</v>
      </c>
      <c r="H198" t="s">
        <v>35</v>
      </c>
      <c r="I198" t="s">
        <v>43</v>
      </c>
      <c r="J198">
        <v>6</v>
      </c>
      <c r="K198" s="4" t="str" cm="1">
        <f t="array" ref="K198">_xlfn.IFS(J198&lt;=5,"0-5",J198&lt;=10,"6-10",J198&lt;=15,"11-15",J198&lt;=20,"16-20",J198&gt;20,"21+")</f>
        <v>6-10</v>
      </c>
      <c r="L198" t="s">
        <v>221</v>
      </c>
      <c r="M198" s="2" t="str">
        <f>SUBSTITUTE(L198,"$","")</f>
        <v>100</v>
      </c>
      <c r="N198" s="8">
        <f t="shared" si="40"/>
        <v>100</v>
      </c>
      <c r="O198">
        <v>2</v>
      </c>
      <c r="P198" t="s">
        <v>151</v>
      </c>
      <c r="Q198" t="s">
        <v>2072</v>
      </c>
    </row>
    <row r="199" spans="1:19" x14ac:dyDescent="0.3">
      <c r="A199" t="s">
        <v>470</v>
      </c>
      <c r="B199" t="s">
        <v>471</v>
      </c>
      <c r="C199" t="str">
        <f t="shared" si="29"/>
        <v>Brian Dunn</v>
      </c>
      <c r="D199" t="s">
        <v>89</v>
      </c>
      <c r="E199" t="str">
        <f t="shared" si="39"/>
        <v>Male</v>
      </c>
      <c r="F199">
        <v>32</v>
      </c>
      <c r="G199" t="s">
        <v>127</v>
      </c>
      <c r="H199" t="s">
        <v>128</v>
      </c>
      <c r="I199" t="s">
        <v>106</v>
      </c>
      <c r="J199">
        <v>11</v>
      </c>
      <c r="K199" s="4" t="str" cm="1">
        <f t="array" ref="K199">_xlfn.IFS(J199&lt;=5,"0-5",J199&lt;=10,"6-10",J199&lt;=15,"11-15",J199&lt;=20,"16-20",J199&gt;20,"21+")</f>
        <v>11-15</v>
      </c>
      <c r="L199">
        <v>40</v>
      </c>
      <c r="M199" s="2">
        <f>L199</f>
        <v>40</v>
      </c>
      <c r="N199" s="8">
        <f t="shared" si="40"/>
        <v>40</v>
      </c>
      <c r="O199">
        <v>4.3</v>
      </c>
      <c r="P199" t="b">
        <v>1</v>
      </c>
      <c r="Q199" t="s">
        <v>2073</v>
      </c>
      <c r="R199" s="1">
        <v>0.86</v>
      </c>
      <c r="S199" s="3">
        <f t="shared" ref="S199:S201" si="41">R199</f>
        <v>0.86</v>
      </c>
    </row>
    <row r="200" spans="1:19" x14ac:dyDescent="0.3">
      <c r="A200" t="s">
        <v>472</v>
      </c>
      <c r="B200" t="s">
        <v>473</v>
      </c>
      <c r="C200" t="str">
        <f t="shared" si="29"/>
        <v>Shirley Strickland</v>
      </c>
      <c r="D200" t="s">
        <v>26</v>
      </c>
      <c r="E200" t="str">
        <f t="shared" si="39"/>
        <v>Female</v>
      </c>
      <c r="F200">
        <v>50</v>
      </c>
      <c r="G200" t="s">
        <v>85</v>
      </c>
      <c r="H200" t="s">
        <v>86</v>
      </c>
      <c r="I200" t="s">
        <v>22</v>
      </c>
      <c r="J200">
        <v>28</v>
      </c>
      <c r="K200" s="4" t="str" cm="1">
        <f t="array" ref="K200">_xlfn.IFS(J200&lt;=5,"0-5",J200&lt;=10,"6-10",J200&lt;=15,"11-15",J200&lt;=20,"16-20",J200&gt;20,"21+")</f>
        <v>21+</v>
      </c>
      <c r="L200" t="s">
        <v>221</v>
      </c>
      <c r="M200" s="2" t="str">
        <f>SUBSTITUTE(L200,"$","")</f>
        <v>100</v>
      </c>
      <c r="N200" s="8">
        <f t="shared" si="40"/>
        <v>100</v>
      </c>
      <c r="O200">
        <v>4.9000000000000004</v>
      </c>
      <c r="P200" t="s">
        <v>66</v>
      </c>
      <c r="Q200" t="s">
        <v>2073</v>
      </c>
      <c r="R200" s="1">
        <v>0.86</v>
      </c>
      <c r="S200" s="3">
        <f t="shared" si="41"/>
        <v>0.86</v>
      </c>
    </row>
    <row r="201" spans="1:19" x14ac:dyDescent="0.3">
      <c r="A201" t="s">
        <v>474</v>
      </c>
      <c r="B201" t="s">
        <v>475</v>
      </c>
      <c r="C201" t="str">
        <f t="shared" si="29"/>
        <v>Nicole Meyers</v>
      </c>
      <c r="D201" t="s">
        <v>31</v>
      </c>
      <c r="E201" t="str">
        <f t="shared" si="39"/>
        <v>Female</v>
      </c>
      <c r="F201">
        <v>39</v>
      </c>
      <c r="G201" t="s">
        <v>63</v>
      </c>
      <c r="H201" t="s">
        <v>64</v>
      </c>
      <c r="I201" t="s">
        <v>43</v>
      </c>
      <c r="J201">
        <v>11</v>
      </c>
      <c r="K201" s="4" t="str" cm="1">
        <f t="array" ref="K201">_xlfn.IFS(J201&lt;=5,"0-5",J201&lt;=10,"6-10",J201&lt;=15,"11-15",J201&lt;=20,"16-20",J201&gt;20,"21+")</f>
        <v>11-15</v>
      </c>
      <c r="L201">
        <v>100</v>
      </c>
      <c r="M201" s="2">
        <f>L201</f>
        <v>100</v>
      </c>
      <c r="N201" s="8">
        <f t="shared" si="40"/>
        <v>100</v>
      </c>
      <c r="O201">
        <v>3.5</v>
      </c>
      <c r="P201" t="s">
        <v>66</v>
      </c>
      <c r="Q201" t="s">
        <v>2073</v>
      </c>
      <c r="R201" s="1">
        <v>0.82</v>
      </c>
      <c r="S201" s="3">
        <f t="shared" si="41"/>
        <v>0.82</v>
      </c>
    </row>
    <row r="202" spans="1:19" x14ac:dyDescent="0.3">
      <c r="A202" t="s">
        <v>476</v>
      </c>
      <c r="B202" t="s">
        <v>477</v>
      </c>
      <c r="C202" t="str">
        <f t="shared" si="29"/>
        <v>Jill Stephens</v>
      </c>
      <c r="D202" t="s">
        <v>6</v>
      </c>
      <c r="E202" t="str">
        <f t="shared" si="39"/>
        <v>Female</v>
      </c>
      <c r="F202">
        <v>25</v>
      </c>
      <c r="G202" t="s">
        <v>182</v>
      </c>
      <c r="H202" t="s">
        <v>64</v>
      </c>
      <c r="I202" t="s">
        <v>36</v>
      </c>
      <c r="J202">
        <v>2</v>
      </c>
      <c r="K202" s="4" t="str" cm="1">
        <f t="array" ref="K202">_xlfn.IFS(J202&lt;=5,"0-5",J202&lt;=10,"6-10",J202&lt;=15,"11-15",J202&lt;=20,"16-20",J202&gt;20,"21+")</f>
        <v>0-5</v>
      </c>
      <c r="L202">
        <v>100</v>
      </c>
      <c r="M202" s="2">
        <f>L202</f>
        <v>100</v>
      </c>
      <c r="N202" s="8">
        <f t="shared" si="40"/>
        <v>100</v>
      </c>
      <c r="O202">
        <v>2.5</v>
      </c>
      <c r="P202" t="s">
        <v>151</v>
      </c>
      <c r="Q202" t="s">
        <v>2072</v>
      </c>
      <c r="R202">
        <v>87</v>
      </c>
      <c r="S202" s="3">
        <f>R202/100</f>
        <v>0.87</v>
      </c>
    </row>
    <row r="203" spans="1:19" x14ac:dyDescent="0.3">
      <c r="A203" t="s">
        <v>478</v>
      </c>
      <c r="B203" t="s">
        <v>479</v>
      </c>
      <c r="C203" t="str">
        <f t="shared" si="29"/>
        <v>Heidi Miranda</v>
      </c>
      <c r="D203" t="s">
        <v>12</v>
      </c>
      <c r="E203" t="str">
        <f t="shared" si="39"/>
        <v>Female</v>
      </c>
      <c r="F203">
        <v>55</v>
      </c>
      <c r="G203" t="s">
        <v>167</v>
      </c>
      <c r="H203" t="s">
        <v>168</v>
      </c>
      <c r="I203" t="s">
        <v>106</v>
      </c>
      <c r="J203">
        <v>7</v>
      </c>
      <c r="K203" s="4" t="str" cm="1">
        <f t="array" ref="K203">_xlfn.IFS(J203&lt;=5,"0-5",J203&lt;=10,"6-10",J203&lt;=15,"11-15",J203&lt;=20,"16-20",J203&gt;20,"21+")</f>
        <v>6-10</v>
      </c>
      <c r="L203">
        <v>100</v>
      </c>
      <c r="M203" s="2">
        <f>L203</f>
        <v>100</v>
      </c>
      <c r="N203" s="8">
        <f t="shared" si="40"/>
        <v>100</v>
      </c>
      <c r="O203">
        <v>1.7</v>
      </c>
      <c r="P203">
        <v>1</v>
      </c>
      <c r="Q203" t="s">
        <v>2073</v>
      </c>
      <c r="R203" s="1">
        <v>0.8</v>
      </c>
      <c r="S203" s="3">
        <f t="shared" ref="S203:S205" si="42">R203</f>
        <v>0.8</v>
      </c>
    </row>
    <row r="204" spans="1:19" x14ac:dyDescent="0.3">
      <c r="A204" t="s">
        <v>480</v>
      </c>
      <c r="B204" t="s">
        <v>481</v>
      </c>
      <c r="C204" t="str">
        <f t="shared" si="29"/>
        <v>Jesus Martinez</v>
      </c>
      <c r="D204" t="s">
        <v>40</v>
      </c>
      <c r="E204" t="str">
        <f t="shared" si="39"/>
        <v>Male</v>
      </c>
      <c r="F204">
        <v>42</v>
      </c>
      <c r="G204" t="s">
        <v>7</v>
      </c>
      <c r="H204" t="s">
        <v>8</v>
      </c>
      <c r="I204" t="s">
        <v>81</v>
      </c>
      <c r="J204">
        <v>10</v>
      </c>
      <c r="K204" s="4" t="str" cm="1">
        <f t="array" ref="K204">_xlfn.IFS(J204&lt;=5,"0-5",J204&lt;=10,"6-10",J204&lt;=15,"11-15",J204&lt;=20,"16-20",J204&gt;20,"21+")</f>
        <v>6-10</v>
      </c>
      <c r="L204" t="s">
        <v>16</v>
      </c>
      <c r="M204" s="2" t="str">
        <f>TRIM(MID(L204,FIND(" ",L204)+1,LEN(L204)))</f>
        <v>100</v>
      </c>
      <c r="N204" s="8">
        <f t="shared" si="40"/>
        <v>100</v>
      </c>
      <c r="O204">
        <v>4.5999999999999996</v>
      </c>
      <c r="P204" t="s">
        <v>66</v>
      </c>
      <c r="Q204" t="s">
        <v>2073</v>
      </c>
      <c r="R204" s="1">
        <v>0.71</v>
      </c>
      <c r="S204" s="3">
        <f t="shared" si="42"/>
        <v>0.71</v>
      </c>
    </row>
    <row r="205" spans="1:19" x14ac:dyDescent="0.3">
      <c r="A205" t="s">
        <v>482</v>
      </c>
      <c r="B205" t="s">
        <v>483</v>
      </c>
      <c r="C205" t="str">
        <f t="shared" si="29"/>
        <v>Adam Payne</v>
      </c>
      <c r="D205" t="s">
        <v>19</v>
      </c>
      <c r="E205" t="str">
        <f t="shared" si="39"/>
        <v>Male</v>
      </c>
      <c r="F205">
        <v>43</v>
      </c>
      <c r="G205" t="s">
        <v>116</v>
      </c>
      <c r="H205" t="s">
        <v>117</v>
      </c>
      <c r="I205" t="s">
        <v>15</v>
      </c>
      <c r="J205">
        <v>6</v>
      </c>
      <c r="K205" s="4" t="str" cm="1">
        <f t="array" ref="K205">_xlfn.IFS(J205&lt;=5,"0-5",J205&lt;=10,"6-10",J205&lt;=15,"11-15",J205&lt;=20,"16-20",J205&gt;20,"21+")</f>
        <v>6-10</v>
      </c>
      <c r="L205">
        <v>50</v>
      </c>
      <c r="M205" s="2">
        <f>L205</f>
        <v>50</v>
      </c>
      <c r="N205" s="8">
        <f t="shared" si="40"/>
        <v>50</v>
      </c>
      <c r="P205" t="s">
        <v>23</v>
      </c>
      <c r="Q205" t="s">
        <v>2072</v>
      </c>
      <c r="R205" s="1">
        <v>0.77</v>
      </c>
      <c r="S205" s="3">
        <f t="shared" si="42"/>
        <v>0.77</v>
      </c>
    </row>
    <row r="206" spans="1:19" x14ac:dyDescent="0.3">
      <c r="A206" t="s">
        <v>484</v>
      </c>
      <c r="B206" t="s">
        <v>485</v>
      </c>
      <c r="C206" t="str">
        <f t="shared" si="29"/>
        <v>Walter Williams</v>
      </c>
      <c r="D206" t="s">
        <v>40</v>
      </c>
      <c r="E206" t="str">
        <f t="shared" si="39"/>
        <v>Male</v>
      </c>
      <c r="F206">
        <v>54</v>
      </c>
      <c r="G206" t="s">
        <v>7</v>
      </c>
      <c r="H206" t="s">
        <v>8</v>
      </c>
      <c r="I206" t="s">
        <v>81</v>
      </c>
      <c r="J206">
        <v>29</v>
      </c>
      <c r="K206" s="4" t="str" cm="1">
        <f t="array" ref="K206">_xlfn.IFS(J206&lt;=5,"0-5",J206&lt;=10,"6-10",J206&lt;=15,"11-15",J206&lt;=20,"16-20",J206&gt;20,"21+")</f>
        <v>21+</v>
      </c>
      <c r="L206" t="s">
        <v>37</v>
      </c>
      <c r="M206" s="2" t="str">
        <f>SUBSTITUTE(L206,"$","")</f>
        <v>30</v>
      </c>
      <c r="N206" s="8">
        <f t="shared" si="40"/>
        <v>30</v>
      </c>
      <c r="O206">
        <v>1.7</v>
      </c>
      <c r="P206">
        <v>0</v>
      </c>
      <c r="Q206" t="s">
        <v>2072</v>
      </c>
      <c r="R206">
        <v>68</v>
      </c>
      <c r="S206" s="3">
        <f>R206/100</f>
        <v>0.68</v>
      </c>
    </row>
    <row r="207" spans="1:19" x14ac:dyDescent="0.3">
      <c r="A207" t="s">
        <v>486</v>
      </c>
      <c r="B207" t="s">
        <v>487</v>
      </c>
      <c r="C207" t="str">
        <f t="shared" si="29"/>
        <v>Shannon Farmer</v>
      </c>
      <c r="D207" t="s">
        <v>12</v>
      </c>
      <c r="E207" t="str">
        <f t="shared" si="39"/>
        <v>Female</v>
      </c>
      <c r="F207">
        <v>21</v>
      </c>
      <c r="G207" t="s">
        <v>131</v>
      </c>
      <c r="H207" t="s">
        <v>132</v>
      </c>
      <c r="I207" t="s">
        <v>22</v>
      </c>
      <c r="J207">
        <v>0</v>
      </c>
      <c r="K207" s="4" t="str" cm="1">
        <f t="array" ref="K207">_xlfn.IFS(J207&lt;=5,"0-5",J207&lt;=10,"6-10",J207&lt;=15,"11-15",J207&lt;=20,"16-20",J207&gt;20,"21+")</f>
        <v>0-5</v>
      </c>
      <c r="L207">
        <v>20</v>
      </c>
      <c r="M207" s="2">
        <f>L207</f>
        <v>20</v>
      </c>
      <c r="N207" s="8">
        <f t="shared" si="40"/>
        <v>20</v>
      </c>
      <c r="O207">
        <v>1.8</v>
      </c>
      <c r="P207" t="s">
        <v>23</v>
      </c>
      <c r="Q207" t="s">
        <v>2072</v>
      </c>
      <c r="R207" s="1">
        <v>0.91</v>
      </c>
      <c r="S207" s="3">
        <f t="shared" ref="S207:S209" si="43">R207</f>
        <v>0.91</v>
      </c>
    </row>
    <row r="208" spans="1:19" x14ac:dyDescent="0.3">
      <c r="A208" t="s">
        <v>488</v>
      </c>
      <c r="B208" t="s">
        <v>489</v>
      </c>
      <c r="C208" t="str">
        <f t="shared" si="29"/>
        <v>Peter Reyes</v>
      </c>
      <c r="D208" t="s">
        <v>40</v>
      </c>
      <c r="E208" t="str">
        <f t="shared" si="39"/>
        <v>Male</v>
      </c>
      <c r="F208">
        <v>46</v>
      </c>
      <c r="G208" t="s">
        <v>120</v>
      </c>
      <c r="H208" t="s">
        <v>14</v>
      </c>
      <c r="I208" t="s">
        <v>65</v>
      </c>
      <c r="J208">
        <v>5</v>
      </c>
      <c r="K208" s="4" t="str" cm="1">
        <f t="array" ref="K208">_xlfn.IFS(J208&lt;=5,"0-5",J208&lt;=10,"6-10",J208&lt;=15,"11-15",J208&lt;=20,"16-20",J208&gt;20,"21+")</f>
        <v>0-5</v>
      </c>
      <c r="L208">
        <v>20</v>
      </c>
      <c r="M208" s="2">
        <f>L208</f>
        <v>20</v>
      </c>
      <c r="N208" s="8">
        <f t="shared" si="40"/>
        <v>20</v>
      </c>
      <c r="O208">
        <v>2.2000000000000002</v>
      </c>
      <c r="P208" t="b">
        <v>0</v>
      </c>
      <c r="Q208" t="s">
        <v>2072</v>
      </c>
      <c r="R208" s="1">
        <v>0.75</v>
      </c>
      <c r="S208" s="3">
        <f t="shared" si="43"/>
        <v>0.75</v>
      </c>
    </row>
    <row r="209" spans="1:19" x14ac:dyDescent="0.3">
      <c r="A209" t="s">
        <v>490</v>
      </c>
      <c r="B209" t="s">
        <v>491</v>
      </c>
      <c r="C209" t="str">
        <f t="shared" si="29"/>
        <v>Kristen Knight</v>
      </c>
      <c r="D209" t="s">
        <v>6</v>
      </c>
      <c r="E209" t="str">
        <f t="shared" si="39"/>
        <v>Female</v>
      </c>
      <c r="F209">
        <v>30</v>
      </c>
      <c r="G209" t="s">
        <v>182</v>
      </c>
      <c r="H209" t="s">
        <v>64</v>
      </c>
      <c r="I209" t="s">
        <v>9</v>
      </c>
      <c r="J209">
        <v>11</v>
      </c>
      <c r="K209" s="4" t="str" cm="1">
        <f t="array" ref="K209">_xlfn.IFS(J209&lt;=5,"0-5",J209&lt;=10,"6-10",J209&lt;=15,"11-15",J209&lt;=20,"16-20",J209&gt;20,"21+")</f>
        <v>11-15</v>
      </c>
      <c r="L209">
        <v>40</v>
      </c>
      <c r="M209" s="2">
        <f>L209</f>
        <v>40</v>
      </c>
      <c r="N209" s="8">
        <f t="shared" si="40"/>
        <v>40</v>
      </c>
      <c r="O209">
        <v>1</v>
      </c>
      <c r="P209" t="s">
        <v>23</v>
      </c>
      <c r="Q209" t="s">
        <v>2072</v>
      </c>
      <c r="R209" s="1">
        <v>0.9</v>
      </c>
      <c r="S209" s="3">
        <f t="shared" si="43"/>
        <v>0.9</v>
      </c>
    </row>
    <row r="210" spans="1:19" x14ac:dyDescent="0.3">
      <c r="A210" t="s">
        <v>492</v>
      </c>
      <c r="B210" t="s">
        <v>493</v>
      </c>
      <c r="C210" t="str">
        <f>TRIM(MID(B210,FIND(" ",B210)+1,LEN(B210)))</f>
        <v>Moore Jr.</v>
      </c>
      <c r="D210" t="s">
        <v>19</v>
      </c>
      <c r="E210" t="str">
        <f t="shared" si="39"/>
        <v>Male</v>
      </c>
      <c r="F210">
        <v>36</v>
      </c>
      <c r="G210" t="s">
        <v>167</v>
      </c>
      <c r="H210" t="s">
        <v>168</v>
      </c>
      <c r="I210" t="s">
        <v>106</v>
      </c>
      <c r="J210">
        <v>11</v>
      </c>
      <c r="K210" s="4" t="str" cm="1">
        <f t="array" ref="K210">_xlfn.IFS(J210&lt;=5,"0-5",J210&lt;=10,"6-10",J210&lt;=15,"11-15",J210&lt;=20,"16-20",J210&gt;20,"21+")</f>
        <v>11-15</v>
      </c>
      <c r="L210" t="s">
        <v>162</v>
      </c>
      <c r="M210" s="2" t="str">
        <f>SUBSTITUTE(L210,"$","")</f>
        <v>75</v>
      </c>
      <c r="N210" s="8">
        <f t="shared" si="40"/>
        <v>75</v>
      </c>
      <c r="O210">
        <v>3.2</v>
      </c>
      <c r="P210">
        <v>0</v>
      </c>
      <c r="Q210" t="s">
        <v>2072</v>
      </c>
      <c r="R210">
        <v>93</v>
      </c>
      <c r="S210" s="3">
        <f>R210/100</f>
        <v>0.93</v>
      </c>
    </row>
    <row r="211" spans="1:19" x14ac:dyDescent="0.3">
      <c r="A211" t="s">
        <v>494</v>
      </c>
      <c r="B211" t="s">
        <v>495</v>
      </c>
      <c r="C211" t="str">
        <f t="shared" ref="C211:C233" si="44">B211</f>
        <v>Jennifer Rowe</v>
      </c>
      <c r="D211" t="s">
        <v>69</v>
      </c>
      <c r="E211" t="str">
        <f t="shared" si="39"/>
        <v>Female</v>
      </c>
      <c r="F211">
        <v>47</v>
      </c>
      <c r="G211" t="s">
        <v>20</v>
      </c>
      <c r="H211" t="s">
        <v>21</v>
      </c>
      <c r="I211" t="s">
        <v>43</v>
      </c>
      <c r="J211">
        <v>15</v>
      </c>
      <c r="K211" s="4" t="str" cm="1">
        <f t="array" ref="K211">_xlfn.IFS(J211&lt;=5,"0-5",J211&lt;=10,"6-10",J211&lt;=15,"11-15",J211&lt;=20,"16-20",J211&gt;20,"21+")</f>
        <v>11-15</v>
      </c>
      <c r="L211">
        <v>40</v>
      </c>
      <c r="M211" s="2">
        <f>L211</f>
        <v>40</v>
      </c>
      <c r="N211" s="8">
        <f t="shared" si="40"/>
        <v>40</v>
      </c>
      <c r="O211">
        <v>2.1</v>
      </c>
      <c r="P211" t="s">
        <v>60</v>
      </c>
      <c r="Q211" t="s">
        <v>2073</v>
      </c>
      <c r="R211" s="1">
        <v>0.94</v>
      </c>
      <c r="S211" s="3">
        <f>R211</f>
        <v>0.94</v>
      </c>
    </row>
    <row r="212" spans="1:19" x14ac:dyDescent="0.3">
      <c r="A212" t="s">
        <v>496</v>
      </c>
      <c r="B212" t="s">
        <v>497</v>
      </c>
      <c r="C212" t="str">
        <f t="shared" si="44"/>
        <v>Mikayla Henry</v>
      </c>
      <c r="D212" t="s">
        <v>26</v>
      </c>
      <c r="E212" t="str">
        <f t="shared" si="39"/>
        <v>Female</v>
      </c>
      <c r="F212">
        <v>43</v>
      </c>
      <c r="G212" t="s">
        <v>120</v>
      </c>
      <c r="H212" t="s">
        <v>14</v>
      </c>
      <c r="I212" t="s">
        <v>15</v>
      </c>
      <c r="J212">
        <v>1</v>
      </c>
      <c r="K212" s="4" t="str" cm="1">
        <f t="array" ref="K212">_xlfn.IFS(J212&lt;=5,"0-5",J212&lt;=10,"6-10",J212&lt;=15,"11-15",J212&lt;=20,"16-20",J212&gt;20,"21+")</f>
        <v>0-5</v>
      </c>
      <c r="L212" t="s">
        <v>90</v>
      </c>
      <c r="M212" s="2" t="str">
        <f>TRIM(MID(L212,FIND(" ",L212)+1,LEN(L212)))</f>
        <v>50</v>
      </c>
      <c r="N212" s="8">
        <f t="shared" si="40"/>
        <v>50</v>
      </c>
      <c r="O212">
        <v>4.5999999999999996</v>
      </c>
      <c r="P212" t="b">
        <v>1</v>
      </c>
      <c r="Q212" t="s">
        <v>2073</v>
      </c>
      <c r="R212">
        <v>64</v>
      </c>
      <c r="S212" s="3">
        <f>R212/100</f>
        <v>0.64</v>
      </c>
    </row>
    <row r="213" spans="1:19" x14ac:dyDescent="0.3">
      <c r="A213" t="s">
        <v>498</v>
      </c>
      <c r="B213" t="s">
        <v>499</v>
      </c>
      <c r="C213" t="str">
        <f t="shared" si="44"/>
        <v>Jacob Kerr</v>
      </c>
      <c r="D213" t="s">
        <v>40</v>
      </c>
      <c r="E213" t="str">
        <f t="shared" si="39"/>
        <v>Male</v>
      </c>
      <c r="F213">
        <v>57</v>
      </c>
      <c r="G213" t="s">
        <v>104</v>
      </c>
      <c r="H213" t="s">
        <v>105</v>
      </c>
      <c r="I213" t="s">
        <v>70</v>
      </c>
      <c r="J213">
        <v>8</v>
      </c>
      <c r="K213" s="4" t="str" cm="1">
        <f t="array" ref="K213">_xlfn.IFS(J213&lt;=5,"0-5",J213&lt;=10,"6-10",J213&lt;=15,"11-15",J213&lt;=20,"16-20",J213&gt;20,"21+")</f>
        <v>6-10</v>
      </c>
      <c r="L213" t="s">
        <v>113</v>
      </c>
      <c r="M213" s="2" t="str">
        <f>SUBSTITUTE(L213,"$","")</f>
        <v>20</v>
      </c>
      <c r="N213" s="8">
        <f t="shared" si="40"/>
        <v>20</v>
      </c>
      <c r="O213">
        <v>0</v>
      </c>
      <c r="P213" t="s">
        <v>60</v>
      </c>
      <c r="Q213" t="s">
        <v>2073</v>
      </c>
      <c r="R213" s="1">
        <v>0.84</v>
      </c>
      <c r="S213" s="3">
        <f t="shared" ref="S213:S220" si="45">R213</f>
        <v>0.84</v>
      </c>
    </row>
    <row r="214" spans="1:19" x14ac:dyDescent="0.3">
      <c r="A214" t="s">
        <v>500</v>
      </c>
      <c r="B214" t="s">
        <v>501</v>
      </c>
      <c r="C214" t="str">
        <f t="shared" si="44"/>
        <v>Ryan Johnson</v>
      </c>
      <c r="D214" t="s">
        <v>19</v>
      </c>
      <c r="E214" t="str">
        <f t="shared" si="39"/>
        <v>Male</v>
      </c>
      <c r="F214">
        <v>52</v>
      </c>
      <c r="G214" t="s">
        <v>7</v>
      </c>
      <c r="H214" t="s">
        <v>8</v>
      </c>
      <c r="I214" t="s">
        <v>106</v>
      </c>
      <c r="J214">
        <v>30</v>
      </c>
      <c r="K214" s="4" t="str" cm="1">
        <f t="array" ref="K214">_xlfn.IFS(J214&lt;=5,"0-5",J214&lt;=10,"6-10",J214&lt;=15,"11-15",J214&lt;=20,"16-20",J214&gt;20,"21+")</f>
        <v>21+</v>
      </c>
      <c r="L214" t="s">
        <v>113</v>
      </c>
      <c r="M214" s="2" t="str">
        <f>SUBSTITUTE(L214,"$","")</f>
        <v>20</v>
      </c>
      <c r="N214" s="8">
        <f t="shared" si="40"/>
        <v>20</v>
      </c>
      <c r="O214">
        <v>2.8</v>
      </c>
      <c r="P214" t="s">
        <v>151</v>
      </c>
      <c r="Q214" t="s">
        <v>2072</v>
      </c>
      <c r="R214" s="1">
        <v>0.87</v>
      </c>
      <c r="S214" s="3">
        <f t="shared" si="45"/>
        <v>0.87</v>
      </c>
    </row>
    <row r="215" spans="1:19" x14ac:dyDescent="0.3">
      <c r="A215" t="s">
        <v>502</v>
      </c>
      <c r="B215" t="s">
        <v>503</v>
      </c>
      <c r="C215" t="str">
        <f t="shared" si="44"/>
        <v>Michael Ruiz</v>
      </c>
      <c r="D215" t="s">
        <v>53</v>
      </c>
      <c r="E215" t="str">
        <f t="shared" si="39"/>
        <v>Male</v>
      </c>
      <c r="G215" t="s">
        <v>20</v>
      </c>
      <c r="H215" t="s">
        <v>21</v>
      </c>
      <c r="I215" t="s">
        <v>9</v>
      </c>
      <c r="J215">
        <v>8</v>
      </c>
      <c r="K215" s="4" t="str" cm="1">
        <f t="array" ref="K215">_xlfn.IFS(J215&lt;=5,"0-5",J215&lt;=10,"6-10",J215&lt;=15,"11-15",J215&lt;=20,"16-20",J215&gt;20,"21+")</f>
        <v>6-10</v>
      </c>
      <c r="L215" t="s">
        <v>28</v>
      </c>
      <c r="M215" s="2" t="str">
        <f>SUBSTITUTE(L215,"$","")</f>
        <v>40</v>
      </c>
      <c r="N215" s="8">
        <f t="shared" si="40"/>
        <v>40</v>
      </c>
      <c r="O215">
        <v>0</v>
      </c>
      <c r="P215" t="s">
        <v>23</v>
      </c>
      <c r="Q215" t="s">
        <v>2072</v>
      </c>
      <c r="R215" s="1">
        <v>0.64</v>
      </c>
      <c r="S215" s="3">
        <f t="shared" si="45"/>
        <v>0.64</v>
      </c>
    </row>
    <row r="216" spans="1:19" x14ac:dyDescent="0.3">
      <c r="A216" t="s">
        <v>504</v>
      </c>
      <c r="B216" t="s">
        <v>505</v>
      </c>
      <c r="C216" t="str">
        <f t="shared" si="44"/>
        <v>Monica Roberts</v>
      </c>
      <c r="D216" t="s">
        <v>31</v>
      </c>
      <c r="E216" t="str">
        <f t="shared" si="39"/>
        <v>Female</v>
      </c>
      <c r="F216">
        <v>22</v>
      </c>
      <c r="G216" t="s">
        <v>41</v>
      </c>
      <c r="H216" t="s">
        <v>42</v>
      </c>
      <c r="I216" t="s">
        <v>106</v>
      </c>
      <c r="J216">
        <v>0</v>
      </c>
      <c r="K216" s="4" t="str" cm="1">
        <f t="array" ref="K216">_xlfn.IFS(J216&lt;=5,"0-5",J216&lt;=10,"6-10",J216&lt;=15,"11-15",J216&lt;=20,"16-20",J216&gt;20,"21+")</f>
        <v>0-5</v>
      </c>
      <c r="L216">
        <v>100</v>
      </c>
      <c r="M216" s="2">
        <f>L216</f>
        <v>100</v>
      </c>
      <c r="N216" s="8">
        <f t="shared" si="40"/>
        <v>100</v>
      </c>
      <c r="O216">
        <v>2.7</v>
      </c>
      <c r="P216" t="b">
        <v>1</v>
      </c>
      <c r="Q216" t="s">
        <v>2073</v>
      </c>
      <c r="R216" s="1">
        <v>0.64</v>
      </c>
      <c r="S216" s="3">
        <f t="shared" si="45"/>
        <v>0.64</v>
      </c>
    </row>
    <row r="217" spans="1:19" x14ac:dyDescent="0.3">
      <c r="A217" t="s">
        <v>506</v>
      </c>
      <c r="B217" t="s">
        <v>507</v>
      </c>
      <c r="C217" t="str">
        <f t="shared" si="44"/>
        <v>Danny Brown</v>
      </c>
      <c r="D217" t="s">
        <v>40</v>
      </c>
      <c r="E217" t="str">
        <f t="shared" si="39"/>
        <v>Male</v>
      </c>
      <c r="G217" t="s">
        <v>85</v>
      </c>
      <c r="H217" t="s">
        <v>86</v>
      </c>
      <c r="I217" t="s">
        <v>106</v>
      </c>
      <c r="J217">
        <v>12</v>
      </c>
      <c r="K217" s="4" t="str" cm="1">
        <f t="array" ref="K217">_xlfn.IFS(J217&lt;=5,"0-5",J217&lt;=10,"6-10",J217&lt;=15,"11-15",J217&lt;=20,"16-20",J217&gt;20,"21+")</f>
        <v>11-15</v>
      </c>
      <c r="L217" t="s">
        <v>113</v>
      </c>
      <c r="M217" s="2" t="str">
        <f>SUBSTITUTE(L217,"$","")</f>
        <v>20</v>
      </c>
      <c r="N217" s="8">
        <f t="shared" si="40"/>
        <v>20</v>
      </c>
      <c r="O217">
        <v>0</v>
      </c>
      <c r="P217" t="b">
        <v>1</v>
      </c>
      <c r="Q217" t="s">
        <v>2073</v>
      </c>
      <c r="R217" s="1">
        <v>0.8</v>
      </c>
      <c r="S217" s="3">
        <f t="shared" si="45"/>
        <v>0.8</v>
      </c>
    </row>
    <row r="218" spans="1:19" x14ac:dyDescent="0.3">
      <c r="A218" t="s">
        <v>508</v>
      </c>
      <c r="B218" t="s">
        <v>509</v>
      </c>
      <c r="C218" t="str">
        <f t="shared" si="44"/>
        <v>Karen Larsen</v>
      </c>
      <c r="D218" t="s">
        <v>26</v>
      </c>
      <c r="E218" t="str">
        <f t="shared" si="39"/>
        <v>Female</v>
      </c>
      <c r="F218">
        <v>58</v>
      </c>
      <c r="G218" t="s">
        <v>182</v>
      </c>
      <c r="H218" t="s">
        <v>64</v>
      </c>
      <c r="I218" t="s">
        <v>15</v>
      </c>
      <c r="J218">
        <v>4</v>
      </c>
      <c r="K218" s="4" t="str" cm="1">
        <f t="array" ref="K218">_xlfn.IFS(J218&lt;=5,"0-5",J218&lt;=10,"6-10",J218&lt;=15,"11-15",J218&lt;=20,"16-20",J218&gt;20,"21+")</f>
        <v>0-5</v>
      </c>
      <c r="L218" t="s">
        <v>56</v>
      </c>
      <c r="M218" s="2" t="str">
        <f>SUBSTITUTE(L218,"$","")</f>
        <v>50</v>
      </c>
      <c r="N218" s="8">
        <f t="shared" si="40"/>
        <v>50</v>
      </c>
      <c r="O218">
        <v>3.1</v>
      </c>
      <c r="P218">
        <v>0</v>
      </c>
      <c r="Q218" t="s">
        <v>2072</v>
      </c>
      <c r="R218" s="1">
        <v>0.9</v>
      </c>
      <c r="S218" s="3">
        <f t="shared" si="45"/>
        <v>0.9</v>
      </c>
    </row>
    <row r="219" spans="1:19" x14ac:dyDescent="0.3">
      <c r="A219" t="s">
        <v>510</v>
      </c>
      <c r="B219" t="s">
        <v>511</v>
      </c>
      <c r="C219" t="str">
        <f t="shared" si="44"/>
        <v>Robert Evans</v>
      </c>
      <c r="D219" t="s">
        <v>84</v>
      </c>
      <c r="E219" t="str">
        <f t="shared" si="39"/>
        <v>Male</v>
      </c>
      <c r="F219">
        <v>39</v>
      </c>
      <c r="G219" t="s">
        <v>104</v>
      </c>
      <c r="H219" t="s">
        <v>105</v>
      </c>
      <c r="I219" t="s">
        <v>27</v>
      </c>
      <c r="J219">
        <v>14</v>
      </c>
      <c r="K219" s="4" t="str" cm="1">
        <f t="array" ref="K219">_xlfn.IFS(J219&lt;=5,"0-5",J219&lt;=10,"6-10",J219&lt;=15,"11-15",J219&lt;=20,"16-20",J219&gt;20,"21+")</f>
        <v>11-15</v>
      </c>
      <c r="L219" t="s">
        <v>16</v>
      </c>
      <c r="M219" s="2" t="str">
        <f>TRIM(MID(L219,FIND(" ",L219)+1,LEN(L219)))</f>
        <v>100</v>
      </c>
      <c r="N219" s="8">
        <f t="shared" si="40"/>
        <v>100</v>
      </c>
      <c r="O219">
        <v>0</v>
      </c>
      <c r="P219" t="s">
        <v>66</v>
      </c>
      <c r="Q219" t="s">
        <v>2073</v>
      </c>
      <c r="R219" s="1">
        <v>0.92</v>
      </c>
      <c r="S219" s="3">
        <f t="shared" si="45"/>
        <v>0.92</v>
      </c>
    </row>
    <row r="220" spans="1:19" x14ac:dyDescent="0.3">
      <c r="A220" t="s">
        <v>512</v>
      </c>
      <c r="B220" t="s">
        <v>513</v>
      </c>
      <c r="C220" t="str">
        <f t="shared" si="44"/>
        <v>Sean Poole</v>
      </c>
      <c r="D220" t="s">
        <v>84</v>
      </c>
      <c r="E220" t="str">
        <f t="shared" si="39"/>
        <v>Male</v>
      </c>
      <c r="F220">
        <v>32</v>
      </c>
      <c r="G220" t="s">
        <v>41</v>
      </c>
      <c r="H220" t="s">
        <v>42</v>
      </c>
      <c r="I220" t="s">
        <v>22</v>
      </c>
      <c r="J220">
        <v>14</v>
      </c>
      <c r="K220" s="4" t="str" cm="1">
        <f t="array" ref="K220">_xlfn.IFS(J220&lt;=5,"0-5",J220&lt;=10,"6-10",J220&lt;=15,"11-15",J220&lt;=20,"16-20",J220&gt;20,"21+")</f>
        <v>11-15</v>
      </c>
      <c r="N220" s="8" t="str">
        <f t="shared" si="40"/>
        <v/>
      </c>
      <c r="P220">
        <v>0</v>
      </c>
      <c r="Q220" t="s">
        <v>2072</v>
      </c>
      <c r="R220" s="1">
        <v>0.96</v>
      </c>
      <c r="S220" s="3">
        <f t="shared" si="45"/>
        <v>0.96</v>
      </c>
    </row>
    <row r="221" spans="1:19" x14ac:dyDescent="0.3">
      <c r="A221" t="s">
        <v>514</v>
      </c>
      <c r="B221" t="s">
        <v>515</v>
      </c>
      <c r="C221" t="str">
        <f t="shared" si="44"/>
        <v>Richard Quinn</v>
      </c>
      <c r="D221" t="s">
        <v>40</v>
      </c>
      <c r="E221" t="str">
        <f t="shared" si="39"/>
        <v>Male</v>
      </c>
      <c r="F221">
        <v>37</v>
      </c>
      <c r="G221" t="s">
        <v>120</v>
      </c>
      <c r="H221" t="s">
        <v>14</v>
      </c>
      <c r="I221" t="s">
        <v>65</v>
      </c>
      <c r="J221">
        <v>2</v>
      </c>
      <c r="K221" s="4" t="str" cm="1">
        <f t="array" ref="K221">_xlfn.IFS(J221&lt;=5,"0-5",J221&lt;=10,"6-10",J221&lt;=15,"11-15",J221&lt;=20,"16-20",J221&gt;20,"21+")</f>
        <v>0-5</v>
      </c>
      <c r="L221" t="s">
        <v>37</v>
      </c>
      <c r="M221" s="2" t="str">
        <f>SUBSTITUTE(L221,"$","")</f>
        <v>30</v>
      </c>
      <c r="N221" s="8">
        <f t="shared" si="40"/>
        <v>30</v>
      </c>
      <c r="O221">
        <v>2.2999999999999998</v>
      </c>
      <c r="P221" t="s">
        <v>60</v>
      </c>
      <c r="Q221" t="s">
        <v>2073</v>
      </c>
    </row>
    <row r="222" spans="1:19" x14ac:dyDescent="0.3">
      <c r="A222" t="s">
        <v>516</v>
      </c>
      <c r="B222" t="s">
        <v>517</v>
      </c>
      <c r="C222" t="str">
        <f t="shared" si="44"/>
        <v>Jennifer Gonzalez</v>
      </c>
      <c r="D222" t="s">
        <v>12</v>
      </c>
      <c r="E222" t="str">
        <f t="shared" si="39"/>
        <v>Female</v>
      </c>
      <c r="F222">
        <v>21</v>
      </c>
      <c r="G222" t="s">
        <v>167</v>
      </c>
      <c r="H222" t="s">
        <v>168</v>
      </c>
      <c r="I222" t="s">
        <v>70</v>
      </c>
      <c r="J222">
        <v>2</v>
      </c>
      <c r="K222" s="4" t="str" cm="1">
        <f t="array" ref="K222">_xlfn.IFS(J222&lt;=5,"0-5",J222&lt;=10,"6-10",J222&lt;=15,"11-15",J222&lt;=20,"16-20",J222&gt;20,"21+")</f>
        <v>0-5</v>
      </c>
      <c r="L222">
        <v>100</v>
      </c>
      <c r="M222" s="2">
        <f>L222</f>
        <v>100</v>
      </c>
      <c r="N222" s="8">
        <f t="shared" si="40"/>
        <v>100</v>
      </c>
      <c r="O222">
        <v>2.4</v>
      </c>
      <c r="P222" t="s">
        <v>66</v>
      </c>
      <c r="Q222" t="s">
        <v>2073</v>
      </c>
    </row>
    <row r="223" spans="1:19" x14ac:dyDescent="0.3">
      <c r="A223" t="s">
        <v>518</v>
      </c>
      <c r="B223" t="s">
        <v>519</v>
      </c>
      <c r="C223" t="str">
        <f t="shared" si="44"/>
        <v>James Skinner</v>
      </c>
      <c r="D223" t="s">
        <v>53</v>
      </c>
      <c r="E223" t="str">
        <f t="shared" si="39"/>
        <v>Male</v>
      </c>
      <c r="F223">
        <v>41</v>
      </c>
      <c r="G223" t="s">
        <v>104</v>
      </c>
      <c r="H223" t="s">
        <v>105</v>
      </c>
      <c r="I223" t="s">
        <v>106</v>
      </c>
      <c r="J223">
        <v>4</v>
      </c>
      <c r="K223" s="4" t="str" cm="1">
        <f t="array" ref="K223">_xlfn.IFS(J223&lt;=5,"0-5",J223&lt;=10,"6-10",J223&lt;=15,"11-15",J223&lt;=20,"16-20",J223&gt;20,"21+")</f>
        <v>0-5</v>
      </c>
      <c r="L223">
        <v>75</v>
      </c>
      <c r="M223" s="2">
        <f>L223</f>
        <v>75</v>
      </c>
      <c r="N223" s="8">
        <f t="shared" si="40"/>
        <v>75</v>
      </c>
      <c r="O223">
        <v>2.6</v>
      </c>
      <c r="R223" s="1">
        <v>0.85</v>
      </c>
      <c r="S223" s="3">
        <f t="shared" ref="S223:S226" si="46">R223</f>
        <v>0.85</v>
      </c>
    </row>
    <row r="224" spans="1:19" x14ac:dyDescent="0.3">
      <c r="A224" t="s">
        <v>520</v>
      </c>
      <c r="B224" t="s">
        <v>521</v>
      </c>
      <c r="C224" t="str">
        <f t="shared" si="44"/>
        <v>Michelle Hill</v>
      </c>
      <c r="D224" t="s">
        <v>6</v>
      </c>
      <c r="E224" t="str">
        <f t="shared" si="39"/>
        <v>Female</v>
      </c>
      <c r="F224">
        <v>21</v>
      </c>
      <c r="G224" t="s">
        <v>120</v>
      </c>
      <c r="H224" t="s">
        <v>14</v>
      </c>
      <c r="I224" t="s">
        <v>36</v>
      </c>
      <c r="J224">
        <v>0</v>
      </c>
      <c r="K224" s="4" t="str" cm="1">
        <f t="array" ref="K224">_xlfn.IFS(J224&lt;=5,"0-5",J224&lt;=10,"6-10",J224&lt;=15,"11-15",J224&lt;=20,"16-20",J224&gt;20,"21+")</f>
        <v>0-5</v>
      </c>
      <c r="L224" t="s">
        <v>47</v>
      </c>
      <c r="M224" s="2" t="str">
        <f>TRIM(MID(L224,FIND(" ",L224)+1,LEN(L224)))</f>
        <v>40</v>
      </c>
      <c r="N224" s="8">
        <f t="shared" si="40"/>
        <v>40</v>
      </c>
      <c r="O224">
        <v>1.1000000000000001</v>
      </c>
      <c r="P224">
        <v>0</v>
      </c>
      <c r="Q224" t="s">
        <v>2072</v>
      </c>
      <c r="R224" s="1">
        <v>0.79</v>
      </c>
      <c r="S224" s="3">
        <f t="shared" si="46"/>
        <v>0.79</v>
      </c>
    </row>
    <row r="225" spans="1:19" x14ac:dyDescent="0.3">
      <c r="A225" t="s">
        <v>522</v>
      </c>
      <c r="B225" t="s">
        <v>523</v>
      </c>
      <c r="C225" t="str">
        <f t="shared" si="44"/>
        <v>Jacqueline Williams</v>
      </c>
      <c r="D225" t="s">
        <v>26</v>
      </c>
      <c r="E225" t="str">
        <f t="shared" si="39"/>
        <v>Female</v>
      </c>
      <c r="F225">
        <v>58</v>
      </c>
      <c r="G225" t="s">
        <v>167</v>
      </c>
      <c r="H225" t="s">
        <v>168</v>
      </c>
      <c r="I225" t="s">
        <v>106</v>
      </c>
      <c r="J225">
        <v>9</v>
      </c>
      <c r="K225" s="4" t="str" cm="1">
        <f t="array" ref="K225">_xlfn.IFS(J225&lt;=5,"0-5",J225&lt;=10,"6-10",J225&lt;=15,"11-15",J225&lt;=20,"16-20",J225&gt;20,"21+")</f>
        <v>6-10</v>
      </c>
      <c r="L225">
        <v>30</v>
      </c>
      <c r="M225" s="2">
        <f>L225</f>
        <v>30</v>
      </c>
      <c r="N225" s="8">
        <f t="shared" si="40"/>
        <v>30</v>
      </c>
      <c r="O225">
        <v>0</v>
      </c>
      <c r="P225">
        <v>1</v>
      </c>
      <c r="Q225" t="s">
        <v>2073</v>
      </c>
      <c r="R225" s="1">
        <v>0.65</v>
      </c>
      <c r="S225" s="3">
        <f t="shared" si="46"/>
        <v>0.65</v>
      </c>
    </row>
    <row r="226" spans="1:19" x14ac:dyDescent="0.3">
      <c r="A226" t="s">
        <v>524</v>
      </c>
      <c r="B226" t="s">
        <v>525</v>
      </c>
      <c r="C226" t="str">
        <f t="shared" si="44"/>
        <v>Darrell Johnson</v>
      </c>
      <c r="D226" t="s">
        <v>89</v>
      </c>
      <c r="E226" t="str">
        <f t="shared" si="39"/>
        <v>Male</v>
      </c>
      <c r="F226">
        <v>60</v>
      </c>
      <c r="G226" t="s">
        <v>120</v>
      </c>
      <c r="H226" t="s">
        <v>14</v>
      </c>
      <c r="I226" t="s">
        <v>106</v>
      </c>
      <c r="J226">
        <v>3</v>
      </c>
      <c r="K226" s="4" t="str" cm="1">
        <f t="array" ref="K226">_xlfn.IFS(J226&lt;=5,"0-5",J226&lt;=10,"6-10",J226&lt;=15,"11-15",J226&lt;=20,"16-20",J226&gt;20,"21+")</f>
        <v>0-5</v>
      </c>
      <c r="L226">
        <v>40</v>
      </c>
      <c r="M226" s="2">
        <f>L226</f>
        <v>40</v>
      </c>
      <c r="N226" s="8">
        <f t="shared" si="40"/>
        <v>40</v>
      </c>
      <c r="O226">
        <v>4.7</v>
      </c>
      <c r="P226" t="b">
        <v>0</v>
      </c>
      <c r="Q226" t="s">
        <v>2072</v>
      </c>
      <c r="R226" s="1">
        <v>0.63</v>
      </c>
      <c r="S226" s="3">
        <f t="shared" si="46"/>
        <v>0.63</v>
      </c>
    </row>
    <row r="227" spans="1:19" x14ac:dyDescent="0.3">
      <c r="A227" t="s">
        <v>526</v>
      </c>
      <c r="B227" t="s">
        <v>527</v>
      </c>
      <c r="C227" t="str">
        <f t="shared" si="44"/>
        <v>Ryan Crawford</v>
      </c>
      <c r="D227" t="s">
        <v>84</v>
      </c>
      <c r="E227" t="str">
        <f t="shared" si="39"/>
        <v>Male</v>
      </c>
      <c r="F227">
        <v>27</v>
      </c>
      <c r="G227" t="s">
        <v>145</v>
      </c>
      <c r="H227" t="s">
        <v>146</v>
      </c>
      <c r="I227" t="s">
        <v>27</v>
      </c>
      <c r="J227">
        <v>2</v>
      </c>
      <c r="K227" s="4" t="str" cm="1">
        <f t="array" ref="K227">_xlfn.IFS(J227&lt;=5,"0-5",J227&lt;=10,"6-10",J227&lt;=15,"11-15",J227&lt;=20,"16-20",J227&gt;20,"21+")</f>
        <v>0-5</v>
      </c>
      <c r="L227" t="s">
        <v>28</v>
      </c>
      <c r="M227" s="2" t="str">
        <f>SUBSTITUTE(L227,"$","")</f>
        <v>40</v>
      </c>
      <c r="N227" s="8">
        <f t="shared" si="40"/>
        <v>40</v>
      </c>
      <c r="O227">
        <v>1.2</v>
      </c>
      <c r="P227" t="b">
        <v>0</v>
      </c>
      <c r="Q227" t="s">
        <v>2072</v>
      </c>
    </row>
    <row r="228" spans="1:19" x14ac:dyDescent="0.3">
      <c r="A228" t="s">
        <v>528</v>
      </c>
      <c r="B228" t="s">
        <v>529</v>
      </c>
      <c r="C228" t="str">
        <f t="shared" si="44"/>
        <v>Chelsea Barber</v>
      </c>
      <c r="D228" t="s">
        <v>6</v>
      </c>
      <c r="E228" t="str">
        <f t="shared" si="39"/>
        <v>Female</v>
      </c>
      <c r="F228">
        <v>29</v>
      </c>
      <c r="G228" t="s">
        <v>20</v>
      </c>
      <c r="H228" t="s">
        <v>21</v>
      </c>
      <c r="I228" t="s">
        <v>106</v>
      </c>
      <c r="J228">
        <v>10</v>
      </c>
      <c r="K228" s="4" t="str" cm="1">
        <f t="array" ref="K228">_xlfn.IFS(J228&lt;=5,"0-5",J228&lt;=10,"6-10",J228&lt;=15,"11-15",J228&lt;=20,"16-20",J228&gt;20,"21+")</f>
        <v>6-10</v>
      </c>
      <c r="L228" t="s">
        <v>47</v>
      </c>
      <c r="M228" s="2" t="str">
        <f>TRIM(MID(L228,FIND(" ",L228)+1,LEN(L228)))</f>
        <v>40</v>
      </c>
      <c r="N228" s="8">
        <f t="shared" si="40"/>
        <v>40</v>
      </c>
      <c r="O228">
        <v>1.2</v>
      </c>
      <c r="P228" t="b">
        <v>0</v>
      </c>
      <c r="Q228" t="s">
        <v>2072</v>
      </c>
      <c r="R228" s="1">
        <v>0.78</v>
      </c>
      <c r="S228" s="3">
        <f t="shared" ref="S228:S230" si="47">R228</f>
        <v>0.78</v>
      </c>
    </row>
    <row r="229" spans="1:19" x14ac:dyDescent="0.3">
      <c r="A229" t="s">
        <v>530</v>
      </c>
      <c r="B229" t="s">
        <v>531</v>
      </c>
      <c r="C229" t="str">
        <f t="shared" si="44"/>
        <v>Elaine Martinez</v>
      </c>
      <c r="D229" t="s">
        <v>69</v>
      </c>
      <c r="E229" t="str">
        <f t="shared" si="39"/>
        <v>Female</v>
      </c>
      <c r="F229">
        <v>54</v>
      </c>
      <c r="G229" t="s">
        <v>120</v>
      </c>
      <c r="H229" t="s">
        <v>14</v>
      </c>
      <c r="I229" t="s">
        <v>22</v>
      </c>
      <c r="J229">
        <v>33</v>
      </c>
      <c r="K229" s="4" t="str" cm="1">
        <f t="array" ref="K229">_xlfn.IFS(J229&lt;=5,"0-5",J229&lt;=10,"6-10",J229&lt;=15,"11-15",J229&lt;=20,"16-20",J229&gt;20,"21+")</f>
        <v>21+</v>
      </c>
      <c r="L229" t="s">
        <v>162</v>
      </c>
      <c r="M229" s="2" t="str">
        <f>SUBSTITUTE(L229,"$","")</f>
        <v>75</v>
      </c>
      <c r="N229" s="8">
        <f t="shared" si="40"/>
        <v>75</v>
      </c>
      <c r="O229">
        <v>0</v>
      </c>
      <c r="P229">
        <v>1</v>
      </c>
      <c r="Q229" t="s">
        <v>2073</v>
      </c>
      <c r="R229" s="1">
        <v>0.62</v>
      </c>
      <c r="S229" s="3">
        <f t="shared" si="47"/>
        <v>0.62</v>
      </c>
    </row>
    <row r="230" spans="1:19" x14ac:dyDescent="0.3">
      <c r="A230" t="s">
        <v>532</v>
      </c>
      <c r="B230" t="s">
        <v>533</v>
      </c>
      <c r="C230" t="str">
        <f t="shared" si="44"/>
        <v>Joseph Kent</v>
      </c>
      <c r="D230" t="s">
        <v>84</v>
      </c>
      <c r="E230" t="str">
        <f t="shared" si="39"/>
        <v>Male</v>
      </c>
      <c r="F230">
        <v>52</v>
      </c>
      <c r="G230" t="s">
        <v>171</v>
      </c>
      <c r="H230" t="s">
        <v>64</v>
      </c>
      <c r="I230" t="s">
        <v>106</v>
      </c>
      <c r="J230">
        <v>12</v>
      </c>
      <c r="K230" s="4" t="str" cm="1">
        <f t="array" ref="K230">_xlfn.IFS(J230&lt;=5,"0-5",J230&lt;=10,"6-10",J230&lt;=15,"11-15",J230&lt;=20,"16-20",J230&gt;20,"21+")</f>
        <v>11-15</v>
      </c>
      <c r="L230">
        <v>40</v>
      </c>
      <c r="M230" s="2">
        <f>L230</f>
        <v>40</v>
      </c>
      <c r="N230" s="8">
        <f t="shared" si="40"/>
        <v>40</v>
      </c>
      <c r="O230">
        <v>1.2</v>
      </c>
      <c r="P230">
        <v>0</v>
      </c>
      <c r="Q230" t="s">
        <v>2072</v>
      </c>
      <c r="R230" s="1">
        <v>0.76</v>
      </c>
      <c r="S230" s="3">
        <f t="shared" si="47"/>
        <v>0.76</v>
      </c>
    </row>
    <row r="231" spans="1:19" x14ac:dyDescent="0.3">
      <c r="A231" t="s">
        <v>534</v>
      </c>
      <c r="B231" t="s">
        <v>535</v>
      </c>
      <c r="C231" t="str">
        <f t="shared" si="44"/>
        <v>Megan Welch</v>
      </c>
      <c r="D231" t="s">
        <v>12</v>
      </c>
      <c r="E231" t="str">
        <f t="shared" si="39"/>
        <v>Female</v>
      </c>
      <c r="F231">
        <v>55</v>
      </c>
      <c r="G231" t="s">
        <v>41</v>
      </c>
      <c r="H231" t="s">
        <v>42</v>
      </c>
      <c r="I231" t="s">
        <v>9</v>
      </c>
      <c r="J231">
        <v>18</v>
      </c>
      <c r="K231" s="4" t="str" cm="1">
        <f t="array" ref="K231">_xlfn.IFS(J231&lt;=5,"0-5",J231&lt;=10,"6-10",J231&lt;=15,"11-15",J231&lt;=20,"16-20",J231&gt;20,"21+")</f>
        <v>16-20</v>
      </c>
      <c r="L231">
        <v>100</v>
      </c>
      <c r="M231" s="2">
        <f>L231</f>
        <v>100</v>
      </c>
      <c r="N231" s="8">
        <f t="shared" si="40"/>
        <v>100</v>
      </c>
      <c r="O231">
        <v>2.9</v>
      </c>
      <c r="P231">
        <v>0</v>
      </c>
      <c r="Q231" t="s">
        <v>2072</v>
      </c>
      <c r="R231">
        <v>97</v>
      </c>
      <c r="S231" s="3">
        <f>R231/100</f>
        <v>0.97</v>
      </c>
    </row>
    <row r="232" spans="1:19" x14ac:dyDescent="0.3">
      <c r="A232" t="s">
        <v>536</v>
      </c>
      <c r="B232" t="s">
        <v>537</v>
      </c>
      <c r="C232" t="str">
        <f t="shared" si="44"/>
        <v>Stephen Ramirez</v>
      </c>
      <c r="D232" t="s">
        <v>19</v>
      </c>
      <c r="E232" t="str">
        <f t="shared" si="39"/>
        <v>Male</v>
      </c>
      <c r="F232">
        <v>37</v>
      </c>
      <c r="G232" t="s">
        <v>99</v>
      </c>
      <c r="H232" t="s">
        <v>100</v>
      </c>
      <c r="I232" t="s">
        <v>9</v>
      </c>
      <c r="J232">
        <v>4</v>
      </c>
      <c r="K232" s="4" t="str" cm="1">
        <f t="array" ref="K232">_xlfn.IFS(J232&lt;=5,"0-5",J232&lt;=10,"6-10",J232&lt;=15,"11-15",J232&lt;=20,"16-20",J232&gt;20,"21+")</f>
        <v>0-5</v>
      </c>
      <c r="N232" s="8" t="str">
        <f t="shared" si="40"/>
        <v/>
      </c>
      <c r="P232" t="s">
        <v>23</v>
      </c>
      <c r="Q232" t="s">
        <v>2072</v>
      </c>
    </row>
    <row r="233" spans="1:19" x14ac:dyDescent="0.3">
      <c r="A233" t="s">
        <v>538</v>
      </c>
      <c r="B233" t="s">
        <v>539</v>
      </c>
      <c r="C233" t="str">
        <f t="shared" si="44"/>
        <v>Chloe Gray</v>
      </c>
      <c r="D233" t="s">
        <v>6</v>
      </c>
      <c r="E233" t="str">
        <f t="shared" si="39"/>
        <v>Female</v>
      </c>
      <c r="F233">
        <v>34</v>
      </c>
      <c r="G233" t="s">
        <v>131</v>
      </c>
      <c r="H233" t="s">
        <v>132</v>
      </c>
      <c r="I233" t="s">
        <v>43</v>
      </c>
      <c r="J233">
        <v>11</v>
      </c>
      <c r="K233" s="4" t="str" cm="1">
        <f t="array" ref="K233">_xlfn.IFS(J233&lt;=5,"0-5",J233&lt;=10,"6-10",J233&lt;=15,"11-15",J233&lt;=20,"16-20",J233&gt;20,"21+")</f>
        <v>11-15</v>
      </c>
      <c r="L233" t="s">
        <v>56</v>
      </c>
      <c r="M233" s="2" t="str">
        <f>SUBSTITUTE(L233,"$","")</f>
        <v>50</v>
      </c>
      <c r="N233" s="8">
        <f t="shared" si="40"/>
        <v>50</v>
      </c>
      <c r="O233">
        <v>3.9</v>
      </c>
      <c r="P233">
        <v>1</v>
      </c>
      <c r="Q233" t="s">
        <v>2073</v>
      </c>
      <c r="R233" s="1">
        <v>0.82</v>
      </c>
      <c r="S233" s="3">
        <f t="shared" ref="S233:S234" si="48">R233</f>
        <v>0.82</v>
      </c>
    </row>
    <row r="234" spans="1:19" x14ac:dyDescent="0.3">
      <c r="A234" t="s">
        <v>540</v>
      </c>
      <c r="B234" t="s">
        <v>541</v>
      </c>
      <c r="C234" t="str">
        <f>TRIM(MID(B234,FIND(" ",B234)+1,LEN(B234)))</f>
        <v>Williams Jr.</v>
      </c>
      <c r="D234" t="s">
        <v>40</v>
      </c>
      <c r="E234" t="str">
        <f t="shared" si="39"/>
        <v>Male</v>
      </c>
      <c r="F234">
        <v>20</v>
      </c>
      <c r="G234" t="s">
        <v>127</v>
      </c>
      <c r="H234" t="s">
        <v>128</v>
      </c>
      <c r="I234" t="s">
        <v>43</v>
      </c>
      <c r="J234">
        <v>1</v>
      </c>
      <c r="K234" s="4" t="str" cm="1">
        <f t="array" ref="K234">_xlfn.IFS(J234&lt;=5,"0-5",J234&lt;=10,"6-10",J234&lt;=15,"11-15",J234&lt;=20,"16-20",J234&gt;20,"21+")</f>
        <v>0-5</v>
      </c>
      <c r="L234">
        <v>50</v>
      </c>
      <c r="M234" s="2">
        <f>L234</f>
        <v>50</v>
      </c>
      <c r="N234" s="8">
        <f t="shared" si="40"/>
        <v>50</v>
      </c>
      <c r="O234">
        <v>3.1</v>
      </c>
      <c r="R234" s="1">
        <v>0.71</v>
      </c>
      <c r="S234" s="3">
        <f t="shared" si="48"/>
        <v>0.71</v>
      </c>
    </row>
    <row r="235" spans="1:19" x14ac:dyDescent="0.3">
      <c r="A235" t="s">
        <v>542</v>
      </c>
      <c r="B235" t="s">
        <v>543</v>
      </c>
      <c r="C235" t="str">
        <f t="shared" ref="C235:C274" si="49">B235</f>
        <v>Matthew Martin</v>
      </c>
      <c r="D235" t="s">
        <v>40</v>
      </c>
      <c r="E235" t="str">
        <f t="shared" si="39"/>
        <v>Male</v>
      </c>
      <c r="F235">
        <v>22</v>
      </c>
      <c r="G235" t="s">
        <v>171</v>
      </c>
      <c r="H235" t="s">
        <v>64</v>
      </c>
      <c r="I235" t="s">
        <v>65</v>
      </c>
      <c r="J235">
        <v>2</v>
      </c>
      <c r="K235" s="4" t="str" cm="1">
        <f t="array" ref="K235">_xlfn.IFS(J235&lt;=5,"0-5",J235&lt;=10,"6-10",J235&lt;=15,"11-15",J235&lt;=20,"16-20",J235&gt;20,"21+")</f>
        <v>0-5</v>
      </c>
      <c r="N235" s="8" t="str">
        <f t="shared" si="40"/>
        <v/>
      </c>
      <c r="O235">
        <v>0</v>
      </c>
      <c r="P235">
        <v>1</v>
      </c>
      <c r="Q235" t="s">
        <v>2073</v>
      </c>
    </row>
    <row r="236" spans="1:19" x14ac:dyDescent="0.3">
      <c r="A236" t="s">
        <v>544</v>
      </c>
      <c r="B236" t="s">
        <v>545</v>
      </c>
      <c r="C236" t="str">
        <f t="shared" si="49"/>
        <v>Julia Murphy</v>
      </c>
      <c r="D236" t="s">
        <v>6</v>
      </c>
      <c r="E236" t="str">
        <f t="shared" si="39"/>
        <v>Female</v>
      </c>
      <c r="F236">
        <v>23</v>
      </c>
      <c r="G236" t="s">
        <v>104</v>
      </c>
      <c r="H236" t="s">
        <v>105</v>
      </c>
      <c r="I236" t="s">
        <v>22</v>
      </c>
      <c r="J236">
        <v>2</v>
      </c>
      <c r="K236" s="4" t="str" cm="1">
        <f t="array" ref="K236">_xlfn.IFS(J236&lt;=5,"0-5",J236&lt;=10,"6-10",J236&lt;=15,"11-15",J236&lt;=20,"16-20",J236&gt;20,"21+")</f>
        <v>0-5</v>
      </c>
      <c r="L236">
        <v>50</v>
      </c>
      <c r="M236" s="2">
        <f>L236</f>
        <v>50</v>
      </c>
      <c r="N236" s="8">
        <f t="shared" si="40"/>
        <v>50</v>
      </c>
      <c r="O236">
        <v>3.2</v>
      </c>
      <c r="P236" t="b">
        <v>1</v>
      </c>
      <c r="Q236" t="s">
        <v>2073</v>
      </c>
    </row>
    <row r="237" spans="1:19" x14ac:dyDescent="0.3">
      <c r="A237" t="s">
        <v>546</v>
      </c>
      <c r="B237" t="s">
        <v>547</v>
      </c>
      <c r="C237" t="str">
        <f t="shared" si="49"/>
        <v>Anna Evans</v>
      </c>
      <c r="D237" t="s">
        <v>26</v>
      </c>
      <c r="E237" t="str">
        <f t="shared" si="39"/>
        <v>Female</v>
      </c>
      <c r="F237">
        <v>53</v>
      </c>
      <c r="G237" t="s">
        <v>104</v>
      </c>
      <c r="H237" t="s">
        <v>105</v>
      </c>
      <c r="I237" t="s">
        <v>9</v>
      </c>
      <c r="J237">
        <v>34</v>
      </c>
      <c r="K237" s="4" t="str" cm="1">
        <f t="array" ref="K237">_xlfn.IFS(J237&lt;=5,"0-5",J237&lt;=10,"6-10",J237&lt;=15,"11-15",J237&lt;=20,"16-20",J237&gt;20,"21+")</f>
        <v>21+</v>
      </c>
      <c r="L237">
        <v>30</v>
      </c>
      <c r="M237" s="2">
        <f>L237</f>
        <v>30</v>
      </c>
      <c r="N237" s="8">
        <f t="shared" si="40"/>
        <v>30</v>
      </c>
      <c r="P237" t="s">
        <v>66</v>
      </c>
      <c r="Q237" t="s">
        <v>2073</v>
      </c>
    </row>
    <row r="238" spans="1:19" x14ac:dyDescent="0.3">
      <c r="A238" t="s">
        <v>548</v>
      </c>
      <c r="B238" t="s">
        <v>549</v>
      </c>
      <c r="C238" t="str">
        <f t="shared" si="49"/>
        <v>Brenda Fleming</v>
      </c>
      <c r="D238" t="s">
        <v>26</v>
      </c>
      <c r="E238" t="str">
        <f t="shared" si="39"/>
        <v>Female</v>
      </c>
      <c r="F238">
        <v>56</v>
      </c>
      <c r="G238" t="s">
        <v>104</v>
      </c>
      <c r="H238" t="s">
        <v>105</v>
      </c>
      <c r="I238" t="s">
        <v>22</v>
      </c>
      <c r="J238">
        <v>27</v>
      </c>
      <c r="K238" s="4" t="str" cm="1">
        <f t="array" ref="K238">_xlfn.IFS(J238&lt;=5,"0-5",J238&lt;=10,"6-10",J238&lt;=15,"11-15",J238&lt;=20,"16-20",J238&gt;20,"21+")</f>
        <v>21+</v>
      </c>
      <c r="L238">
        <v>100</v>
      </c>
      <c r="M238" s="2">
        <f>L238</f>
        <v>100</v>
      </c>
      <c r="N238" s="8">
        <f t="shared" si="40"/>
        <v>100</v>
      </c>
      <c r="O238">
        <v>4.7</v>
      </c>
      <c r="P238" t="b">
        <v>1</v>
      </c>
      <c r="Q238" t="s">
        <v>2073</v>
      </c>
      <c r="R238" s="1">
        <v>0.69</v>
      </c>
      <c r="S238" s="3">
        <f t="shared" ref="S238:S240" si="50">R238</f>
        <v>0.69</v>
      </c>
    </row>
    <row r="239" spans="1:19" x14ac:dyDescent="0.3">
      <c r="A239" t="s">
        <v>550</v>
      </c>
      <c r="B239" t="s">
        <v>551</v>
      </c>
      <c r="C239" t="str">
        <f t="shared" si="49"/>
        <v>Daniel Harrington</v>
      </c>
      <c r="D239" t="s">
        <v>84</v>
      </c>
      <c r="E239" t="str">
        <f t="shared" si="39"/>
        <v>Male</v>
      </c>
      <c r="F239">
        <v>27</v>
      </c>
      <c r="G239" t="s">
        <v>120</v>
      </c>
      <c r="H239" t="s">
        <v>14</v>
      </c>
      <c r="I239" t="s">
        <v>36</v>
      </c>
      <c r="J239">
        <v>4</v>
      </c>
      <c r="K239" s="4" t="str" cm="1">
        <f t="array" ref="K239">_xlfn.IFS(J239&lt;=5,"0-5",J239&lt;=10,"6-10",J239&lt;=15,"11-15",J239&lt;=20,"16-20",J239&gt;20,"21+")</f>
        <v>0-5</v>
      </c>
      <c r="L239">
        <v>75</v>
      </c>
      <c r="M239" s="2">
        <f>L239</f>
        <v>75</v>
      </c>
      <c r="N239" s="8">
        <f t="shared" si="40"/>
        <v>75</v>
      </c>
      <c r="O239">
        <v>5</v>
      </c>
      <c r="P239">
        <v>0</v>
      </c>
      <c r="Q239" t="s">
        <v>2072</v>
      </c>
      <c r="R239" s="1">
        <v>0.88</v>
      </c>
      <c r="S239" s="3">
        <f t="shared" si="50"/>
        <v>0.88</v>
      </c>
    </row>
    <row r="240" spans="1:19" x14ac:dyDescent="0.3">
      <c r="A240" t="s">
        <v>552</v>
      </c>
      <c r="B240" t="s">
        <v>553</v>
      </c>
      <c r="C240" t="str">
        <f t="shared" si="49"/>
        <v>Daniel Barnett</v>
      </c>
      <c r="D240" t="s">
        <v>89</v>
      </c>
      <c r="E240" t="str">
        <f t="shared" si="39"/>
        <v>Male</v>
      </c>
      <c r="F240">
        <v>34</v>
      </c>
      <c r="G240" t="s">
        <v>7</v>
      </c>
      <c r="H240" t="s">
        <v>8</v>
      </c>
      <c r="I240" t="s">
        <v>15</v>
      </c>
      <c r="J240">
        <v>11</v>
      </c>
      <c r="K240" s="4" t="str" cm="1">
        <f t="array" ref="K240">_xlfn.IFS(J240&lt;=5,"0-5",J240&lt;=10,"6-10",J240&lt;=15,"11-15",J240&lt;=20,"16-20",J240&gt;20,"21+")</f>
        <v>11-15</v>
      </c>
      <c r="L240" t="s">
        <v>47</v>
      </c>
      <c r="M240" s="2" t="str">
        <f>TRIM(MID(L240,FIND(" ",L240)+1,LEN(L240)))</f>
        <v>40</v>
      </c>
      <c r="N240" s="8">
        <f t="shared" si="40"/>
        <v>40</v>
      </c>
      <c r="P240" t="b">
        <v>0</v>
      </c>
      <c r="Q240" t="s">
        <v>2072</v>
      </c>
      <c r="R240" s="1">
        <v>0.67</v>
      </c>
      <c r="S240" s="3">
        <f t="shared" si="50"/>
        <v>0.67</v>
      </c>
    </row>
    <row r="241" spans="1:19" x14ac:dyDescent="0.3">
      <c r="A241" t="s">
        <v>554</v>
      </c>
      <c r="B241" t="s">
        <v>555</v>
      </c>
      <c r="C241" t="str">
        <f t="shared" si="49"/>
        <v>Mark Cummings</v>
      </c>
      <c r="D241" t="s">
        <v>84</v>
      </c>
      <c r="E241" t="str">
        <f t="shared" si="39"/>
        <v>Male</v>
      </c>
      <c r="F241">
        <v>29</v>
      </c>
      <c r="G241" t="s">
        <v>50</v>
      </c>
      <c r="H241" t="s">
        <v>14</v>
      </c>
      <c r="I241" t="s">
        <v>27</v>
      </c>
      <c r="J241">
        <v>4</v>
      </c>
      <c r="K241" s="4" t="str" cm="1">
        <f t="array" ref="K241">_xlfn.IFS(J241&lt;=5,"0-5",J241&lt;=10,"6-10",J241&lt;=15,"11-15",J241&lt;=20,"16-20",J241&gt;20,"21+")</f>
        <v>0-5</v>
      </c>
      <c r="L241" t="s">
        <v>90</v>
      </c>
      <c r="M241" s="2" t="str">
        <f>TRIM(MID(L241,FIND(" ",L241)+1,LEN(L241)))</f>
        <v>50</v>
      </c>
      <c r="N241" s="8">
        <f t="shared" si="40"/>
        <v>50</v>
      </c>
      <c r="O241">
        <v>4</v>
      </c>
      <c r="P241">
        <v>0</v>
      </c>
      <c r="Q241" t="s">
        <v>2072</v>
      </c>
    </row>
    <row r="242" spans="1:19" x14ac:dyDescent="0.3">
      <c r="A242" t="s">
        <v>556</v>
      </c>
      <c r="B242" t="s">
        <v>557</v>
      </c>
      <c r="C242" t="str">
        <f t="shared" si="49"/>
        <v>Christopher Guerra</v>
      </c>
      <c r="D242" t="s">
        <v>84</v>
      </c>
      <c r="E242" t="str">
        <f t="shared" si="39"/>
        <v>Male</v>
      </c>
      <c r="F242">
        <v>34</v>
      </c>
      <c r="G242" t="s">
        <v>85</v>
      </c>
      <c r="H242" t="s">
        <v>86</v>
      </c>
      <c r="I242" t="s">
        <v>36</v>
      </c>
      <c r="J242">
        <v>11</v>
      </c>
      <c r="K242" s="4" t="str" cm="1">
        <f t="array" ref="K242">_xlfn.IFS(J242&lt;=5,"0-5",J242&lt;=10,"6-10",J242&lt;=15,"11-15",J242&lt;=20,"16-20",J242&gt;20,"21+")</f>
        <v>11-15</v>
      </c>
      <c r="N242" s="8" t="str">
        <f t="shared" si="40"/>
        <v/>
      </c>
      <c r="O242">
        <v>1.2</v>
      </c>
      <c r="P242">
        <v>1</v>
      </c>
      <c r="Q242" t="s">
        <v>2073</v>
      </c>
    </row>
    <row r="243" spans="1:19" x14ac:dyDescent="0.3">
      <c r="A243" t="s">
        <v>558</v>
      </c>
      <c r="B243" t="s">
        <v>559</v>
      </c>
      <c r="C243" t="str">
        <f t="shared" si="49"/>
        <v>Sarah Ho</v>
      </c>
      <c r="D243" t="s">
        <v>31</v>
      </c>
      <c r="E243" t="str">
        <f t="shared" si="39"/>
        <v>Female</v>
      </c>
      <c r="F243">
        <v>32</v>
      </c>
      <c r="G243" t="s">
        <v>171</v>
      </c>
      <c r="H243" t="s">
        <v>64</v>
      </c>
      <c r="I243" t="s">
        <v>36</v>
      </c>
      <c r="J243">
        <v>1</v>
      </c>
      <c r="K243" s="4" t="str" cm="1">
        <f t="array" ref="K243">_xlfn.IFS(J243&lt;=5,"0-5",J243&lt;=10,"6-10",J243&lt;=15,"11-15",J243&lt;=20,"16-20",J243&gt;20,"21+")</f>
        <v>0-5</v>
      </c>
      <c r="L243">
        <v>100</v>
      </c>
      <c r="M243" s="2">
        <f>L243</f>
        <v>100</v>
      </c>
      <c r="N243" s="8">
        <f t="shared" si="40"/>
        <v>100</v>
      </c>
      <c r="O243">
        <v>4.7</v>
      </c>
      <c r="P243">
        <v>0</v>
      </c>
      <c r="Q243" t="s">
        <v>2072</v>
      </c>
      <c r="R243" s="1">
        <v>0.67</v>
      </c>
      <c r="S243" s="3">
        <f t="shared" ref="S243:S246" si="51">R243</f>
        <v>0.67</v>
      </c>
    </row>
    <row r="244" spans="1:19" x14ac:dyDescent="0.3">
      <c r="A244" t="s">
        <v>560</v>
      </c>
      <c r="B244" t="s">
        <v>561</v>
      </c>
      <c r="C244" t="str">
        <f t="shared" si="49"/>
        <v>Veronica Thomas</v>
      </c>
      <c r="D244" t="s">
        <v>6</v>
      </c>
      <c r="E244" t="str">
        <f t="shared" si="39"/>
        <v>Female</v>
      </c>
      <c r="F244">
        <v>21</v>
      </c>
      <c r="G244" t="s">
        <v>145</v>
      </c>
      <c r="H244" t="s">
        <v>146</v>
      </c>
      <c r="I244" t="s">
        <v>106</v>
      </c>
      <c r="J244">
        <v>2</v>
      </c>
      <c r="K244" s="4" t="str" cm="1">
        <f t="array" ref="K244">_xlfn.IFS(J244&lt;=5,"0-5",J244&lt;=10,"6-10",J244&lt;=15,"11-15",J244&lt;=20,"16-20",J244&gt;20,"21+")</f>
        <v>0-5</v>
      </c>
      <c r="L244">
        <v>20</v>
      </c>
      <c r="M244" s="2">
        <f>L244</f>
        <v>20</v>
      </c>
      <c r="N244" s="8">
        <f t="shared" si="40"/>
        <v>20</v>
      </c>
      <c r="O244">
        <v>2.4</v>
      </c>
      <c r="R244" s="1">
        <v>0.86</v>
      </c>
      <c r="S244" s="3">
        <f t="shared" si="51"/>
        <v>0.86</v>
      </c>
    </row>
    <row r="245" spans="1:19" x14ac:dyDescent="0.3">
      <c r="A245" t="s">
        <v>562</v>
      </c>
      <c r="B245" t="s">
        <v>563</v>
      </c>
      <c r="C245" t="str">
        <f t="shared" si="49"/>
        <v>Mitchell Watson</v>
      </c>
      <c r="D245" t="s">
        <v>53</v>
      </c>
      <c r="E245" t="str">
        <f t="shared" si="39"/>
        <v>Male</v>
      </c>
      <c r="F245">
        <v>20</v>
      </c>
      <c r="G245" t="s">
        <v>171</v>
      </c>
      <c r="H245" t="s">
        <v>64</v>
      </c>
      <c r="I245" t="s">
        <v>22</v>
      </c>
      <c r="J245">
        <v>2</v>
      </c>
      <c r="K245" s="4" t="str" cm="1">
        <f t="array" ref="K245">_xlfn.IFS(J245&lt;=5,"0-5",J245&lt;=10,"6-10",J245&lt;=15,"11-15",J245&lt;=20,"16-20",J245&gt;20,"21+")</f>
        <v>0-5</v>
      </c>
      <c r="N245" s="8" t="str">
        <f t="shared" si="40"/>
        <v/>
      </c>
      <c r="O245">
        <v>1.1000000000000001</v>
      </c>
      <c r="P245" t="b">
        <v>0</v>
      </c>
      <c r="Q245" t="s">
        <v>2072</v>
      </c>
      <c r="R245" s="1">
        <v>0.69</v>
      </c>
      <c r="S245" s="3">
        <f t="shared" si="51"/>
        <v>0.69</v>
      </c>
    </row>
    <row r="246" spans="1:19" x14ac:dyDescent="0.3">
      <c r="A246" t="s">
        <v>564</v>
      </c>
      <c r="B246" t="s">
        <v>565</v>
      </c>
      <c r="C246" t="str">
        <f t="shared" si="49"/>
        <v>Monica Murphy</v>
      </c>
      <c r="D246" t="s">
        <v>12</v>
      </c>
      <c r="E246" t="str">
        <f t="shared" si="39"/>
        <v>Female</v>
      </c>
      <c r="F246">
        <v>35</v>
      </c>
      <c r="G246" t="s">
        <v>50</v>
      </c>
      <c r="H246" t="s">
        <v>14</v>
      </c>
      <c r="I246" t="s">
        <v>15</v>
      </c>
      <c r="J246">
        <v>10</v>
      </c>
      <c r="K246" s="4" t="str" cm="1">
        <f t="array" ref="K246">_xlfn.IFS(J246&lt;=5,"0-5",J246&lt;=10,"6-10",J246&lt;=15,"11-15",J246&lt;=20,"16-20",J246&gt;20,"21+")</f>
        <v>6-10</v>
      </c>
      <c r="L246">
        <v>50</v>
      </c>
      <c r="M246" s="2">
        <f>L246</f>
        <v>50</v>
      </c>
      <c r="N246" s="8">
        <f t="shared" si="40"/>
        <v>50</v>
      </c>
      <c r="O246">
        <v>1.4</v>
      </c>
      <c r="P246" t="b">
        <v>1</v>
      </c>
      <c r="Q246" t="s">
        <v>2073</v>
      </c>
      <c r="R246" s="1">
        <v>0.85</v>
      </c>
      <c r="S246" s="3">
        <f t="shared" si="51"/>
        <v>0.85</v>
      </c>
    </row>
    <row r="247" spans="1:19" x14ac:dyDescent="0.3">
      <c r="A247" t="s">
        <v>566</v>
      </c>
      <c r="B247" t="s">
        <v>567</v>
      </c>
      <c r="C247" t="str">
        <f t="shared" si="49"/>
        <v>Kristen Williams</v>
      </c>
      <c r="D247" t="s">
        <v>6</v>
      </c>
      <c r="E247" t="str">
        <f t="shared" si="39"/>
        <v>Female</v>
      </c>
      <c r="F247">
        <v>47</v>
      </c>
      <c r="G247" t="s">
        <v>50</v>
      </c>
      <c r="H247" t="s">
        <v>14</v>
      </c>
      <c r="I247" t="s">
        <v>65</v>
      </c>
      <c r="J247">
        <v>18</v>
      </c>
      <c r="K247" s="4" t="str" cm="1">
        <f t="array" ref="K247">_xlfn.IFS(J247&lt;=5,"0-5",J247&lt;=10,"6-10",J247&lt;=15,"11-15",J247&lt;=20,"16-20",J247&gt;20,"21+")</f>
        <v>16-20</v>
      </c>
      <c r="L247">
        <v>40</v>
      </c>
      <c r="M247" s="2">
        <f>L247</f>
        <v>40</v>
      </c>
      <c r="N247" s="8">
        <f t="shared" si="40"/>
        <v>40</v>
      </c>
      <c r="O247">
        <v>3.4</v>
      </c>
      <c r="P247">
        <v>0</v>
      </c>
      <c r="Q247" t="s">
        <v>2072</v>
      </c>
      <c r="R247">
        <v>60</v>
      </c>
      <c r="S247" s="3">
        <f t="shared" ref="S247:S248" si="52">R247/100</f>
        <v>0.6</v>
      </c>
    </row>
    <row r="248" spans="1:19" x14ac:dyDescent="0.3">
      <c r="A248" t="s">
        <v>568</v>
      </c>
      <c r="B248" t="s">
        <v>569</v>
      </c>
      <c r="C248" t="str">
        <f t="shared" si="49"/>
        <v>Nicole Wright</v>
      </c>
      <c r="D248" t="s">
        <v>6</v>
      </c>
      <c r="E248" t="str">
        <f t="shared" si="39"/>
        <v>Female</v>
      </c>
      <c r="F248">
        <v>41</v>
      </c>
      <c r="G248" t="s">
        <v>54</v>
      </c>
      <c r="H248" t="s">
        <v>55</v>
      </c>
      <c r="I248" t="s">
        <v>9</v>
      </c>
      <c r="J248">
        <v>4</v>
      </c>
      <c r="K248" s="4" t="str" cm="1">
        <f t="array" ref="K248">_xlfn.IFS(J248&lt;=5,"0-5",J248&lt;=10,"6-10",J248&lt;=15,"11-15",J248&lt;=20,"16-20",J248&gt;20,"21+")</f>
        <v>0-5</v>
      </c>
      <c r="L248">
        <v>40</v>
      </c>
      <c r="M248" s="2">
        <f>L248</f>
        <v>40</v>
      </c>
      <c r="N248" s="8">
        <f t="shared" si="40"/>
        <v>40</v>
      </c>
      <c r="O248">
        <v>2.7</v>
      </c>
      <c r="P248">
        <v>1</v>
      </c>
      <c r="Q248" t="s">
        <v>2073</v>
      </c>
      <c r="R248">
        <v>70</v>
      </c>
      <c r="S248" s="3">
        <f t="shared" si="52"/>
        <v>0.7</v>
      </c>
    </row>
    <row r="249" spans="1:19" x14ac:dyDescent="0.3">
      <c r="A249" t="s">
        <v>570</v>
      </c>
      <c r="B249" t="s">
        <v>571</v>
      </c>
      <c r="C249" t="str">
        <f t="shared" si="49"/>
        <v>Andrew Ruiz</v>
      </c>
      <c r="D249" t="s">
        <v>19</v>
      </c>
      <c r="E249" t="str">
        <f t="shared" si="39"/>
        <v>Male</v>
      </c>
      <c r="F249">
        <v>58</v>
      </c>
      <c r="G249" t="s">
        <v>63</v>
      </c>
      <c r="H249" t="s">
        <v>64</v>
      </c>
      <c r="I249" t="s">
        <v>27</v>
      </c>
      <c r="J249">
        <v>23</v>
      </c>
      <c r="K249" s="4" t="str" cm="1">
        <f t="array" ref="K249">_xlfn.IFS(J249&lt;=5,"0-5",J249&lt;=10,"6-10",J249&lt;=15,"11-15",J249&lt;=20,"16-20",J249&gt;20,"21+")</f>
        <v>21+</v>
      </c>
      <c r="N249" s="8" t="str">
        <f t="shared" si="40"/>
        <v/>
      </c>
      <c r="O249">
        <v>4.9000000000000004</v>
      </c>
      <c r="P249" t="b">
        <v>0</v>
      </c>
      <c r="Q249" t="s">
        <v>2072</v>
      </c>
    </row>
    <row r="250" spans="1:19" x14ac:dyDescent="0.3">
      <c r="A250" t="s">
        <v>572</v>
      </c>
      <c r="B250" t="s">
        <v>573</v>
      </c>
      <c r="C250" t="str">
        <f t="shared" si="49"/>
        <v>Zachary Jackson</v>
      </c>
      <c r="D250" t="s">
        <v>40</v>
      </c>
      <c r="E250" t="str">
        <f t="shared" si="39"/>
        <v>Male</v>
      </c>
      <c r="F250">
        <v>34</v>
      </c>
      <c r="G250" t="s">
        <v>167</v>
      </c>
      <c r="H250" t="s">
        <v>168</v>
      </c>
      <c r="I250" t="s">
        <v>43</v>
      </c>
      <c r="J250">
        <v>6</v>
      </c>
      <c r="K250" s="4" t="str" cm="1">
        <f t="array" ref="K250">_xlfn.IFS(J250&lt;=5,"0-5",J250&lt;=10,"6-10",J250&lt;=15,"11-15",J250&lt;=20,"16-20",J250&gt;20,"21+")</f>
        <v>6-10</v>
      </c>
      <c r="L250">
        <v>75</v>
      </c>
      <c r="M250" s="2">
        <f>L250</f>
        <v>75</v>
      </c>
      <c r="N250" s="8">
        <f t="shared" si="40"/>
        <v>75</v>
      </c>
      <c r="O250">
        <v>1.9</v>
      </c>
      <c r="P250">
        <v>1</v>
      </c>
      <c r="Q250" t="s">
        <v>2073</v>
      </c>
      <c r="R250" s="1">
        <v>0.81</v>
      </c>
      <c r="S250" s="3">
        <f>R250</f>
        <v>0.81</v>
      </c>
    </row>
    <row r="251" spans="1:19" x14ac:dyDescent="0.3">
      <c r="A251" t="s">
        <v>574</v>
      </c>
      <c r="B251" t="s">
        <v>575</v>
      </c>
      <c r="C251" t="str">
        <f t="shared" si="49"/>
        <v>Stephanie Carter</v>
      </c>
      <c r="D251" t="s">
        <v>6</v>
      </c>
      <c r="E251" t="str">
        <f t="shared" si="39"/>
        <v>Female</v>
      </c>
      <c r="F251">
        <v>50</v>
      </c>
      <c r="G251" t="s">
        <v>85</v>
      </c>
      <c r="H251" t="s">
        <v>86</v>
      </c>
      <c r="I251" t="s">
        <v>15</v>
      </c>
      <c r="J251">
        <v>5</v>
      </c>
      <c r="K251" s="4" t="str" cm="1">
        <f t="array" ref="K251">_xlfn.IFS(J251&lt;=5,"0-5",J251&lt;=10,"6-10",J251&lt;=15,"11-15",J251&lt;=20,"16-20",J251&gt;20,"21+")</f>
        <v>0-5</v>
      </c>
      <c r="L251">
        <v>100</v>
      </c>
      <c r="M251" s="2">
        <f>L251</f>
        <v>100</v>
      </c>
      <c r="N251" s="8">
        <f t="shared" si="40"/>
        <v>100</v>
      </c>
      <c r="P251">
        <v>1</v>
      </c>
      <c r="Q251" t="s">
        <v>2073</v>
      </c>
    </row>
    <row r="252" spans="1:19" x14ac:dyDescent="0.3">
      <c r="A252" t="s">
        <v>576</v>
      </c>
      <c r="B252" t="s">
        <v>577</v>
      </c>
      <c r="C252" t="str">
        <f t="shared" si="49"/>
        <v>Amy Olson</v>
      </c>
      <c r="D252" t="s">
        <v>6</v>
      </c>
      <c r="E252" t="str">
        <f t="shared" si="39"/>
        <v>Female</v>
      </c>
      <c r="F252">
        <v>42</v>
      </c>
      <c r="G252" t="s">
        <v>171</v>
      </c>
      <c r="H252" t="s">
        <v>64</v>
      </c>
      <c r="I252" t="s">
        <v>81</v>
      </c>
      <c r="J252">
        <v>19</v>
      </c>
      <c r="K252" s="4" t="str" cm="1">
        <f t="array" ref="K252">_xlfn.IFS(J252&lt;=5,"0-5",J252&lt;=10,"6-10",J252&lt;=15,"11-15",J252&lt;=20,"16-20",J252&gt;20,"21+")</f>
        <v>16-20</v>
      </c>
      <c r="L252" t="s">
        <v>44</v>
      </c>
      <c r="M252" s="2" t="str">
        <f>TRIM(MID(L252,FIND(" ",L252)+1,LEN(L252)))</f>
        <v>75</v>
      </c>
      <c r="N252" s="8">
        <f t="shared" si="40"/>
        <v>75</v>
      </c>
      <c r="O252">
        <v>4.5999999999999996</v>
      </c>
      <c r="P252">
        <v>0</v>
      </c>
      <c r="Q252" t="s">
        <v>2072</v>
      </c>
      <c r="R252" s="1">
        <v>0.78</v>
      </c>
      <c r="S252" s="3">
        <f>R252</f>
        <v>0.78</v>
      </c>
    </row>
    <row r="253" spans="1:19" x14ac:dyDescent="0.3">
      <c r="A253" t="s">
        <v>578</v>
      </c>
      <c r="B253" t="s">
        <v>579</v>
      </c>
      <c r="C253" t="str">
        <f t="shared" si="49"/>
        <v>Fred Stark</v>
      </c>
      <c r="D253" t="s">
        <v>84</v>
      </c>
      <c r="E253" t="str">
        <f t="shared" si="39"/>
        <v>Male</v>
      </c>
      <c r="F253">
        <v>43</v>
      </c>
      <c r="G253" t="s">
        <v>20</v>
      </c>
      <c r="H253" t="s">
        <v>21</v>
      </c>
      <c r="I253" t="s">
        <v>65</v>
      </c>
      <c r="J253">
        <v>6</v>
      </c>
      <c r="K253" s="4" t="str" cm="1">
        <f t="array" ref="K253">_xlfn.IFS(J253&lt;=5,"0-5",J253&lt;=10,"6-10",J253&lt;=15,"11-15",J253&lt;=20,"16-20",J253&gt;20,"21+")</f>
        <v>6-10</v>
      </c>
      <c r="L253">
        <v>50</v>
      </c>
      <c r="M253" s="2">
        <f>L253</f>
        <v>50</v>
      </c>
      <c r="N253" s="8">
        <f t="shared" si="40"/>
        <v>50</v>
      </c>
      <c r="O253">
        <v>0</v>
      </c>
      <c r="P253">
        <v>0</v>
      </c>
      <c r="Q253" t="s">
        <v>2072</v>
      </c>
      <c r="R253">
        <v>81</v>
      </c>
      <c r="S253" s="3">
        <f>R253/100</f>
        <v>0.81</v>
      </c>
    </row>
    <row r="254" spans="1:19" x14ac:dyDescent="0.3">
      <c r="A254" t="s">
        <v>580</v>
      </c>
      <c r="B254" t="s">
        <v>581</v>
      </c>
      <c r="C254" t="str">
        <f t="shared" si="49"/>
        <v>Jacob Gill</v>
      </c>
      <c r="D254" t="s">
        <v>89</v>
      </c>
      <c r="E254" t="str">
        <f t="shared" si="39"/>
        <v>Male</v>
      </c>
      <c r="F254">
        <v>34</v>
      </c>
      <c r="G254" t="s">
        <v>20</v>
      </c>
      <c r="H254" t="s">
        <v>21</v>
      </c>
      <c r="I254" t="s">
        <v>43</v>
      </c>
      <c r="J254">
        <v>8</v>
      </c>
      <c r="K254" s="4" t="str" cm="1">
        <f t="array" ref="K254">_xlfn.IFS(J254&lt;=5,"0-5",J254&lt;=10,"6-10",J254&lt;=15,"11-15",J254&lt;=20,"16-20",J254&gt;20,"21+")</f>
        <v>6-10</v>
      </c>
      <c r="L254">
        <v>75</v>
      </c>
      <c r="M254" s="2">
        <f>L254</f>
        <v>75</v>
      </c>
      <c r="N254" s="8">
        <f t="shared" si="40"/>
        <v>75</v>
      </c>
      <c r="O254">
        <v>1.8</v>
      </c>
      <c r="P254">
        <v>1</v>
      </c>
      <c r="Q254" t="s">
        <v>2073</v>
      </c>
      <c r="R254" s="1">
        <v>0.71</v>
      </c>
      <c r="S254" s="3">
        <f>R254</f>
        <v>0.71</v>
      </c>
    </row>
    <row r="255" spans="1:19" x14ac:dyDescent="0.3">
      <c r="A255" t="s">
        <v>582</v>
      </c>
      <c r="B255" t="s">
        <v>583</v>
      </c>
      <c r="C255" t="str">
        <f t="shared" si="49"/>
        <v>Anthony Nichols</v>
      </c>
      <c r="D255" t="s">
        <v>89</v>
      </c>
      <c r="E255" t="str">
        <f t="shared" si="39"/>
        <v>Male</v>
      </c>
      <c r="F255">
        <v>24</v>
      </c>
      <c r="G255" t="s">
        <v>182</v>
      </c>
      <c r="H255" t="s">
        <v>64</v>
      </c>
      <c r="I255" t="s">
        <v>15</v>
      </c>
      <c r="J255">
        <v>3</v>
      </c>
      <c r="K255" s="4" t="str" cm="1">
        <f t="array" ref="K255">_xlfn.IFS(J255&lt;=5,"0-5",J255&lt;=10,"6-10",J255&lt;=15,"11-15",J255&lt;=20,"16-20",J255&gt;20,"21+")</f>
        <v>0-5</v>
      </c>
      <c r="L255">
        <v>75</v>
      </c>
      <c r="M255" s="2">
        <f>L255</f>
        <v>75</v>
      </c>
      <c r="N255" s="8">
        <f t="shared" si="40"/>
        <v>75</v>
      </c>
      <c r="O255">
        <v>2</v>
      </c>
      <c r="P255" t="b">
        <v>0</v>
      </c>
      <c r="Q255" t="s">
        <v>2072</v>
      </c>
    </row>
    <row r="256" spans="1:19" x14ac:dyDescent="0.3">
      <c r="A256" t="s">
        <v>584</v>
      </c>
      <c r="B256" t="s">
        <v>585</v>
      </c>
      <c r="C256" t="str">
        <f t="shared" si="49"/>
        <v>William Knapp</v>
      </c>
      <c r="D256" t="s">
        <v>40</v>
      </c>
      <c r="E256" t="str">
        <f t="shared" si="39"/>
        <v>Male</v>
      </c>
      <c r="F256">
        <v>48</v>
      </c>
      <c r="G256" t="s">
        <v>145</v>
      </c>
      <c r="H256" t="s">
        <v>146</v>
      </c>
      <c r="I256" t="s">
        <v>65</v>
      </c>
      <c r="J256">
        <v>8</v>
      </c>
      <c r="K256" s="4" t="str" cm="1">
        <f t="array" ref="K256">_xlfn.IFS(J256&lt;=5,"0-5",J256&lt;=10,"6-10",J256&lt;=15,"11-15",J256&lt;=20,"16-20",J256&gt;20,"21+")</f>
        <v>6-10</v>
      </c>
      <c r="L256">
        <v>30</v>
      </c>
      <c r="M256" s="2">
        <f>L256</f>
        <v>30</v>
      </c>
      <c r="N256" s="8">
        <f t="shared" si="40"/>
        <v>30</v>
      </c>
      <c r="O256">
        <v>5</v>
      </c>
      <c r="P256">
        <v>1</v>
      </c>
      <c r="Q256" t="s">
        <v>2073</v>
      </c>
      <c r="R256" s="1">
        <v>0.99</v>
      </c>
      <c r="S256" s="3">
        <f t="shared" ref="S256:S259" si="53">R256</f>
        <v>0.99</v>
      </c>
    </row>
    <row r="257" spans="1:19" x14ac:dyDescent="0.3">
      <c r="A257" t="s">
        <v>586</v>
      </c>
      <c r="B257" t="s">
        <v>587</v>
      </c>
      <c r="C257" t="str">
        <f t="shared" si="49"/>
        <v>Elizabeth Walker</v>
      </c>
      <c r="D257" t="s">
        <v>26</v>
      </c>
      <c r="E257" t="str">
        <f t="shared" si="39"/>
        <v>Female</v>
      </c>
      <c r="F257">
        <v>39</v>
      </c>
      <c r="G257" t="s">
        <v>104</v>
      </c>
      <c r="H257" t="s">
        <v>105</v>
      </c>
      <c r="I257" t="s">
        <v>43</v>
      </c>
      <c r="J257">
        <v>12</v>
      </c>
      <c r="K257" s="4" t="str" cm="1">
        <f t="array" ref="K257">_xlfn.IFS(J257&lt;=5,"0-5",J257&lt;=10,"6-10",J257&lt;=15,"11-15",J257&lt;=20,"16-20",J257&gt;20,"21+")</f>
        <v>11-15</v>
      </c>
      <c r="L257" t="s">
        <v>113</v>
      </c>
      <c r="M257" s="2" t="str">
        <f>SUBSTITUTE(L257,"$","")</f>
        <v>20</v>
      </c>
      <c r="N257" s="8">
        <f t="shared" si="40"/>
        <v>20</v>
      </c>
      <c r="O257">
        <v>3.2</v>
      </c>
      <c r="P257" t="b">
        <v>1</v>
      </c>
      <c r="Q257" t="s">
        <v>2073</v>
      </c>
      <c r="R257" s="1">
        <v>0.66</v>
      </c>
      <c r="S257" s="3">
        <f t="shared" si="53"/>
        <v>0.66</v>
      </c>
    </row>
    <row r="258" spans="1:19" x14ac:dyDescent="0.3">
      <c r="A258" t="s">
        <v>588</v>
      </c>
      <c r="B258" t="s">
        <v>589</v>
      </c>
      <c r="C258" t="str">
        <f t="shared" si="49"/>
        <v>Brenda Reeves</v>
      </c>
      <c r="D258" t="s">
        <v>26</v>
      </c>
      <c r="E258" t="str">
        <f t="shared" ref="E258:E321" si="54">IF(LOWER(LEFT(D258,1))="f","Female","Male")</f>
        <v>Female</v>
      </c>
      <c r="F258">
        <v>57</v>
      </c>
      <c r="G258" t="s">
        <v>13</v>
      </c>
      <c r="H258" t="s">
        <v>14</v>
      </c>
      <c r="I258" t="s">
        <v>9</v>
      </c>
      <c r="J258">
        <v>30</v>
      </c>
      <c r="K258" s="4" t="str" cm="1">
        <f t="array" ref="K258">_xlfn.IFS(J258&lt;=5,"0-5",J258&lt;=10,"6-10",J258&lt;=15,"11-15",J258&lt;=20,"16-20",J258&gt;20,"21+")</f>
        <v>21+</v>
      </c>
      <c r="L258" t="s">
        <v>37</v>
      </c>
      <c r="M258" s="2" t="str">
        <f>SUBSTITUTE(L258,"$","")</f>
        <v>30</v>
      </c>
      <c r="N258" s="8">
        <f t="shared" si="40"/>
        <v>30</v>
      </c>
      <c r="O258">
        <v>2.4</v>
      </c>
      <c r="R258" s="1">
        <v>0.8</v>
      </c>
      <c r="S258" s="3">
        <f t="shared" si="53"/>
        <v>0.8</v>
      </c>
    </row>
    <row r="259" spans="1:19" x14ac:dyDescent="0.3">
      <c r="A259" t="s">
        <v>590</v>
      </c>
      <c r="B259" t="s">
        <v>591</v>
      </c>
      <c r="C259" t="str">
        <f t="shared" si="49"/>
        <v>Carrie Little</v>
      </c>
      <c r="D259" t="s">
        <v>12</v>
      </c>
      <c r="E259" t="str">
        <f t="shared" si="54"/>
        <v>Female</v>
      </c>
      <c r="F259">
        <v>44</v>
      </c>
      <c r="G259" t="s">
        <v>120</v>
      </c>
      <c r="H259" t="s">
        <v>14</v>
      </c>
      <c r="I259" t="s">
        <v>27</v>
      </c>
      <c r="J259">
        <v>21</v>
      </c>
      <c r="K259" s="4" t="str" cm="1">
        <f t="array" ref="K259">_xlfn.IFS(J259&lt;=5,"0-5",J259&lt;=10,"6-10",J259&lt;=15,"11-15",J259&lt;=20,"16-20",J259&gt;20,"21+")</f>
        <v>21+</v>
      </c>
      <c r="L259">
        <v>100</v>
      </c>
      <c r="M259" s="2">
        <f>L259</f>
        <v>100</v>
      </c>
      <c r="N259" s="8">
        <f t="shared" ref="N259:N322" si="55">IF(M259="", "", VALUE(M259))</f>
        <v>100</v>
      </c>
      <c r="O259">
        <v>2.9</v>
      </c>
      <c r="P259">
        <v>0</v>
      </c>
      <c r="Q259" t="s">
        <v>2072</v>
      </c>
      <c r="R259" s="1">
        <v>0.83</v>
      </c>
      <c r="S259" s="3">
        <f t="shared" si="53"/>
        <v>0.83</v>
      </c>
    </row>
    <row r="260" spans="1:19" x14ac:dyDescent="0.3">
      <c r="A260" t="s">
        <v>592</v>
      </c>
      <c r="B260" t="s">
        <v>593</v>
      </c>
      <c r="C260" t="str">
        <f t="shared" si="49"/>
        <v>Steven Jackson</v>
      </c>
      <c r="D260" t="s">
        <v>19</v>
      </c>
      <c r="E260" t="str">
        <f t="shared" si="54"/>
        <v>Male</v>
      </c>
      <c r="F260">
        <v>37</v>
      </c>
      <c r="G260" t="s">
        <v>99</v>
      </c>
      <c r="H260" t="s">
        <v>100</v>
      </c>
      <c r="I260" t="s">
        <v>65</v>
      </c>
      <c r="J260">
        <v>17</v>
      </c>
      <c r="K260" s="4" t="str" cm="1">
        <f t="array" ref="K260">_xlfn.IFS(J260&lt;=5,"0-5",J260&lt;=10,"6-10",J260&lt;=15,"11-15",J260&lt;=20,"16-20",J260&gt;20,"21+")</f>
        <v>16-20</v>
      </c>
      <c r="L260" t="s">
        <v>306</v>
      </c>
      <c r="M260" s="2" t="str">
        <f>TRIM(MID(L260,FIND(" ",L260)+1,LEN(L260)))</f>
        <v>20</v>
      </c>
      <c r="N260" s="8">
        <f t="shared" si="55"/>
        <v>20</v>
      </c>
      <c r="O260">
        <v>0</v>
      </c>
      <c r="P260" t="s">
        <v>60</v>
      </c>
      <c r="Q260" t="s">
        <v>2073</v>
      </c>
      <c r="R260">
        <v>87</v>
      </c>
      <c r="S260" s="3">
        <f t="shared" ref="S260:S261" si="56">R260/100</f>
        <v>0.87</v>
      </c>
    </row>
    <row r="261" spans="1:19" x14ac:dyDescent="0.3">
      <c r="A261" t="s">
        <v>594</v>
      </c>
      <c r="B261" t="s">
        <v>595</v>
      </c>
      <c r="C261" t="str">
        <f t="shared" si="49"/>
        <v>Mark Perry</v>
      </c>
      <c r="D261" t="s">
        <v>89</v>
      </c>
      <c r="E261" t="str">
        <f t="shared" si="54"/>
        <v>Male</v>
      </c>
      <c r="F261">
        <v>50</v>
      </c>
      <c r="G261" t="s">
        <v>54</v>
      </c>
      <c r="H261" t="s">
        <v>55</v>
      </c>
      <c r="I261" t="s">
        <v>43</v>
      </c>
      <c r="J261">
        <v>9</v>
      </c>
      <c r="K261" s="4" t="str" cm="1">
        <f t="array" ref="K261">_xlfn.IFS(J261&lt;=5,"0-5",J261&lt;=10,"6-10",J261&lt;=15,"11-15",J261&lt;=20,"16-20",J261&gt;20,"21+")</f>
        <v>6-10</v>
      </c>
      <c r="L261">
        <v>30</v>
      </c>
      <c r="M261" s="2">
        <f>L261</f>
        <v>30</v>
      </c>
      <c r="N261" s="8">
        <f t="shared" si="55"/>
        <v>30</v>
      </c>
      <c r="O261">
        <v>3</v>
      </c>
      <c r="P261">
        <v>0</v>
      </c>
      <c r="Q261" t="s">
        <v>2072</v>
      </c>
      <c r="R261">
        <v>76</v>
      </c>
      <c r="S261" s="3">
        <f t="shared" si="56"/>
        <v>0.76</v>
      </c>
    </row>
    <row r="262" spans="1:19" x14ac:dyDescent="0.3">
      <c r="A262" t="s">
        <v>596</v>
      </c>
      <c r="B262" t="s">
        <v>597</v>
      </c>
      <c r="C262" t="str">
        <f t="shared" si="49"/>
        <v>Cameron Spencer</v>
      </c>
      <c r="D262" t="s">
        <v>89</v>
      </c>
      <c r="E262" t="str">
        <f t="shared" si="54"/>
        <v>Male</v>
      </c>
      <c r="F262">
        <v>50</v>
      </c>
      <c r="G262" t="s">
        <v>182</v>
      </c>
      <c r="H262" t="s">
        <v>64</v>
      </c>
      <c r="I262" t="s">
        <v>65</v>
      </c>
      <c r="J262">
        <v>2</v>
      </c>
      <c r="K262" s="4" t="str" cm="1">
        <f t="array" ref="K262">_xlfn.IFS(J262&lt;=5,"0-5",J262&lt;=10,"6-10",J262&lt;=15,"11-15",J262&lt;=20,"16-20",J262&gt;20,"21+")</f>
        <v>0-5</v>
      </c>
      <c r="L262">
        <v>50</v>
      </c>
      <c r="M262" s="2">
        <f>L262</f>
        <v>50</v>
      </c>
      <c r="N262" s="8">
        <f t="shared" si="55"/>
        <v>50</v>
      </c>
      <c r="O262">
        <v>1.6</v>
      </c>
      <c r="P262" t="s">
        <v>151</v>
      </c>
      <c r="Q262" t="s">
        <v>2072</v>
      </c>
      <c r="R262" s="1">
        <v>0.89</v>
      </c>
      <c r="S262" s="3">
        <f t="shared" ref="S262:S268" si="57">R262</f>
        <v>0.89</v>
      </c>
    </row>
    <row r="263" spans="1:19" x14ac:dyDescent="0.3">
      <c r="A263" t="s">
        <v>598</v>
      </c>
      <c r="B263" t="s">
        <v>599</v>
      </c>
      <c r="C263" t="str">
        <f t="shared" si="49"/>
        <v>Jennifer Holmes</v>
      </c>
      <c r="D263" t="s">
        <v>69</v>
      </c>
      <c r="E263" t="str">
        <f t="shared" si="54"/>
        <v>Female</v>
      </c>
      <c r="F263">
        <v>28</v>
      </c>
      <c r="G263" t="s">
        <v>127</v>
      </c>
      <c r="H263" t="s">
        <v>128</v>
      </c>
      <c r="I263" t="s">
        <v>22</v>
      </c>
      <c r="J263">
        <v>1</v>
      </c>
      <c r="K263" s="4" t="str" cm="1">
        <f t="array" ref="K263">_xlfn.IFS(J263&lt;=5,"0-5",J263&lt;=10,"6-10",J263&lt;=15,"11-15",J263&lt;=20,"16-20",J263&gt;20,"21+")</f>
        <v>0-5</v>
      </c>
      <c r="L263">
        <v>20</v>
      </c>
      <c r="M263" s="2">
        <f>L263</f>
        <v>20</v>
      </c>
      <c r="N263" s="8">
        <f t="shared" si="55"/>
        <v>20</v>
      </c>
      <c r="O263">
        <v>3.6</v>
      </c>
      <c r="P263" t="s">
        <v>60</v>
      </c>
      <c r="Q263" t="s">
        <v>2073</v>
      </c>
      <c r="R263" s="1">
        <v>0.94</v>
      </c>
      <c r="S263" s="3">
        <f t="shared" si="57"/>
        <v>0.94</v>
      </c>
    </row>
    <row r="264" spans="1:19" x14ac:dyDescent="0.3">
      <c r="A264" t="s">
        <v>600</v>
      </c>
      <c r="B264" t="s">
        <v>601</v>
      </c>
      <c r="C264" t="str">
        <f t="shared" si="49"/>
        <v>Jacob Joseph</v>
      </c>
      <c r="D264" t="s">
        <v>89</v>
      </c>
      <c r="E264" t="str">
        <f t="shared" si="54"/>
        <v>Male</v>
      </c>
      <c r="F264">
        <v>48</v>
      </c>
      <c r="G264" t="s">
        <v>7</v>
      </c>
      <c r="H264" t="s">
        <v>8</v>
      </c>
      <c r="I264" t="s">
        <v>27</v>
      </c>
      <c r="J264">
        <v>23</v>
      </c>
      <c r="K264" s="4" t="str" cm="1">
        <f t="array" ref="K264">_xlfn.IFS(J264&lt;=5,"0-5",J264&lt;=10,"6-10",J264&lt;=15,"11-15",J264&lt;=20,"16-20",J264&gt;20,"21+")</f>
        <v>21+</v>
      </c>
      <c r="N264" s="8" t="str">
        <f t="shared" si="55"/>
        <v/>
      </c>
      <c r="O264">
        <v>2.1</v>
      </c>
      <c r="P264">
        <v>0</v>
      </c>
      <c r="Q264" t="s">
        <v>2072</v>
      </c>
      <c r="R264" s="1">
        <v>0.68</v>
      </c>
      <c r="S264" s="3">
        <f t="shared" si="57"/>
        <v>0.68</v>
      </c>
    </row>
    <row r="265" spans="1:19" x14ac:dyDescent="0.3">
      <c r="A265" t="s">
        <v>602</v>
      </c>
      <c r="B265" t="s">
        <v>603</v>
      </c>
      <c r="C265" t="str">
        <f t="shared" si="49"/>
        <v>Jeffery Tucker</v>
      </c>
      <c r="D265" t="s">
        <v>89</v>
      </c>
      <c r="E265" t="str">
        <f t="shared" si="54"/>
        <v>Male</v>
      </c>
      <c r="F265">
        <v>42</v>
      </c>
      <c r="G265" t="s">
        <v>20</v>
      </c>
      <c r="H265" t="s">
        <v>21</v>
      </c>
      <c r="I265" t="s">
        <v>81</v>
      </c>
      <c r="J265">
        <v>8</v>
      </c>
      <c r="K265" s="4" t="str" cm="1">
        <f t="array" ref="K265">_xlfn.IFS(J265&lt;=5,"0-5",J265&lt;=10,"6-10",J265&lt;=15,"11-15",J265&lt;=20,"16-20",J265&gt;20,"21+")</f>
        <v>6-10</v>
      </c>
      <c r="L265">
        <v>30</v>
      </c>
      <c r="M265" s="2">
        <f>L265</f>
        <v>30</v>
      </c>
      <c r="N265" s="8">
        <f t="shared" si="55"/>
        <v>30</v>
      </c>
      <c r="O265">
        <v>3.6</v>
      </c>
      <c r="P265">
        <v>1</v>
      </c>
      <c r="Q265" t="s">
        <v>2073</v>
      </c>
      <c r="R265" s="1">
        <v>0.96</v>
      </c>
      <c r="S265" s="3">
        <f t="shared" si="57"/>
        <v>0.96</v>
      </c>
    </row>
    <row r="266" spans="1:19" x14ac:dyDescent="0.3">
      <c r="A266" t="s">
        <v>604</v>
      </c>
      <c r="B266" t="s">
        <v>605</v>
      </c>
      <c r="C266" t="str">
        <f t="shared" si="49"/>
        <v>Jacqueline Drake</v>
      </c>
      <c r="D266" t="s">
        <v>69</v>
      </c>
      <c r="E266" t="str">
        <f t="shared" si="54"/>
        <v>Female</v>
      </c>
      <c r="F266">
        <v>37</v>
      </c>
      <c r="G266" t="s">
        <v>120</v>
      </c>
      <c r="H266" t="s">
        <v>14</v>
      </c>
      <c r="I266" t="s">
        <v>43</v>
      </c>
      <c r="J266">
        <v>6</v>
      </c>
      <c r="K266" s="4" t="str" cm="1">
        <f t="array" ref="K266">_xlfn.IFS(J266&lt;=5,"0-5",J266&lt;=10,"6-10",J266&lt;=15,"11-15",J266&lt;=20,"16-20",J266&gt;20,"21+")</f>
        <v>6-10</v>
      </c>
      <c r="L266" t="s">
        <v>113</v>
      </c>
      <c r="M266" s="2" t="str">
        <f>SUBSTITUTE(L266,"$","")</f>
        <v>20</v>
      </c>
      <c r="N266" s="8">
        <f t="shared" si="55"/>
        <v>20</v>
      </c>
      <c r="O266">
        <v>2.7</v>
      </c>
      <c r="P266" t="b">
        <v>1</v>
      </c>
      <c r="Q266" t="s">
        <v>2073</v>
      </c>
      <c r="R266" s="1">
        <v>0.91</v>
      </c>
      <c r="S266" s="3">
        <f t="shared" si="57"/>
        <v>0.91</v>
      </c>
    </row>
    <row r="267" spans="1:19" x14ac:dyDescent="0.3">
      <c r="A267" t="s">
        <v>606</v>
      </c>
      <c r="B267" t="s">
        <v>607</v>
      </c>
      <c r="C267" t="str">
        <f t="shared" si="49"/>
        <v>Brian Bautista</v>
      </c>
      <c r="D267" t="s">
        <v>89</v>
      </c>
      <c r="E267" t="str">
        <f t="shared" si="54"/>
        <v>Male</v>
      </c>
      <c r="F267">
        <v>21</v>
      </c>
      <c r="G267" t="s">
        <v>85</v>
      </c>
      <c r="H267" t="s">
        <v>86</v>
      </c>
      <c r="I267" t="s">
        <v>9</v>
      </c>
      <c r="J267">
        <v>1</v>
      </c>
      <c r="K267" s="4" t="str" cm="1">
        <f t="array" ref="K267">_xlfn.IFS(J267&lt;=5,"0-5",J267&lt;=10,"6-10",J267&lt;=15,"11-15",J267&lt;=20,"16-20",J267&gt;20,"21+")</f>
        <v>0-5</v>
      </c>
      <c r="L267">
        <v>100</v>
      </c>
      <c r="M267" s="2">
        <f>L267</f>
        <v>100</v>
      </c>
      <c r="N267" s="8">
        <f t="shared" si="55"/>
        <v>100</v>
      </c>
      <c r="O267">
        <v>2.1</v>
      </c>
      <c r="P267">
        <v>1</v>
      </c>
      <c r="Q267" t="s">
        <v>2073</v>
      </c>
      <c r="R267" s="1">
        <v>0.92</v>
      </c>
      <c r="S267" s="3">
        <f t="shared" si="57"/>
        <v>0.92</v>
      </c>
    </row>
    <row r="268" spans="1:19" x14ac:dyDescent="0.3">
      <c r="A268" t="s">
        <v>608</v>
      </c>
      <c r="B268" t="s">
        <v>609</v>
      </c>
      <c r="C268" t="str">
        <f t="shared" si="49"/>
        <v>Dakota Wells</v>
      </c>
      <c r="D268" t="s">
        <v>53</v>
      </c>
      <c r="E268" t="str">
        <f t="shared" si="54"/>
        <v>Male</v>
      </c>
      <c r="F268">
        <v>50</v>
      </c>
      <c r="G268" t="s">
        <v>104</v>
      </c>
      <c r="H268" t="s">
        <v>105</v>
      </c>
      <c r="I268" t="s">
        <v>27</v>
      </c>
      <c r="J268">
        <v>19</v>
      </c>
      <c r="K268" s="4" t="str" cm="1">
        <f t="array" ref="K268">_xlfn.IFS(J268&lt;=5,"0-5",J268&lt;=10,"6-10",J268&lt;=15,"11-15",J268&lt;=20,"16-20",J268&gt;20,"21+")</f>
        <v>16-20</v>
      </c>
      <c r="L268" t="s">
        <v>28</v>
      </c>
      <c r="M268" s="2" t="str">
        <f>SUBSTITUTE(L268,"$","")</f>
        <v>40</v>
      </c>
      <c r="N268" s="8">
        <f t="shared" si="55"/>
        <v>40</v>
      </c>
      <c r="O268">
        <v>4.9000000000000004</v>
      </c>
      <c r="R268" s="1">
        <v>0.82</v>
      </c>
      <c r="S268" s="3">
        <f t="shared" si="57"/>
        <v>0.82</v>
      </c>
    </row>
    <row r="269" spans="1:19" x14ac:dyDescent="0.3">
      <c r="A269" t="s">
        <v>610</v>
      </c>
      <c r="B269" t="s">
        <v>611</v>
      </c>
      <c r="C269" t="str">
        <f t="shared" si="49"/>
        <v>Julie White</v>
      </c>
      <c r="D269" t="s">
        <v>26</v>
      </c>
      <c r="E269" t="str">
        <f t="shared" si="54"/>
        <v>Female</v>
      </c>
      <c r="F269">
        <v>22</v>
      </c>
      <c r="G269" t="s">
        <v>63</v>
      </c>
      <c r="H269" t="s">
        <v>64</v>
      </c>
      <c r="I269" t="s">
        <v>36</v>
      </c>
      <c r="J269">
        <v>2</v>
      </c>
      <c r="K269" s="4" t="str" cm="1">
        <f t="array" ref="K269">_xlfn.IFS(J269&lt;=5,"0-5",J269&lt;=10,"6-10",J269&lt;=15,"11-15",J269&lt;=20,"16-20",J269&gt;20,"21+")</f>
        <v>0-5</v>
      </c>
      <c r="L269">
        <v>30</v>
      </c>
      <c r="M269" s="2">
        <f>L269</f>
        <v>30</v>
      </c>
      <c r="N269" s="8">
        <f t="shared" si="55"/>
        <v>30</v>
      </c>
      <c r="O269">
        <v>2.1</v>
      </c>
    </row>
    <row r="270" spans="1:19" x14ac:dyDescent="0.3">
      <c r="A270" t="s">
        <v>612</v>
      </c>
      <c r="B270" t="s">
        <v>613</v>
      </c>
      <c r="C270" t="str">
        <f t="shared" si="49"/>
        <v>Barbara Keith</v>
      </c>
      <c r="D270" t="s">
        <v>69</v>
      </c>
      <c r="E270" t="str">
        <f t="shared" si="54"/>
        <v>Female</v>
      </c>
      <c r="F270">
        <v>39</v>
      </c>
      <c r="G270" t="s">
        <v>77</v>
      </c>
      <c r="H270" t="s">
        <v>78</v>
      </c>
      <c r="I270" t="s">
        <v>27</v>
      </c>
      <c r="J270">
        <v>21</v>
      </c>
      <c r="K270" s="4" t="str" cm="1">
        <f t="array" ref="K270">_xlfn.IFS(J270&lt;=5,"0-5",J270&lt;=10,"6-10",J270&lt;=15,"11-15",J270&lt;=20,"16-20",J270&gt;20,"21+")</f>
        <v>21+</v>
      </c>
      <c r="L270">
        <v>100</v>
      </c>
      <c r="M270" s="2">
        <f>L270</f>
        <v>100</v>
      </c>
      <c r="N270" s="8">
        <f t="shared" si="55"/>
        <v>100</v>
      </c>
      <c r="O270">
        <v>0</v>
      </c>
      <c r="P270" t="s">
        <v>151</v>
      </c>
      <c r="Q270" t="s">
        <v>2072</v>
      </c>
      <c r="R270" s="1">
        <v>0.91</v>
      </c>
      <c r="S270" s="3">
        <f>R270</f>
        <v>0.91</v>
      </c>
    </row>
    <row r="271" spans="1:19" x14ac:dyDescent="0.3">
      <c r="A271" t="s">
        <v>614</v>
      </c>
      <c r="B271" t="s">
        <v>615</v>
      </c>
      <c r="C271" t="str">
        <f t="shared" si="49"/>
        <v>Heather Camacho</v>
      </c>
      <c r="D271" t="s">
        <v>69</v>
      </c>
      <c r="E271" t="str">
        <f t="shared" si="54"/>
        <v>Female</v>
      </c>
      <c r="F271">
        <v>25</v>
      </c>
      <c r="G271" t="s">
        <v>77</v>
      </c>
      <c r="H271" t="s">
        <v>78</v>
      </c>
      <c r="I271" t="s">
        <v>106</v>
      </c>
      <c r="J271">
        <v>3</v>
      </c>
      <c r="K271" s="4" t="str" cm="1">
        <f t="array" ref="K271">_xlfn.IFS(J271&lt;=5,"0-5",J271&lt;=10,"6-10",J271&lt;=15,"11-15",J271&lt;=20,"16-20",J271&gt;20,"21+")</f>
        <v>0-5</v>
      </c>
      <c r="L271" t="s">
        <v>56</v>
      </c>
      <c r="M271" s="2" t="str">
        <f>SUBSTITUTE(L271,"$","")</f>
        <v>50</v>
      </c>
      <c r="N271" s="8">
        <f t="shared" si="55"/>
        <v>50</v>
      </c>
      <c r="O271">
        <v>2.8</v>
      </c>
      <c r="P271" t="s">
        <v>60</v>
      </c>
      <c r="Q271" t="s">
        <v>2073</v>
      </c>
      <c r="R271">
        <v>86</v>
      </c>
      <c r="S271" s="3">
        <f>R271/100</f>
        <v>0.86</v>
      </c>
    </row>
    <row r="272" spans="1:19" x14ac:dyDescent="0.3">
      <c r="A272" t="s">
        <v>616</v>
      </c>
      <c r="B272" t="s">
        <v>617</v>
      </c>
      <c r="C272" t="str">
        <f t="shared" si="49"/>
        <v>Melanie Harris</v>
      </c>
      <c r="D272" t="s">
        <v>12</v>
      </c>
      <c r="E272" t="str">
        <f t="shared" si="54"/>
        <v>Female</v>
      </c>
      <c r="F272">
        <v>47</v>
      </c>
      <c r="G272" t="s">
        <v>145</v>
      </c>
      <c r="H272" t="s">
        <v>146</v>
      </c>
      <c r="I272" t="s">
        <v>15</v>
      </c>
      <c r="J272">
        <v>14</v>
      </c>
      <c r="K272" s="4" t="str" cm="1">
        <f t="array" ref="K272">_xlfn.IFS(J272&lt;=5,"0-5",J272&lt;=10,"6-10",J272&lt;=15,"11-15",J272&lt;=20,"16-20",J272&gt;20,"21+")</f>
        <v>11-15</v>
      </c>
      <c r="N272" s="8" t="str">
        <f t="shared" si="55"/>
        <v/>
      </c>
      <c r="P272" t="b">
        <v>0</v>
      </c>
      <c r="Q272" t="s">
        <v>2072</v>
      </c>
      <c r="R272" s="1">
        <v>0.69</v>
      </c>
      <c r="S272" s="3">
        <f t="shared" ref="S272:S279" si="58">R272</f>
        <v>0.69</v>
      </c>
    </row>
    <row r="273" spans="1:19" x14ac:dyDescent="0.3">
      <c r="A273" t="s">
        <v>618</v>
      </c>
      <c r="B273" t="s">
        <v>619</v>
      </c>
      <c r="C273" t="str">
        <f t="shared" si="49"/>
        <v>Jacqueline Peterson</v>
      </c>
      <c r="D273" t="s">
        <v>6</v>
      </c>
      <c r="E273" t="str">
        <f t="shared" si="54"/>
        <v>Female</v>
      </c>
      <c r="F273">
        <v>35</v>
      </c>
      <c r="G273" t="s">
        <v>145</v>
      </c>
      <c r="H273" t="s">
        <v>146</v>
      </c>
      <c r="I273" t="s">
        <v>65</v>
      </c>
      <c r="J273">
        <v>10</v>
      </c>
      <c r="K273" s="4" t="str" cm="1">
        <f t="array" ref="K273">_xlfn.IFS(J273&lt;=5,"0-5",J273&lt;=10,"6-10",J273&lt;=15,"11-15",J273&lt;=20,"16-20",J273&gt;20,"21+")</f>
        <v>6-10</v>
      </c>
      <c r="L273" t="s">
        <v>16</v>
      </c>
      <c r="M273" s="2" t="str">
        <f>TRIM(MID(L273,FIND(" ",L273)+1,LEN(L273)))</f>
        <v>100</v>
      </c>
      <c r="N273" s="8">
        <f t="shared" si="55"/>
        <v>100</v>
      </c>
      <c r="O273">
        <v>4.7</v>
      </c>
      <c r="P273" t="b">
        <v>1</v>
      </c>
      <c r="Q273" t="s">
        <v>2073</v>
      </c>
      <c r="R273" s="1">
        <v>0.84</v>
      </c>
      <c r="S273" s="3">
        <f t="shared" si="58"/>
        <v>0.84</v>
      </c>
    </row>
    <row r="274" spans="1:19" x14ac:dyDescent="0.3">
      <c r="A274" t="s">
        <v>620</v>
      </c>
      <c r="B274" t="s">
        <v>621</v>
      </c>
      <c r="C274" t="str">
        <f t="shared" si="49"/>
        <v>Nancy Long</v>
      </c>
      <c r="D274" t="s">
        <v>6</v>
      </c>
      <c r="E274" t="str">
        <f t="shared" si="54"/>
        <v>Female</v>
      </c>
      <c r="G274" t="s">
        <v>59</v>
      </c>
      <c r="H274" t="s">
        <v>14</v>
      </c>
      <c r="I274" t="s">
        <v>70</v>
      </c>
      <c r="J274">
        <v>5</v>
      </c>
      <c r="K274" s="4" t="str" cm="1">
        <f t="array" ref="K274">_xlfn.IFS(J274&lt;=5,"0-5",J274&lt;=10,"6-10",J274&lt;=15,"11-15",J274&lt;=20,"16-20",J274&gt;20,"21+")</f>
        <v>0-5</v>
      </c>
      <c r="L274">
        <v>100</v>
      </c>
      <c r="M274" s="2">
        <f>L274</f>
        <v>100</v>
      </c>
      <c r="N274" s="8">
        <f t="shared" si="55"/>
        <v>100</v>
      </c>
      <c r="O274">
        <v>1.3</v>
      </c>
      <c r="P274">
        <v>0</v>
      </c>
      <c r="Q274" t="s">
        <v>2072</v>
      </c>
      <c r="R274" s="1">
        <v>0.6</v>
      </c>
      <c r="S274" s="3">
        <f t="shared" si="58"/>
        <v>0.6</v>
      </c>
    </row>
    <row r="275" spans="1:19" x14ac:dyDescent="0.3">
      <c r="A275" t="s">
        <v>622</v>
      </c>
      <c r="B275" t="s">
        <v>623</v>
      </c>
      <c r="C275" t="str">
        <f>TRIM(MID(B275,FIND(" ",B275)+1,LEN(B275)))</f>
        <v>Juan Mitchell</v>
      </c>
      <c r="D275" t="s">
        <v>19</v>
      </c>
      <c r="E275" t="str">
        <f t="shared" si="54"/>
        <v>Male</v>
      </c>
      <c r="F275">
        <v>35</v>
      </c>
      <c r="G275" t="s">
        <v>34</v>
      </c>
      <c r="H275" t="s">
        <v>35</v>
      </c>
      <c r="I275" t="s">
        <v>9</v>
      </c>
      <c r="J275">
        <v>6</v>
      </c>
      <c r="K275" s="4" t="str" cm="1">
        <f t="array" ref="K275">_xlfn.IFS(J275&lt;=5,"0-5",J275&lt;=10,"6-10",J275&lt;=15,"11-15",J275&lt;=20,"16-20",J275&gt;20,"21+")</f>
        <v>6-10</v>
      </c>
      <c r="L275" t="s">
        <v>44</v>
      </c>
      <c r="M275" s="2" t="str">
        <f>TRIM(MID(L275,FIND(" ",L275)+1,LEN(L275)))</f>
        <v>75</v>
      </c>
      <c r="N275" s="8">
        <f t="shared" si="55"/>
        <v>75</v>
      </c>
      <c r="O275">
        <v>1.6</v>
      </c>
      <c r="P275">
        <v>1</v>
      </c>
      <c r="Q275" t="s">
        <v>2073</v>
      </c>
      <c r="R275" s="1">
        <v>0.97</v>
      </c>
      <c r="S275" s="3">
        <f t="shared" si="58"/>
        <v>0.97</v>
      </c>
    </row>
    <row r="276" spans="1:19" x14ac:dyDescent="0.3">
      <c r="A276" t="s">
        <v>624</v>
      </c>
      <c r="B276" t="s">
        <v>625</v>
      </c>
      <c r="C276" t="str">
        <f t="shared" ref="C276:C283" si="59">B276</f>
        <v>William Gaines</v>
      </c>
      <c r="D276" t="s">
        <v>89</v>
      </c>
      <c r="E276" t="str">
        <f t="shared" si="54"/>
        <v>Male</v>
      </c>
      <c r="F276">
        <v>59</v>
      </c>
      <c r="G276" t="s">
        <v>127</v>
      </c>
      <c r="H276" t="s">
        <v>128</v>
      </c>
      <c r="I276" t="s">
        <v>27</v>
      </c>
      <c r="J276">
        <v>21</v>
      </c>
      <c r="K276" s="4" t="str" cm="1">
        <f t="array" ref="K276">_xlfn.IFS(J276&lt;=5,"0-5",J276&lt;=10,"6-10",J276&lt;=15,"11-15",J276&lt;=20,"16-20",J276&gt;20,"21+")</f>
        <v>21+</v>
      </c>
      <c r="L276">
        <v>100</v>
      </c>
      <c r="M276" s="2">
        <f>L276</f>
        <v>100</v>
      </c>
      <c r="N276" s="8">
        <f t="shared" si="55"/>
        <v>100</v>
      </c>
      <c r="O276">
        <v>0</v>
      </c>
      <c r="R276" s="1">
        <v>0.7</v>
      </c>
      <c r="S276" s="3">
        <f t="shared" si="58"/>
        <v>0.7</v>
      </c>
    </row>
    <row r="277" spans="1:19" x14ac:dyDescent="0.3">
      <c r="A277" t="s">
        <v>626</v>
      </c>
      <c r="B277" t="s">
        <v>627</v>
      </c>
      <c r="C277" t="str">
        <f t="shared" si="59"/>
        <v>Haley Yates</v>
      </c>
      <c r="D277" t="s">
        <v>12</v>
      </c>
      <c r="E277" t="str">
        <f t="shared" si="54"/>
        <v>Female</v>
      </c>
      <c r="F277">
        <v>26</v>
      </c>
      <c r="G277" t="s">
        <v>167</v>
      </c>
      <c r="H277" t="s">
        <v>168</v>
      </c>
      <c r="I277" t="s">
        <v>65</v>
      </c>
      <c r="J277">
        <v>4</v>
      </c>
      <c r="K277" s="4" t="str" cm="1">
        <f t="array" ref="K277">_xlfn.IFS(J277&lt;=5,"0-5",J277&lt;=10,"6-10",J277&lt;=15,"11-15",J277&lt;=20,"16-20",J277&gt;20,"21+")</f>
        <v>0-5</v>
      </c>
      <c r="L277" t="s">
        <v>16</v>
      </c>
      <c r="M277" s="2" t="str">
        <f>TRIM(MID(L277,FIND(" ",L277)+1,LEN(L277)))</f>
        <v>100</v>
      </c>
      <c r="N277" s="8">
        <f t="shared" si="55"/>
        <v>100</v>
      </c>
      <c r="O277">
        <v>3.6</v>
      </c>
      <c r="P277" t="s">
        <v>151</v>
      </c>
      <c r="Q277" t="s">
        <v>2072</v>
      </c>
      <c r="R277" s="1">
        <v>0.81</v>
      </c>
      <c r="S277" s="3">
        <f t="shared" si="58"/>
        <v>0.81</v>
      </c>
    </row>
    <row r="278" spans="1:19" x14ac:dyDescent="0.3">
      <c r="A278" t="s">
        <v>628</v>
      </c>
      <c r="B278" t="s">
        <v>629</v>
      </c>
      <c r="C278" t="str">
        <f t="shared" si="59"/>
        <v>Richard Mcguire</v>
      </c>
      <c r="D278" t="s">
        <v>53</v>
      </c>
      <c r="E278" t="str">
        <f t="shared" si="54"/>
        <v>Male</v>
      </c>
      <c r="F278">
        <v>44</v>
      </c>
      <c r="G278" t="s">
        <v>116</v>
      </c>
      <c r="H278" t="s">
        <v>117</v>
      </c>
      <c r="I278" t="s">
        <v>106</v>
      </c>
      <c r="J278">
        <v>18</v>
      </c>
      <c r="K278" s="4" t="str" cm="1">
        <f t="array" ref="K278">_xlfn.IFS(J278&lt;=5,"0-5",J278&lt;=10,"6-10",J278&lt;=15,"11-15",J278&lt;=20,"16-20",J278&gt;20,"21+")</f>
        <v>16-20</v>
      </c>
      <c r="L278">
        <v>20</v>
      </c>
      <c r="M278" s="2">
        <f>L278</f>
        <v>20</v>
      </c>
      <c r="N278" s="8">
        <f t="shared" si="55"/>
        <v>20</v>
      </c>
      <c r="O278">
        <v>4.7</v>
      </c>
      <c r="P278">
        <v>1</v>
      </c>
      <c r="Q278" t="s">
        <v>2073</v>
      </c>
      <c r="R278" s="1">
        <v>0.88</v>
      </c>
      <c r="S278" s="3">
        <f t="shared" si="58"/>
        <v>0.88</v>
      </c>
    </row>
    <row r="279" spans="1:19" x14ac:dyDescent="0.3">
      <c r="A279" t="s">
        <v>630</v>
      </c>
      <c r="B279" t="s">
        <v>631</v>
      </c>
      <c r="C279" t="str">
        <f t="shared" si="59"/>
        <v>Stephanie Fisher</v>
      </c>
      <c r="D279" t="s">
        <v>69</v>
      </c>
      <c r="E279" t="str">
        <f t="shared" si="54"/>
        <v>Female</v>
      </c>
      <c r="F279">
        <v>31</v>
      </c>
      <c r="G279" t="s">
        <v>145</v>
      </c>
      <c r="H279" t="s">
        <v>146</v>
      </c>
      <c r="I279" t="s">
        <v>65</v>
      </c>
      <c r="J279">
        <v>12</v>
      </c>
      <c r="K279" s="4" t="str" cm="1">
        <f t="array" ref="K279">_xlfn.IFS(J279&lt;=5,"0-5",J279&lt;=10,"6-10",J279&lt;=15,"11-15",J279&lt;=20,"16-20",J279&gt;20,"21+")</f>
        <v>11-15</v>
      </c>
      <c r="L279" t="s">
        <v>28</v>
      </c>
      <c r="M279" s="2" t="str">
        <f>SUBSTITUTE(L279,"$","")</f>
        <v>40</v>
      </c>
      <c r="N279" s="8">
        <f t="shared" si="55"/>
        <v>40</v>
      </c>
      <c r="P279">
        <v>1</v>
      </c>
      <c r="Q279" t="s">
        <v>2073</v>
      </c>
      <c r="R279" s="1">
        <v>1</v>
      </c>
      <c r="S279" s="3">
        <f t="shared" si="58"/>
        <v>1</v>
      </c>
    </row>
    <row r="280" spans="1:19" x14ac:dyDescent="0.3">
      <c r="A280" t="s">
        <v>632</v>
      </c>
      <c r="B280" t="s">
        <v>633</v>
      </c>
      <c r="C280" t="str">
        <f t="shared" si="59"/>
        <v>Anthony Goodwin DDS</v>
      </c>
      <c r="D280" t="s">
        <v>19</v>
      </c>
      <c r="E280" t="str">
        <f t="shared" si="54"/>
        <v>Male</v>
      </c>
      <c r="F280">
        <v>60</v>
      </c>
      <c r="G280" t="s">
        <v>54</v>
      </c>
      <c r="H280" t="s">
        <v>55</v>
      </c>
      <c r="I280" t="s">
        <v>43</v>
      </c>
      <c r="J280">
        <v>6</v>
      </c>
      <c r="K280" s="4" t="str" cm="1">
        <f t="array" ref="K280">_xlfn.IFS(J280&lt;=5,"0-5",J280&lt;=10,"6-10",J280&lt;=15,"11-15",J280&lt;=20,"16-20",J280&gt;20,"21+")</f>
        <v>6-10</v>
      </c>
      <c r="N280" s="8" t="str">
        <f t="shared" si="55"/>
        <v/>
      </c>
      <c r="O280">
        <v>3.2</v>
      </c>
      <c r="P280">
        <v>0</v>
      </c>
      <c r="Q280" t="s">
        <v>2072</v>
      </c>
      <c r="R280">
        <v>95</v>
      </c>
      <c r="S280" s="3">
        <f>R280/100</f>
        <v>0.95</v>
      </c>
    </row>
    <row r="281" spans="1:19" x14ac:dyDescent="0.3">
      <c r="A281" t="s">
        <v>634</v>
      </c>
      <c r="B281" t="s">
        <v>635</v>
      </c>
      <c r="C281" t="str">
        <f t="shared" si="59"/>
        <v>Meagan Walters</v>
      </c>
      <c r="D281" t="s">
        <v>31</v>
      </c>
      <c r="E281" t="str">
        <f t="shared" si="54"/>
        <v>Female</v>
      </c>
      <c r="F281">
        <v>23</v>
      </c>
      <c r="G281" t="s">
        <v>59</v>
      </c>
      <c r="H281" t="s">
        <v>14</v>
      </c>
      <c r="I281" t="s">
        <v>9</v>
      </c>
      <c r="J281">
        <v>4</v>
      </c>
      <c r="K281" s="4" t="str" cm="1">
        <f t="array" ref="K281">_xlfn.IFS(J281&lt;=5,"0-5",J281&lt;=10,"6-10",J281&lt;=15,"11-15",J281&lt;=20,"16-20",J281&gt;20,"21+")</f>
        <v>0-5</v>
      </c>
      <c r="L281" t="s">
        <v>306</v>
      </c>
      <c r="M281" s="2" t="str">
        <f>TRIM(MID(L281,FIND(" ",L281)+1,LEN(L281)))</f>
        <v>20</v>
      </c>
      <c r="N281" s="8">
        <f t="shared" si="55"/>
        <v>20</v>
      </c>
      <c r="P281">
        <v>0</v>
      </c>
      <c r="Q281" t="s">
        <v>2072</v>
      </c>
      <c r="R281" s="1">
        <v>0.71</v>
      </c>
      <c r="S281" s="3">
        <f t="shared" ref="S281:S285" si="60">R281</f>
        <v>0.71</v>
      </c>
    </row>
    <row r="282" spans="1:19" x14ac:dyDescent="0.3">
      <c r="A282" t="s">
        <v>636</v>
      </c>
      <c r="B282" t="s">
        <v>637</v>
      </c>
      <c r="C282" t="str">
        <f t="shared" si="59"/>
        <v>David Powell</v>
      </c>
      <c r="D282" t="s">
        <v>84</v>
      </c>
      <c r="E282" t="str">
        <f t="shared" si="54"/>
        <v>Male</v>
      </c>
      <c r="F282">
        <v>42</v>
      </c>
      <c r="G282" t="s">
        <v>41</v>
      </c>
      <c r="H282" t="s">
        <v>42</v>
      </c>
      <c r="I282" t="s">
        <v>65</v>
      </c>
      <c r="J282">
        <v>13</v>
      </c>
      <c r="K282" s="4" t="str" cm="1">
        <f t="array" ref="K282">_xlfn.IFS(J282&lt;=5,"0-5",J282&lt;=10,"6-10",J282&lt;=15,"11-15",J282&lt;=20,"16-20",J282&gt;20,"21+")</f>
        <v>11-15</v>
      </c>
      <c r="L282" t="s">
        <v>113</v>
      </c>
      <c r="M282" s="2" t="str">
        <f>SUBSTITUTE(L282,"$","")</f>
        <v>20</v>
      </c>
      <c r="N282" s="8">
        <f t="shared" si="55"/>
        <v>20</v>
      </c>
      <c r="O282">
        <v>4.7</v>
      </c>
      <c r="P282" t="s">
        <v>23</v>
      </c>
      <c r="Q282" t="s">
        <v>2072</v>
      </c>
      <c r="R282" s="1">
        <v>0.85</v>
      </c>
      <c r="S282" s="3">
        <f t="shared" si="60"/>
        <v>0.85</v>
      </c>
    </row>
    <row r="283" spans="1:19" x14ac:dyDescent="0.3">
      <c r="A283" t="s">
        <v>638</v>
      </c>
      <c r="B283" t="s">
        <v>639</v>
      </c>
      <c r="C283" t="str">
        <f t="shared" si="59"/>
        <v>Kelly Jones</v>
      </c>
      <c r="D283" t="s">
        <v>6</v>
      </c>
      <c r="E283" t="str">
        <f t="shared" si="54"/>
        <v>Female</v>
      </c>
      <c r="F283">
        <v>48</v>
      </c>
      <c r="G283" t="s">
        <v>85</v>
      </c>
      <c r="H283" t="s">
        <v>86</v>
      </c>
      <c r="I283" t="s">
        <v>15</v>
      </c>
      <c r="J283">
        <v>6</v>
      </c>
      <c r="K283" s="4" t="str" cm="1">
        <f t="array" ref="K283">_xlfn.IFS(J283&lt;=5,"0-5",J283&lt;=10,"6-10",J283&lt;=15,"11-15",J283&lt;=20,"16-20",J283&gt;20,"21+")</f>
        <v>6-10</v>
      </c>
      <c r="L283">
        <v>30</v>
      </c>
      <c r="M283" s="2">
        <f>L283</f>
        <v>30</v>
      </c>
      <c r="N283" s="8">
        <f t="shared" si="55"/>
        <v>30</v>
      </c>
      <c r="P283" t="s">
        <v>23</v>
      </c>
      <c r="Q283" t="s">
        <v>2072</v>
      </c>
      <c r="R283" s="1">
        <v>0.96</v>
      </c>
      <c r="S283" s="3">
        <f t="shared" si="60"/>
        <v>0.96</v>
      </c>
    </row>
    <row r="284" spans="1:19" x14ac:dyDescent="0.3">
      <c r="A284" t="s">
        <v>640</v>
      </c>
      <c r="B284" t="s">
        <v>641</v>
      </c>
      <c r="C284" t="str">
        <f>TRIM(MID(B284,FIND(" ",B284)+1,LEN(B284)))</f>
        <v>Michael Aguilar</v>
      </c>
      <c r="D284" t="s">
        <v>40</v>
      </c>
      <c r="E284" t="str">
        <f t="shared" si="54"/>
        <v>Male</v>
      </c>
      <c r="F284">
        <v>42</v>
      </c>
      <c r="G284" t="s">
        <v>34</v>
      </c>
      <c r="H284" t="s">
        <v>35</v>
      </c>
      <c r="I284" t="s">
        <v>22</v>
      </c>
      <c r="J284">
        <v>10</v>
      </c>
      <c r="K284" s="4" t="str" cm="1">
        <f t="array" ref="K284">_xlfn.IFS(J284&lt;=5,"0-5",J284&lt;=10,"6-10",J284&lt;=15,"11-15",J284&lt;=20,"16-20",J284&gt;20,"21+")</f>
        <v>6-10</v>
      </c>
      <c r="L284" t="s">
        <v>306</v>
      </c>
      <c r="M284" s="2" t="str">
        <f>TRIM(MID(L284,FIND(" ",L284)+1,LEN(L284)))</f>
        <v>20</v>
      </c>
      <c r="N284" s="8">
        <f t="shared" si="55"/>
        <v>20</v>
      </c>
      <c r="O284">
        <v>2.4</v>
      </c>
      <c r="P284" t="s">
        <v>66</v>
      </c>
      <c r="Q284" t="s">
        <v>2073</v>
      </c>
      <c r="R284" s="1">
        <v>0.92</v>
      </c>
      <c r="S284" s="3">
        <f t="shared" si="60"/>
        <v>0.92</v>
      </c>
    </row>
    <row r="285" spans="1:19" x14ac:dyDescent="0.3">
      <c r="A285" t="s">
        <v>642</v>
      </c>
      <c r="B285" t="s">
        <v>643</v>
      </c>
      <c r="C285" t="str">
        <f t="shared" ref="C285:C310" si="61">B285</f>
        <v>Alex Novak</v>
      </c>
      <c r="D285" t="s">
        <v>84</v>
      </c>
      <c r="E285" t="str">
        <f t="shared" si="54"/>
        <v>Male</v>
      </c>
      <c r="F285">
        <v>52</v>
      </c>
      <c r="G285" t="s">
        <v>104</v>
      </c>
      <c r="H285" t="s">
        <v>105</v>
      </c>
      <c r="I285" t="s">
        <v>70</v>
      </c>
      <c r="J285">
        <v>20</v>
      </c>
      <c r="K285" s="4" t="str" cm="1">
        <f t="array" ref="K285">_xlfn.IFS(J285&lt;=5,"0-5",J285&lt;=10,"6-10",J285&lt;=15,"11-15",J285&lt;=20,"16-20",J285&gt;20,"21+")</f>
        <v>16-20</v>
      </c>
      <c r="L285">
        <v>50</v>
      </c>
      <c r="M285" s="2">
        <f t="shared" ref="M285:M291" si="62">L285</f>
        <v>50</v>
      </c>
      <c r="N285" s="8">
        <f t="shared" si="55"/>
        <v>50</v>
      </c>
      <c r="P285" t="b">
        <v>0</v>
      </c>
      <c r="Q285" t="s">
        <v>2072</v>
      </c>
      <c r="R285" s="1">
        <v>0.79</v>
      </c>
      <c r="S285" s="3">
        <f t="shared" si="60"/>
        <v>0.79</v>
      </c>
    </row>
    <row r="286" spans="1:19" x14ac:dyDescent="0.3">
      <c r="A286" t="s">
        <v>644</v>
      </c>
      <c r="B286" t="s">
        <v>645</v>
      </c>
      <c r="C286" t="str">
        <f t="shared" si="61"/>
        <v>Ann Contreras</v>
      </c>
      <c r="D286" t="s">
        <v>31</v>
      </c>
      <c r="E286" t="str">
        <f t="shared" si="54"/>
        <v>Female</v>
      </c>
      <c r="F286">
        <v>55</v>
      </c>
      <c r="G286" t="s">
        <v>77</v>
      </c>
      <c r="H286" t="s">
        <v>78</v>
      </c>
      <c r="I286" t="s">
        <v>27</v>
      </c>
      <c r="J286">
        <v>20</v>
      </c>
      <c r="K286" s="4" t="str" cm="1">
        <f t="array" ref="K286">_xlfn.IFS(J286&lt;=5,"0-5",J286&lt;=10,"6-10",J286&lt;=15,"11-15",J286&lt;=20,"16-20",J286&gt;20,"21+")</f>
        <v>16-20</v>
      </c>
      <c r="L286">
        <v>75</v>
      </c>
      <c r="M286" s="2">
        <f t="shared" si="62"/>
        <v>75</v>
      </c>
      <c r="N286" s="8">
        <f t="shared" si="55"/>
        <v>75</v>
      </c>
      <c r="O286">
        <v>2.9</v>
      </c>
      <c r="P286" t="b">
        <v>0</v>
      </c>
      <c r="Q286" t="s">
        <v>2072</v>
      </c>
    </row>
    <row r="287" spans="1:19" x14ac:dyDescent="0.3">
      <c r="A287" t="s">
        <v>646</v>
      </c>
      <c r="B287" t="s">
        <v>647</v>
      </c>
      <c r="C287" t="str">
        <f t="shared" si="61"/>
        <v>Mary Reed</v>
      </c>
      <c r="D287" t="s">
        <v>6</v>
      </c>
      <c r="E287" t="str">
        <f t="shared" si="54"/>
        <v>Female</v>
      </c>
      <c r="F287">
        <v>58</v>
      </c>
      <c r="G287" t="s">
        <v>145</v>
      </c>
      <c r="H287" t="s">
        <v>146</v>
      </c>
      <c r="I287" t="s">
        <v>70</v>
      </c>
      <c r="J287">
        <v>11</v>
      </c>
      <c r="K287" s="4" t="str" cm="1">
        <f t="array" ref="K287">_xlfn.IFS(J287&lt;=5,"0-5",J287&lt;=10,"6-10",J287&lt;=15,"11-15",J287&lt;=20,"16-20",J287&gt;20,"21+")</f>
        <v>11-15</v>
      </c>
      <c r="L287">
        <v>50</v>
      </c>
      <c r="M287" s="2">
        <f t="shared" si="62"/>
        <v>50</v>
      </c>
      <c r="N287" s="8">
        <f t="shared" si="55"/>
        <v>50</v>
      </c>
      <c r="O287">
        <v>0</v>
      </c>
      <c r="P287">
        <v>0</v>
      </c>
      <c r="Q287" t="s">
        <v>2072</v>
      </c>
    </row>
    <row r="288" spans="1:19" x14ac:dyDescent="0.3">
      <c r="A288" t="s">
        <v>648</v>
      </c>
      <c r="B288" t="s">
        <v>649</v>
      </c>
      <c r="C288" t="str">
        <f t="shared" si="61"/>
        <v>Lauren Ross</v>
      </c>
      <c r="D288" t="s">
        <v>12</v>
      </c>
      <c r="E288" t="str">
        <f t="shared" si="54"/>
        <v>Female</v>
      </c>
      <c r="F288">
        <v>46</v>
      </c>
      <c r="G288" t="s">
        <v>104</v>
      </c>
      <c r="H288" t="s">
        <v>105</v>
      </c>
      <c r="I288" t="s">
        <v>106</v>
      </c>
      <c r="J288">
        <v>12</v>
      </c>
      <c r="K288" s="4" t="str" cm="1">
        <f t="array" ref="K288">_xlfn.IFS(J288&lt;=5,"0-5",J288&lt;=10,"6-10",J288&lt;=15,"11-15",J288&lt;=20,"16-20",J288&gt;20,"21+")</f>
        <v>11-15</v>
      </c>
      <c r="L288">
        <v>20</v>
      </c>
      <c r="M288" s="2">
        <f t="shared" si="62"/>
        <v>20</v>
      </c>
      <c r="N288" s="8">
        <f t="shared" si="55"/>
        <v>20</v>
      </c>
      <c r="O288">
        <v>0</v>
      </c>
      <c r="P288" t="b">
        <v>0</v>
      </c>
      <c r="Q288" t="s">
        <v>2072</v>
      </c>
      <c r="R288" s="1">
        <v>0.89</v>
      </c>
      <c r="S288" s="3">
        <f t="shared" ref="S288:S290" si="63">R288</f>
        <v>0.89</v>
      </c>
    </row>
    <row r="289" spans="1:19" x14ac:dyDescent="0.3">
      <c r="A289" t="s">
        <v>650</v>
      </c>
      <c r="B289" t="s">
        <v>651</v>
      </c>
      <c r="C289" t="str">
        <f t="shared" si="61"/>
        <v>Candice Wise</v>
      </c>
      <c r="D289" t="s">
        <v>12</v>
      </c>
      <c r="E289" t="str">
        <f t="shared" si="54"/>
        <v>Female</v>
      </c>
      <c r="F289">
        <v>45</v>
      </c>
      <c r="G289" t="s">
        <v>182</v>
      </c>
      <c r="H289" t="s">
        <v>64</v>
      </c>
      <c r="I289" t="s">
        <v>106</v>
      </c>
      <c r="J289">
        <v>1</v>
      </c>
      <c r="K289" s="4" t="str" cm="1">
        <f t="array" ref="K289">_xlfn.IFS(J289&lt;=5,"0-5",J289&lt;=10,"6-10",J289&lt;=15,"11-15",J289&lt;=20,"16-20",J289&gt;20,"21+")</f>
        <v>0-5</v>
      </c>
      <c r="L289">
        <v>100</v>
      </c>
      <c r="M289" s="2">
        <f t="shared" si="62"/>
        <v>100</v>
      </c>
      <c r="N289" s="8">
        <f t="shared" si="55"/>
        <v>100</v>
      </c>
      <c r="O289">
        <v>1.5</v>
      </c>
      <c r="P289">
        <v>1</v>
      </c>
      <c r="Q289" t="s">
        <v>2073</v>
      </c>
      <c r="R289" s="1">
        <v>1</v>
      </c>
      <c r="S289" s="3">
        <f t="shared" si="63"/>
        <v>1</v>
      </c>
    </row>
    <row r="290" spans="1:19" x14ac:dyDescent="0.3">
      <c r="A290" t="s">
        <v>652</v>
      </c>
      <c r="B290" t="s">
        <v>653</v>
      </c>
      <c r="C290" t="str">
        <f t="shared" si="61"/>
        <v>Joyce Humphrey</v>
      </c>
      <c r="D290" t="s">
        <v>12</v>
      </c>
      <c r="E290" t="str">
        <f t="shared" si="54"/>
        <v>Female</v>
      </c>
      <c r="F290">
        <v>56</v>
      </c>
      <c r="G290" t="s">
        <v>85</v>
      </c>
      <c r="H290" t="s">
        <v>86</v>
      </c>
      <c r="I290" t="s">
        <v>106</v>
      </c>
      <c r="J290">
        <v>2</v>
      </c>
      <c r="K290" s="4" t="str" cm="1">
        <f t="array" ref="K290">_xlfn.IFS(J290&lt;=5,"0-5",J290&lt;=10,"6-10",J290&lt;=15,"11-15",J290&lt;=20,"16-20",J290&gt;20,"21+")</f>
        <v>0-5</v>
      </c>
      <c r="L290">
        <v>30</v>
      </c>
      <c r="M290" s="2">
        <f t="shared" si="62"/>
        <v>30</v>
      </c>
      <c r="N290" s="8">
        <f t="shared" si="55"/>
        <v>30</v>
      </c>
      <c r="O290">
        <v>1.9</v>
      </c>
      <c r="P290">
        <v>1</v>
      </c>
      <c r="Q290" t="s">
        <v>2073</v>
      </c>
      <c r="R290" s="1">
        <v>0.81</v>
      </c>
      <c r="S290" s="3">
        <f t="shared" si="63"/>
        <v>0.81</v>
      </c>
    </row>
    <row r="291" spans="1:19" x14ac:dyDescent="0.3">
      <c r="A291" t="s">
        <v>654</v>
      </c>
      <c r="B291" t="s">
        <v>655</v>
      </c>
      <c r="C291" t="str">
        <f t="shared" si="61"/>
        <v>James Carr</v>
      </c>
      <c r="D291" t="s">
        <v>19</v>
      </c>
      <c r="E291" t="str">
        <f t="shared" si="54"/>
        <v>Male</v>
      </c>
      <c r="F291">
        <v>44</v>
      </c>
      <c r="G291" t="s">
        <v>59</v>
      </c>
      <c r="H291" t="s">
        <v>14</v>
      </c>
      <c r="I291" t="s">
        <v>9</v>
      </c>
      <c r="J291">
        <v>13</v>
      </c>
      <c r="K291" s="4" t="str" cm="1">
        <f t="array" ref="K291">_xlfn.IFS(J291&lt;=5,"0-5",J291&lt;=10,"6-10",J291&lt;=15,"11-15",J291&lt;=20,"16-20",J291&gt;20,"21+")</f>
        <v>11-15</v>
      </c>
      <c r="L291">
        <v>100</v>
      </c>
      <c r="M291" s="2">
        <f t="shared" si="62"/>
        <v>100</v>
      </c>
      <c r="N291" s="8">
        <f t="shared" si="55"/>
        <v>100</v>
      </c>
      <c r="O291">
        <v>3.1</v>
      </c>
      <c r="P291" t="s">
        <v>66</v>
      </c>
      <c r="Q291" t="s">
        <v>2073</v>
      </c>
      <c r="R291">
        <v>95</v>
      </c>
      <c r="S291" s="3">
        <f>R291/100</f>
        <v>0.95</v>
      </c>
    </row>
    <row r="292" spans="1:19" x14ac:dyDescent="0.3">
      <c r="A292" t="s">
        <v>656</v>
      </c>
      <c r="B292" t="s">
        <v>657</v>
      </c>
      <c r="C292" t="str">
        <f t="shared" si="61"/>
        <v>Joseph Mendoza</v>
      </c>
      <c r="D292" t="s">
        <v>89</v>
      </c>
      <c r="E292" t="str">
        <f t="shared" si="54"/>
        <v>Male</v>
      </c>
      <c r="F292">
        <v>46</v>
      </c>
      <c r="G292" t="s">
        <v>41</v>
      </c>
      <c r="H292" t="s">
        <v>42</v>
      </c>
      <c r="I292" t="s">
        <v>65</v>
      </c>
      <c r="J292">
        <v>0</v>
      </c>
      <c r="K292" s="4" t="str" cm="1">
        <f t="array" ref="K292">_xlfn.IFS(J292&lt;=5,"0-5",J292&lt;=10,"6-10",J292&lt;=15,"11-15",J292&lt;=20,"16-20",J292&gt;20,"21+")</f>
        <v>0-5</v>
      </c>
      <c r="N292" s="8" t="str">
        <f t="shared" si="55"/>
        <v/>
      </c>
      <c r="O292">
        <v>1.8</v>
      </c>
      <c r="P292" t="s">
        <v>23</v>
      </c>
      <c r="Q292" t="s">
        <v>2072</v>
      </c>
      <c r="R292" s="1">
        <v>0.88</v>
      </c>
      <c r="S292" s="3">
        <f t="shared" ref="S292:S294" si="64">R292</f>
        <v>0.88</v>
      </c>
    </row>
    <row r="293" spans="1:19" x14ac:dyDescent="0.3">
      <c r="A293" t="s">
        <v>658</v>
      </c>
      <c r="B293" t="s">
        <v>659</v>
      </c>
      <c r="C293" t="str">
        <f t="shared" si="61"/>
        <v>Cathy Baldwin</v>
      </c>
      <c r="D293" t="s">
        <v>69</v>
      </c>
      <c r="E293" t="str">
        <f t="shared" si="54"/>
        <v>Female</v>
      </c>
      <c r="F293">
        <v>27</v>
      </c>
      <c r="G293" t="s">
        <v>77</v>
      </c>
      <c r="H293" t="s">
        <v>78</v>
      </c>
      <c r="I293" t="s">
        <v>27</v>
      </c>
      <c r="J293">
        <v>7</v>
      </c>
      <c r="K293" s="4" t="str" cm="1">
        <f t="array" ref="K293">_xlfn.IFS(J293&lt;=5,"0-5",J293&lt;=10,"6-10",J293&lt;=15,"11-15",J293&lt;=20,"16-20",J293&gt;20,"21+")</f>
        <v>6-10</v>
      </c>
      <c r="L293">
        <v>30</v>
      </c>
      <c r="M293" s="2">
        <f>L293</f>
        <v>30</v>
      </c>
      <c r="N293" s="8">
        <f t="shared" si="55"/>
        <v>30</v>
      </c>
      <c r="O293">
        <v>2.4</v>
      </c>
      <c r="P293" t="s">
        <v>60</v>
      </c>
      <c r="Q293" t="s">
        <v>2073</v>
      </c>
      <c r="R293" s="1">
        <v>0.66</v>
      </c>
      <c r="S293" s="3">
        <f t="shared" si="64"/>
        <v>0.66</v>
      </c>
    </row>
    <row r="294" spans="1:19" x14ac:dyDescent="0.3">
      <c r="A294" t="s">
        <v>660</v>
      </c>
      <c r="B294" t="s">
        <v>661</v>
      </c>
      <c r="C294" t="str">
        <f t="shared" si="61"/>
        <v>Christine Hart</v>
      </c>
      <c r="D294" t="s">
        <v>12</v>
      </c>
      <c r="E294" t="str">
        <f t="shared" si="54"/>
        <v>Female</v>
      </c>
      <c r="F294">
        <v>49</v>
      </c>
      <c r="G294" t="s">
        <v>85</v>
      </c>
      <c r="H294" t="s">
        <v>86</v>
      </c>
      <c r="I294" t="s">
        <v>9</v>
      </c>
      <c r="J294">
        <v>13</v>
      </c>
      <c r="K294" s="4" t="str" cm="1">
        <f t="array" ref="K294">_xlfn.IFS(J294&lt;=5,"0-5",J294&lt;=10,"6-10",J294&lt;=15,"11-15",J294&lt;=20,"16-20",J294&gt;20,"21+")</f>
        <v>11-15</v>
      </c>
      <c r="L294">
        <v>100</v>
      </c>
      <c r="M294" s="2">
        <f>L294</f>
        <v>100</v>
      </c>
      <c r="N294" s="8">
        <f t="shared" si="55"/>
        <v>100</v>
      </c>
      <c r="O294">
        <v>4.2</v>
      </c>
      <c r="P294">
        <v>1</v>
      </c>
      <c r="Q294" t="s">
        <v>2073</v>
      </c>
      <c r="R294" s="1">
        <v>0.84</v>
      </c>
      <c r="S294" s="3">
        <f t="shared" si="64"/>
        <v>0.84</v>
      </c>
    </row>
    <row r="295" spans="1:19" x14ac:dyDescent="0.3">
      <c r="A295" t="s">
        <v>662</v>
      </c>
      <c r="B295" t="s">
        <v>663</v>
      </c>
      <c r="C295" t="str">
        <f t="shared" si="61"/>
        <v>Mike Stanley</v>
      </c>
      <c r="D295" t="s">
        <v>89</v>
      </c>
      <c r="E295" t="str">
        <f t="shared" si="54"/>
        <v>Male</v>
      </c>
      <c r="F295">
        <v>53</v>
      </c>
      <c r="G295" t="s">
        <v>171</v>
      </c>
      <c r="H295" t="s">
        <v>64</v>
      </c>
      <c r="I295" t="s">
        <v>27</v>
      </c>
      <c r="J295">
        <v>21</v>
      </c>
      <c r="K295" s="4" t="str" cm="1">
        <f t="array" ref="K295">_xlfn.IFS(J295&lt;=5,"0-5",J295&lt;=10,"6-10",J295&lt;=15,"11-15",J295&lt;=20,"16-20",J295&gt;20,"21+")</f>
        <v>21+</v>
      </c>
      <c r="L295" t="s">
        <v>56</v>
      </c>
      <c r="M295" s="2" t="str">
        <f>SUBSTITUTE(L295,"$","")</f>
        <v>50</v>
      </c>
      <c r="N295" s="8">
        <f t="shared" si="55"/>
        <v>50</v>
      </c>
      <c r="O295">
        <v>1.4</v>
      </c>
      <c r="P295" t="s">
        <v>23</v>
      </c>
      <c r="Q295" t="s">
        <v>2072</v>
      </c>
    </row>
    <row r="296" spans="1:19" x14ac:dyDescent="0.3">
      <c r="A296" t="s">
        <v>664</v>
      </c>
      <c r="B296" t="s">
        <v>665</v>
      </c>
      <c r="C296" t="str">
        <f t="shared" si="61"/>
        <v>Jeffrey Edwards</v>
      </c>
      <c r="D296" t="s">
        <v>89</v>
      </c>
      <c r="E296" t="str">
        <f t="shared" si="54"/>
        <v>Male</v>
      </c>
      <c r="F296">
        <v>56</v>
      </c>
      <c r="G296" t="s">
        <v>13</v>
      </c>
      <c r="H296" t="s">
        <v>14</v>
      </c>
      <c r="I296" t="s">
        <v>27</v>
      </c>
      <c r="J296">
        <v>19</v>
      </c>
      <c r="K296" s="4" t="str" cm="1">
        <f t="array" ref="K296">_xlfn.IFS(J296&lt;=5,"0-5",J296&lt;=10,"6-10",J296&lt;=15,"11-15",J296&lt;=20,"16-20",J296&gt;20,"21+")</f>
        <v>16-20</v>
      </c>
      <c r="L296">
        <v>40</v>
      </c>
      <c r="M296" s="2">
        <f>L296</f>
        <v>40</v>
      </c>
      <c r="N296" s="8">
        <f t="shared" si="55"/>
        <v>40</v>
      </c>
      <c r="O296">
        <v>1.2</v>
      </c>
      <c r="P296" t="s">
        <v>66</v>
      </c>
      <c r="Q296" t="s">
        <v>2073</v>
      </c>
      <c r="R296" s="1">
        <v>0.82</v>
      </c>
      <c r="S296" s="3">
        <f t="shared" ref="S296:S305" si="65">R296</f>
        <v>0.82</v>
      </c>
    </row>
    <row r="297" spans="1:19" x14ac:dyDescent="0.3">
      <c r="A297" t="s">
        <v>666</v>
      </c>
      <c r="B297" t="s">
        <v>667</v>
      </c>
      <c r="C297" t="str">
        <f t="shared" si="61"/>
        <v>Amy Lee</v>
      </c>
      <c r="D297" t="s">
        <v>12</v>
      </c>
      <c r="E297" t="str">
        <f t="shared" si="54"/>
        <v>Female</v>
      </c>
      <c r="F297">
        <v>56</v>
      </c>
      <c r="G297" t="s">
        <v>59</v>
      </c>
      <c r="H297" t="s">
        <v>14</v>
      </c>
      <c r="I297" t="s">
        <v>81</v>
      </c>
      <c r="J297">
        <v>34</v>
      </c>
      <c r="K297" s="4" t="str" cm="1">
        <f t="array" ref="K297">_xlfn.IFS(J297&lt;=5,"0-5",J297&lt;=10,"6-10",J297&lt;=15,"11-15",J297&lt;=20,"16-20",J297&gt;20,"21+")</f>
        <v>21+</v>
      </c>
      <c r="N297" s="8" t="str">
        <f t="shared" si="55"/>
        <v/>
      </c>
      <c r="O297">
        <v>2.1</v>
      </c>
      <c r="P297" t="s">
        <v>60</v>
      </c>
      <c r="Q297" t="s">
        <v>2073</v>
      </c>
      <c r="R297" s="1">
        <v>0.84</v>
      </c>
      <c r="S297" s="3">
        <f t="shared" si="65"/>
        <v>0.84</v>
      </c>
    </row>
    <row r="298" spans="1:19" x14ac:dyDescent="0.3">
      <c r="A298" t="s">
        <v>668</v>
      </c>
      <c r="B298" t="s">
        <v>669</v>
      </c>
      <c r="C298" t="str">
        <f t="shared" si="61"/>
        <v>Mark Thompson</v>
      </c>
      <c r="D298" t="s">
        <v>53</v>
      </c>
      <c r="E298" t="str">
        <f t="shared" si="54"/>
        <v>Male</v>
      </c>
      <c r="F298">
        <v>38</v>
      </c>
      <c r="G298" t="s">
        <v>145</v>
      </c>
      <c r="H298" t="s">
        <v>146</v>
      </c>
      <c r="I298" t="s">
        <v>43</v>
      </c>
      <c r="J298">
        <v>3</v>
      </c>
      <c r="K298" s="4" t="str" cm="1">
        <f t="array" ref="K298">_xlfn.IFS(J298&lt;=5,"0-5",J298&lt;=10,"6-10",J298&lt;=15,"11-15",J298&lt;=20,"16-20",J298&gt;20,"21+")</f>
        <v>0-5</v>
      </c>
      <c r="L298">
        <v>100</v>
      </c>
      <c r="M298" s="2">
        <f>L298</f>
        <v>100</v>
      </c>
      <c r="N298" s="8">
        <f t="shared" si="55"/>
        <v>100</v>
      </c>
      <c r="O298">
        <v>1.4</v>
      </c>
      <c r="P298" t="b">
        <v>0</v>
      </c>
      <c r="Q298" t="s">
        <v>2072</v>
      </c>
      <c r="R298" s="1">
        <v>0.73</v>
      </c>
      <c r="S298" s="3">
        <f t="shared" si="65"/>
        <v>0.73</v>
      </c>
    </row>
    <row r="299" spans="1:19" x14ac:dyDescent="0.3">
      <c r="A299" t="s">
        <v>670</v>
      </c>
      <c r="B299" t="s">
        <v>671</v>
      </c>
      <c r="C299" t="str">
        <f t="shared" si="61"/>
        <v>Alex Wilson</v>
      </c>
      <c r="D299" t="s">
        <v>84</v>
      </c>
      <c r="E299" t="str">
        <f t="shared" si="54"/>
        <v>Male</v>
      </c>
      <c r="F299">
        <v>20</v>
      </c>
      <c r="G299" t="s">
        <v>104</v>
      </c>
      <c r="H299" t="s">
        <v>105</v>
      </c>
      <c r="I299" t="s">
        <v>15</v>
      </c>
      <c r="J299">
        <v>0</v>
      </c>
      <c r="K299" s="4" t="str" cm="1">
        <f t="array" ref="K299">_xlfn.IFS(J299&lt;=5,"0-5",J299&lt;=10,"6-10",J299&lt;=15,"11-15",J299&lt;=20,"16-20",J299&gt;20,"21+")</f>
        <v>0-5</v>
      </c>
      <c r="L299">
        <v>30</v>
      </c>
      <c r="M299" s="2">
        <f>L299</f>
        <v>30</v>
      </c>
      <c r="N299" s="8">
        <f t="shared" si="55"/>
        <v>30</v>
      </c>
      <c r="O299">
        <v>3.8</v>
      </c>
      <c r="R299" s="1">
        <v>0.93</v>
      </c>
      <c r="S299" s="3">
        <f t="shared" si="65"/>
        <v>0.93</v>
      </c>
    </row>
    <row r="300" spans="1:19" x14ac:dyDescent="0.3">
      <c r="A300" t="s">
        <v>672</v>
      </c>
      <c r="B300" t="s">
        <v>673</v>
      </c>
      <c r="C300" t="str">
        <f t="shared" si="61"/>
        <v>Nancy Mendez</v>
      </c>
      <c r="D300" t="s">
        <v>31</v>
      </c>
      <c r="E300" t="str">
        <f t="shared" si="54"/>
        <v>Female</v>
      </c>
      <c r="F300">
        <v>38</v>
      </c>
      <c r="G300" t="s">
        <v>120</v>
      </c>
      <c r="H300" t="s">
        <v>14</v>
      </c>
      <c r="I300" t="s">
        <v>106</v>
      </c>
      <c r="J300">
        <v>20</v>
      </c>
      <c r="K300" s="4" t="str" cm="1">
        <f t="array" ref="K300">_xlfn.IFS(J300&lt;=5,"0-5",J300&lt;=10,"6-10",J300&lt;=15,"11-15",J300&lt;=20,"16-20",J300&gt;20,"21+")</f>
        <v>16-20</v>
      </c>
      <c r="L300">
        <v>50</v>
      </c>
      <c r="M300" s="2">
        <f>L300</f>
        <v>50</v>
      </c>
      <c r="N300" s="8">
        <f t="shared" si="55"/>
        <v>50</v>
      </c>
      <c r="O300">
        <v>0</v>
      </c>
      <c r="R300" s="1">
        <v>0.64</v>
      </c>
      <c r="S300" s="3">
        <f t="shared" si="65"/>
        <v>0.64</v>
      </c>
    </row>
    <row r="301" spans="1:19" x14ac:dyDescent="0.3">
      <c r="A301" t="s">
        <v>674</v>
      </c>
      <c r="B301" t="s">
        <v>675</v>
      </c>
      <c r="C301" t="str">
        <f t="shared" si="61"/>
        <v>Beth Crane</v>
      </c>
      <c r="D301" t="s">
        <v>6</v>
      </c>
      <c r="E301" t="str">
        <f t="shared" si="54"/>
        <v>Female</v>
      </c>
      <c r="G301" t="s">
        <v>34</v>
      </c>
      <c r="H301" t="s">
        <v>35</v>
      </c>
      <c r="I301" t="s">
        <v>15</v>
      </c>
      <c r="J301">
        <v>6</v>
      </c>
      <c r="K301" s="4" t="str" cm="1">
        <f t="array" ref="K301">_xlfn.IFS(J301&lt;=5,"0-5",J301&lt;=10,"6-10",J301&lt;=15,"11-15",J301&lt;=20,"16-20",J301&gt;20,"21+")</f>
        <v>6-10</v>
      </c>
      <c r="L301">
        <v>40</v>
      </c>
      <c r="M301" s="2">
        <f>L301</f>
        <v>40</v>
      </c>
      <c r="N301" s="8">
        <f t="shared" si="55"/>
        <v>40</v>
      </c>
      <c r="O301">
        <v>3.5</v>
      </c>
      <c r="P301">
        <v>0</v>
      </c>
      <c r="Q301" t="s">
        <v>2072</v>
      </c>
      <c r="R301" s="1">
        <v>0.76</v>
      </c>
      <c r="S301" s="3">
        <f t="shared" si="65"/>
        <v>0.76</v>
      </c>
    </row>
    <row r="302" spans="1:19" x14ac:dyDescent="0.3">
      <c r="A302" t="s">
        <v>676</v>
      </c>
      <c r="B302" t="s">
        <v>677</v>
      </c>
      <c r="C302" t="str">
        <f t="shared" si="61"/>
        <v>Miguel Rogers</v>
      </c>
      <c r="D302" t="s">
        <v>53</v>
      </c>
      <c r="E302" t="str">
        <f t="shared" si="54"/>
        <v>Male</v>
      </c>
      <c r="F302">
        <v>46</v>
      </c>
      <c r="G302" t="s">
        <v>85</v>
      </c>
      <c r="H302" t="s">
        <v>86</v>
      </c>
      <c r="I302" t="s">
        <v>106</v>
      </c>
      <c r="J302">
        <v>13</v>
      </c>
      <c r="K302" s="4" t="str" cm="1">
        <f t="array" ref="K302">_xlfn.IFS(J302&lt;=5,"0-5",J302&lt;=10,"6-10",J302&lt;=15,"11-15",J302&lt;=20,"16-20",J302&gt;20,"21+")</f>
        <v>11-15</v>
      </c>
      <c r="L302" t="s">
        <v>221</v>
      </c>
      <c r="M302" s="2" t="str">
        <f>SUBSTITUTE(L302,"$","")</f>
        <v>100</v>
      </c>
      <c r="N302" s="8">
        <f t="shared" si="55"/>
        <v>100</v>
      </c>
      <c r="O302">
        <v>0</v>
      </c>
      <c r="P302" t="s">
        <v>66</v>
      </c>
      <c r="Q302" t="s">
        <v>2073</v>
      </c>
      <c r="R302" s="1">
        <v>0.97</v>
      </c>
      <c r="S302" s="3">
        <f t="shared" si="65"/>
        <v>0.97</v>
      </c>
    </row>
    <row r="303" spans="1:19" x14ac:dyDescent="0.3">
      <c r="A303" t="s">
        <v>678</v>
      </c>
      <c r="B303" t="s">
        <v>679</v>
      </c>
      <c r="C303" t="str">
        <f t="shared" si="61"/>
        <v>Thomas Robles</v>
      </c>
      <c r="D303" t="s">
        <v>89</v>
      </c>
      <c r="E303" t="str">
        <f t="shared" si="54"/>
        <v>Male</v>
      </c>
      <c r="F303">
        <v>36</v>
      </c>
      <c r="G303" t="s">
        <v>145</v>
      </c>
      <c r="H303" t="s">
        <v>146</v>
      </c>
      <c r="I303" t="s">
        <v>43</v>
      </c>
      <c r="J303">
        <v>9</v>
      </c>
      <c r="K303" s="4" t="str" cm="1">
        <f t="array" ref="K303">_xlfn.IFS(J303&lt;=5,"0-5",J303&lt;=10,"6-10",J303&lt;=15,"11-15",J303&lt;=20,"16-20",J303&gt;20,"21+")</f>
        <v>6-10</v>
      </c>
      <c r="L303">
        <v>75</v>
      </c>
      <c r="M303" s="2">
        <f>L303</f>
        <v>75</v>
      </c>
      <c r="N303" s="8">
        <f t="shared" si="55"/>
        <v>75</v>
      </c>
      <c r="O303">
        <v>2.2000000000000002</v>
      </c>
      <c r="P303">
        <v>0</v>
      </c>
      <c r="Q303" t="s">
        <v>2072</v>
      </c>
      <c r="R303" s="1">
        <v>0.95</v>
      </c>
      <c r="S303" s="3">
        <f t="shared" si="65"/>
        <v>0.95</v>
      </c>
    </row>
    <row r="304" spans="1:19" x14ac:dyDescent="0.3">
      <c r="A304" t="s">
        <v>680</v>
      </c>
      <c r="B304" t="s">
        <v>681</v>
      </c>
      <c r="C304" t="str">
        <f t="shared" si="61"/>
        <v>Joel Brown III</v>
      </c>
      <c r="D304" t="s">
        <v>89</v>
      </c>
      <c r="E304" t="str">
        <f t="shared" si="54"/>
        <v>Male</v>
      </c>
      <c r="F304">
        <v>33</v>
      </c>
      <c r="G304" t="s">
        <v>116</v>
      </c>
      <c r="H304" t="s">
        <v>117</v>
      </c>
      <c r="I304" t="s">
        <v>27</v>
      </c>
      <c r="J304">
        <v>2</v>
      </c>
      <c r="K304" s="4" t="str" cm="1">
        <f t="array" ref="K304">_xlfn.IFS(J304&lt;=5,"0-5",J304&lt;=10,"6-10",J304&lt;=15,"11-15",J304&lt;=20,"16-20",J304&gt;20,"21+")</f>
        <v>0-5</v>
      </c>
      <c r="L304">
        <v>75</v>
      </c>
      <c r="M304" s="2">
        <f>L304</f>
        <v>75</v>
      </c>
      <c r="N304" s="8">
        <f t="shared" si="55"/>
        <v>75</v>
      </c>
      <c r="O304">
        <v>2.5</v>
      </c>
      <c r="P304" t="b">
        <v>0</v>
      </c>
      <c r="Q304" t="s">
        <v>2072</v>
      </c>
      <c r="R304" s="1">
        <v>0.65</v>
      </c>
      <c r="S304" s="3">
        <f t="shared" si="65"/>
        <v>0.65</v>
      </c>
    </row>
    <row r="305" spans="1:19" x14ac:dyDescent="0.3">
      <c r="A305" t="s">
        <v>682</v>
      </c>
      <c r="B305" t="s">
        <v>683</v>
      </c>
      <c r="C305" t="str">
        <f t="shared" si="61"/>
        <v>Olivia Schultz</v>
      </c>
      <c r="D305" t="s">
        <v>26</v>
      </c>
      <c r="E305" t="str">
        <f t="shared" si="54"/>
        <v>Female</v>
      </c>
      <c r="F305">
        <v>37</v>
      </c>
      <c r="G305" t="s">
        <v>120</v>
      </c>
      <c r="H305" t="s">
        <v>14</v>
      </c>
      <c r="I305" t="s">
        <v>22</v>
      </c>
      <c r="J305">
        <v>0</v>
      </c>
      <c r="K305" s="4" t="str" cm="1">
        <f t="array" ref="K305">_xlfn.IFS(J305&lt;=5,"0-5",J305&lt;=10,"6-10",J305&lt;=15,"11-15",J305&lt;=20,"16-20",J305&gt;20,"21+")</f>
        <v>0-5</v>
      </c>
      <c r="L305" t="s">
        <v>90</v>
      </c>
      <c r="M305" s="2" t="str">
        <f>TRIM(MID(L305,FIND(" ",L305)+1,LEN(L305)))</f>
        <v>50</v>
      </c>
      <c r="N305" s="8">
        <f t="shared" si="55"/>
        <v>50</v>
      </c>
      <c r="O305">
        <v>4.7</v>
      </c>
      <c r="P305">
        <v>0</v>
      </c>
      <c r="Q305" t="s">
        <v>2072</v>
      </c>
      <c r="R305" s="1">
        <v>0.77</v>
      </c>
      <c r="S305" s="3">
        <f t="shared" si="65"/>
        <v>0.77</v>
      </c>
    </row>
    <row r="306" spans="1:19" x14ac:dyDescent="0.3">
      <c r="A306" t="s">
        <v>684</v>
      </c>
      <c r="B306" t="s">
        <v>685</v>
      </c>
      <c r="C306" t="str">
        <f t="shared" si="61"/>
        <v>Clayton Pena</v>
      </c>
      <c r="D306" t="s">
        <v>89</v>
      </c>
      <c r="E306" t="str">
        <f t="shared" si="54"/>
        <v>Male</v>
      </c>
      <c r="F306">
        <v>20</v>
      </c>
      <c r="G306" t="s">
        <v>131</v>
      </c>
      <c r="H306" t="s">
        <v>132</v>
      </c>
      <c r="I306" t="s">
        <v>43</v>
      </c>
      <c r="J306">
        <v>0</v>
      </c>
      <c r="K306" s="4" t="str" cm="1">
        <f t="array" ref="K306">_xlfn.IFS(J306&lt;=5,"0-5",J306&lt;=10,"6-10",J306&lt;=15,"11-15",J306&lt;=20,"16-20",J306&gt;20,"21+")</f>
        <v>0-5</v>
      </c>
      <c r="L306">
        <v>20</v>
      </c>
      <c r="M306" s="2">
        <f>L306</f>
        <v>20</v>
      </c>
      <c r="N306" s="8">
        <f t="shared" si="55"/>
        <v>20</v>
      </c>
      <c r="O306">
        <v>3.9</v>
      </c>
      <c r="P306" t="b">
        <v>0</v>
      </c>
      <c r="Q306" t="s">
        <v>2072</v>
      </c>
    </row>
    <row r="307" spans="1:19" x14ac:dyDescent="0.3">
      <c r="A307" t="s">
        <v>686</v>
      </c>
      <c r="B307" t="s">
        <v>687</v>
      </c>
      <c r="C307" t="str">
        <f t="shared" si="61"/>
        <v>Ashley Salazar</v>
      </c>
      <c r="D307" t="s">
        <v>12</v>
      </c>
      <c r="E307" t="str">
        <f t="shared" si="54"/>
        <v>Female</v>
      </c>
      <c r="F307">
        <v>48</v>
      </c>
      <c r="G307" t="s">
        <v>167</v>
      </c>
      <c r="H307" t="s">
        <v>168</v>
      </c>
      <c r="I307" t="s">
        <v>43</v>
      </c>
      <c r="J307">
        <v>2</v>
      </c>
      <c r="K307" s="4" t="str" cm="1">
        <f t="array" ref="K307">_xlfn.IFS(J307&lt;=5,"0-5",J307&lt;=10,"6-10",J307&lt;=15,"11-15",J307&lt;=20,"16-20",J307&gt;20,"21+")</f>
        <v>0-5</v>
      </c>
      <c r="L307">
        <v>75</v>
      </c>
      <c r="M307" s="2">
        <f>L307</f>
        <v>75</v>
      </c>
      <c r="N307" s="8">
        <f t="shared" si="55"/>
        <v>75</v>
      </c>
      <c r="O307">
        <v>1.6</v>
      </c>
      <c r="P307" t="s">
        <v>23</v>
      </c>
      <c r="Q307" t="s">
        <v>2072</v>
      </c>
      <c r="R307" s="1">
        <v>0.67</v>
      </c>
      <c r="S307" s="3">
        <f t="shared" ref="S307:S311" si="66">R307</f>
        <v>0.67</v>
      </c>
    </row>
    <row r="308" spans="1:19" x14ac:dyDescent="0.3">
      <c r="A308" t="s">
        <v>688</v>
      </c>
      <c r="B308" t="s">
        <v>689</v>
      </c>
      <c r="C308" t="str">
        <f t="shared" si="61"/>
        <v>Robert Lucas</v>
      </c>
      <c r="D308" t="s">
        <v>19</v>
      </c>
      <c r="E308" t="str">
        <f t="shared" si="54"/>
        <v>Male</v>
      </c>
      <c r="F308">
        <v>27</v>
      </c>
      <c r="G308" t="s">
        <v>127</v>
      </c>
      <c r="H308" t="s">
        <v>128</v>
      </c>
      <c r="I308" t="s">
        <v>70</v>
      </c>
      <c r="J308">
        <v>2</v>
      </c>
      <c r="K308" s="4" t="str" cm="1">
        <f t="array" ref="K308">_xlfn.IFS(J308&lt;=5,"0-5",J308&lt;=10,"6-10",J308&lt;=15,"11-15",J308&lt;=20,"16-20",J308&gt;20,"21+")</f>
        <v>0-5</v>
      </c>
      <c r="L308" t="s">
        <v>56</v>
      </c>
      <c r="M308" s="2" t="str">
        <f>SUBSTITUTE(L308,"$","")</f>
        <v>50</v>
      </c>
      <c r="N308" s="8">
        <f t="shared" si="55"/>
        <v>50</v>
      </c>
      <c r="P308">
        <v>0</v>
      </c>
      <c r="Q308" t="s">
        <v>2072</v>
      </c>
      <c r="R308" s="1">
        <v>0.84</v>
      </c>
      <c r="S308" s="3">
        <f t="shared" si="66"/>
        <v>0.84</v>
      </c>
    </row>
    <row r="309" spans="1:19" x14ac:dyDescent="0.3">
      <c r="A309" t="s">
        <v>690</v>
      </c>
      <c r="B309" t="s">
        <v>691</v>
      </c>
      <c r="C309" t="str">
        <f t="shared" si="61"/>
        <v>David Cox</v>
      </c>
      <c r="D309" t="s">
        <v>84</v>
      </c>
      <c r="E309" t="str">
        <f t="shared" si="54"/>
        <v>Male</v>
      </c>
      <c r="F309">
        <v>34</v>
      </c>
      <c r="G309" t="s">
        <v>104</v>
      </c>
      <c r="H309" t="s">
        <v>105</v>
      </c>
      <c r="I309" t="s">
        <v>15</v>
      </c>
      <c r="J309">
        <v>1</v>
      </c>
      <c r="K309" s="4" t="str" cm="1">
        <f t="array" ref="K309">_xlfn.IFS(J309&lt;=5,"0-5",J309&lt;=10,"6-10",J309&lt;=15,"11-15",J309&lt;=20,"16-20",J309&gt;20,"21+")</f>
        <v>0-5</v>
      </c>
      <c r="L309">
        <v>30</v>
      </c>
      <c r="M309" s="2">
        <f>L309</f>
        <v>30</v>
      </c>
      <c r="N309" s="8">
        <f t="shared" si="55"/>
        <v>30</v>
      </c>
      <c r="O309">
        <v>3.6</v>
      </c>
      <c r="P309">
        <v>1</v>
      </c>
      <c r="Q309" t="s">
        <v>2073</v>
      </c>
      <c r="R309" s="1">
        <v>0.87</v>
      </c>
      <c r="S309" s="3">
        <f t="shared" si="66"/>
        <v>0.87</v>
      </c>
    </row>
    <row r="310" spans="1:19" x14ac:dyDescent="0.3">
      <c r="A310" t="s">
        <v>692</v>
      </c>
      <c r="B310" t="s">
        <v>693</v>
      </c>
      <c r="C310" t="str">
        <f t="shared" si="61"/>
        <v>Christian Campbell</v>
      </c>
      <c r="D310" t="s">
        <v>89</v>
      </c>
      <c r="E310" t="str">
        <f t="shared" si="54"/>
        <v>Male</v>
      </c>
      <c r="F310">
        <v>55</v>
      </c>
      <c r="G310" t="s">
        <v>99</v>
      </c>
      <c r="H310" t="s">
        <v>100</v>
      </c>
      <c r="I310" t="s">
        <v>106</v>
      </c>
      <c r="J310">
        <v>14</v>
      </c>
      <c r="K310" s="4" t="str" cm="1">
        <f t="array" ref="K310">_xlfn.IFS(J310&lt;=5,"0-5",J310&lt;=10,"6-10",J310&lt;=15,"11-15",J310&lt;=20,"16-20",J310&gt;20,"21+")</f>
        <v>11-15</v>
      </c>
      <c r="L310" t="s">
        <v>101</v>
      </c>
      <c r="M310" s="2" t="str">
        <f>TRIM(MID(L310,FIND(" ",L310)+1,LEN(L310)))</f>
        <v>30</v>
      </c>
      <c r="N310" s="8">
        <f t="shared" si="55"/>
        <v>30</v>
      </c>
      <c r="O310">
        <v>1.2</v>
      </c>
      <c r="P310" t="s">
        <v>60</v>
      </c>
      <c r="Q310" t="s">
        <v>2073</v>
      </c>
      <c r="R310" s="1">
        <v>0.91</v>
      </c>
      <c r="S310" s="3">
        <f t="shared" si="66"/>
        <v>0.91</v>
      </c>
    </row>
    <row r="311" spans="1:19" x14ac:dyDescent="0.3">
      <c r="A311" t="s">
        <v>694</v>
      </c>
      <c r="B311" t="s">
        <v>695</v>
      </c>
      <c r="C311" t="str">
        <f>TRIM(MID(B311,FIND(" ",B311)+1,LEN(B311)))</f>
        <v>Angela Ward</v>
      </c>
      <c r="D311" t="s">
        <v>26</v>
      </c>
      <c r="E311" t="str">
        <f t="shared" si="54"/>
        <v>Female</v>
      </c>
      <c r="F311">
        <v>44</v>
      </c>
      <c r="G311" t="s">
        <v>145</v>
      </c>
      <c r="H311" t="s">
        <v>146</v>
      </c>
      <c r="I311" t="s">
        <v>106</v>
      </c>
      <c r="J311">
        <v>14</v>
      </c>
      <c r="K311" s="4" t="str" cm="1">
        <f t="array" ref="K311">_xlfn.IFS(J311&lt;=5,"0-5",J311&lt;=10,"6-10",J311&lt;=15,"11-15",J311&lt;=20,"16-20",J311&gt;20,"21+")</f>
        <v>11-15</v>
      </c>
      <c r="L311" t="s">
        <v>44</v>
      </c>
      <c r="M311" s="2" t="str">
        <f>TRIM(MID(L311,FIND(" ",L311)+1,LEN(L311)))</f>
        <v>75</v>
      </c>
      <c r="N311" s="8">
        <f t="shared" si="55"/>
        <v>75</v>
      </c>
      <c r="O311">
        <v>3</v>
      </c>
      <c r="P311">
        <v>0</v>
      </c>
      <c r="Q311" t="s">
        <v>2072</v>
      </c>
      <c r="R311" s="1">
        <v>0.78</v>
      </c>
      <c r="S311" s="3">
        <f t="shared" si="66"/>
        <v>0.78</v>
      </c>
    </row>
    <row r="312" spans="1:19" x14ac:dyDescent="0.3">
      <c r="A312" t="s">
        <v>696</v>
      </c>
      <c r="B312" t="s">
        <v>697</v>
      </c>
      <c r="C312" t="str">
        <f t="shared" ref="C312:C347" si="67">B312</f>
        <v>Lucas Chen</v>
      </c>
      <c r="D312" t="s">
        <v>19</v>
      </c>
      <c r="E312" t="str">
        <f t="shared" si="54"/>
        <v>Male</v>
      </c>
      <c r="F312">
        <v>31</v>
      </c>
      <c r="G312" t="s">
        <v>34</v>
      </c>
      <c r="H312" t="s">
        <v>35</v>
      </c>
      <c r="I312" t="s">
        <v>65</v>
      </c>
      <c r="J312">
        <v>2</v>
      </c>
      <c r="K312" s="4" t="str" cm="1">
        <f t="array" ref="K312">_xlfn.IFS(J312&lt;=5,"0-5",J312&lt;=10,"6-10",J312&lt;=15,"11-15",J312&lt;=20,"16-20",J312&gt;20,"21+")</f>
        <v>0-5</v>
      </c>
      <c r="L312">
        <v>50</v>
      </c>
      <c r="M312" s="2">
        <f>L312</f>
        <v>50</v>
      </c>
      <c r="N312" s="8">
        <f t="shared" si="55"/>
        <v>50</v>
      </c>
      <c r="O312">
        <v>3.9</v>
      </c>
      <c r="P312">
        <v>0</v>
      </c>
      <c r="Q312" t="s">
        <v>2072</v>
      </c>
    </row>
    <row r="313" spans="1:19" x14ac:dyDescent="0.3">
      <c r="A313" t="s">
        <v>698</v>
      </c>
      <c r="B313" t="s">
        <v>699</v>
      </c>
      <c r="C313" t="str">
        <f t="shared" si="67"/>
        <v>Ruben Nelson</v>
      </c>
      <c r="D313" t="s">
        <v>40</v>
      </c>
      <c r="E313" t="str">
        <f t="shared" si="54"/>
        <v>Male</v>
      </c>
      <c r="F313">
        <v>34</v>
      </c>
      <c r="G313" t="s">
        <v>13</v>
      </c>
      <c r="H313" t="s">
        <v>14</v>
      </c>
      <c r="I313" t="s">
        <v>81</v>
      </c>
      <c r="J313">
        <v>1</v>
      </c>
      <c r="K313" s="4" t="str" cm="1">
        <f t="array" ref="K313">_xlfn.IFS(J313&lt;=5,"0-5",J313&lt;=10,"6-10",J313&lt;=15,"11-15",J313&lt;=20,"16-20",J313&gt;20,"21+")</f>
        <v>0-5</v>
      </c>
      <c r="L313">
        <v>40</v>
      </c>
      <c r="M313" s="2">
        <f>L313</f>
        <v>40</v>
      </c>
      <c r="N313" s="8">
        <f t="shared" si="55"/>
        <v>40</v>
      </c>
      <c r="O313">
        <v>1.7</v>
      </c>
      <c r="R313">
        <v>74</v>
      </c>
      <c r="S313" s="3">
        <f>R313/100</f>
        <v>0.74</v>
      </c>
    </row>
    <row r="314" spans="1:19" x14ac:dyDescent="0.3">
      <c r="A314" t="s">
        <v>700</v>
      </c>
      <c r="B314" t="s">
        <v>701</v>
      </c>
      <c r="C314" t="str">
        <f t="shared" si="67"/>
        <v>Brenda Briggs</v>
      </c>
      <c r="D314" t="s">
        <v>26</v>
      </c>
      <c r="E314" t="str">
        <f t="shared" si="54"/>
        <v>Female</v>
      </c>
      <c r="F314">
        <v>47</v>
      </c>
      <c r="G314" t="s">
        <v>99</v>
      </c>
      <c r="H314" t="s">
        <v>100</v>
      </c>
      <c r="I314" t="s">
        <v>81</v>
      </c>
      <c r="J314">
        <v>13</v>
      </c>
      <c r="K314" s="4" t="str" cm="1">
        <f t="array" ref="K314">_xlfn.IFS(J314&lt;=5,"0-5",J314&lt;=10,"6-10",J314&lt;=15,"11-15",J314&lt;=20,"16-20",J314&gt;20,"21+")</f>
        <v>11-15</v>
      </c>
      <c r="L314">
        <v>20</v>
      </c>
      <c r="M314" s="2">
        <f>L314</f>
        <v>20</v>
      </c>
      <c r="N314" s="8">
        <f t="shared" si="55"/>
        <v>20</v>
      </c>
      <c r="O314">
        <v>4.5</v>
      </c>
      <c r="R314" s="1">
        <v>0.91</v>
      </c>
      <c r="S314" s="3">
        <f t="shared" ref="S314:S317" si="68">R314</f>
        <v>0.91</v>
      </c>
    </row>
    <row r="315" spans="1:19" x14ac:dyDescent="0.3">
      <c r="A315" t="s">
        <v>702</v>
      </c>
      <c r="B315" t="s">
        <v>703</v>
      </c>
      <c r="C315" t="str">
        <f t="shared" si="67"/>
        <v>Ronald Smith</v>
      </c>
      <c r="D315" t="s">
        <v>40</v>
      </c>
      <c r="E315" t="str">
        <f t="shared" si="54"/>
        <v>Male</v>
      </c>
      <c r="F315">
        <v>50</v>
      </c>
      <c r="G315" t="s">
        <v>50</v>
      </c>
      <c r="H315" t="s">
        <v>14</v>
      </c>
      <c r="I315" t="s">
        <v>22</v>
      </c>
      <c r="J315">
        <v>23</v>
      </c>
      <c r="K315" s="4" t="str" cm="1">
        <f t="array" ref="K315">_xlfn.IFS(J315&lt;=5,"0-5",J315&lt;=10,"6-10",J315&lt;=15,"11-15",J315&lt;=20,"16-20",J315&gt;20,"21+")</f>
        <v>21+</v>
      </c>
      <c r="L315" t="s">
        <v>28</v>
      </c>
      <c r="M315" s="2" t="str">
        <f>SUBSTITUTE(L315,"$","")</f>
        <v>40</v>
      </c>
      <c r="N315" s="8">
        <f t="shared" si="55"/>
        <v>40</v>
      </c>
      <c r="O315">
        <v>3.6</v>
      </c>
      <c r="P315" t="b">
        <v>1</v>
      </c>
      <c r="Q315" t="s">
        <v>2073</v>
      </c>
      <c r="R315" s="1">
        <v>0.71</v>
      </c>
      <c r="S315" s="3">
        <f t="shared" si="68"/>
        <v>0.71</v>
      </c>
    </row>
    <row r="316" spans="1:19" x14ac:dyDescent="0.3">
      <c r="A316" t="s">
        <v>704</v>
      </c>
      <c r="B316" t="s">
        <v>705</v>
      </c>
      <c r="C316" t="str">
        <f t="shared" si="67"/>
        <v>Dakota Giles</v>
      </c>
      <c r="D316" t="s">
        <v>84</v>
      </c>
      <c r="E316" t="str">
        <f t="shared" si="54"/>
        <v>Male</v>
      </c>
      <c r="F316">
        <v>39</v>
      </c>
      <c r="G316" t="s">
        <v>20</v>
      </c>
      <c r="H316" t="s">
        <v>21</v>
      </c>
      <c r="I316" t="s">
        <v>70</v>
      </c>
      <c r="K316" s="4" t="str" cm="1">
        <f t="array" ref="K316">_xlfn.IFS(J316&lt;=5,"0-5",J316&lt;=10,"6-10",J316&lt;=15,"11-15",J316&lt;=20,"16-20",J316&gt;20,"21+")</f>
        <v>0-5</v>
      </c>
      <c r="L316" t="s">
        <v>44</v>
      </c>
      <c r="M316" s="2" t="str">
        <f>TRIM(MID(L316,FIND(" ",L316)+1,LEN(L316)))</f>
        <v>75</v>
      </c>
      <c r="N316" s="8">
        <f t="shared" si="55"/>
        <v>75</v>
      </c>
      <c r="O316">
        <v>3.6</v>
      </c>
      <c r="P316" t="s">
        <v>66</v>
      </c>
      <c r="Q316" t="s">
        <v>2073</v>
      </c>
      <c r="R316" s="1">
        <v>0.87</v>
      </c>
      <c r="S316" s="3">
        <f t="shared" si="68"/>
        <v>0.87</v>
      </c>
    </row>
    <row r="317" spans="1:19" x14ac:dyDescent="0.3">
      <c r="A317" t="s">
        <v>706</v>
      </c>
      <c r="B317" t="s">
        <v>707</v>
      </c>
      <c r="C317" t="str">
        <f t="shared" si="67"/>
        <v>Angela Castillo</v>
      </c>
      <c r="D317" t="s">
        <v>12</v>
      </c>
      <c r="E317" t="str">
        <f t="shared" si="54"/>
        <v>Female</v>
      </c>
      <c r="F317">
        <v>26</v>
      </c>
      <c r="G317" t="s">
        <v>63</v>
      </c>
      <c r="H317" t="s">
        <v>64</v>
      </c>
      <c r="I317" t="s">
        <v>9</v>
      </c>
      <c r="J317">
        <v>3</v>
      </c>
      <c r="K317" s="4" t="str" cm="1">
        <f t="array" ref="K317">_xlfn.IFS(J317&lt;=5,"0-5",J317&lt;=10,"6-10",J317&lt;=15,"11-15",J317&lt;=20,"16-20",J317&gt;20,"21+")</f>
        <v>0-5</v>
      </c>
      <c r="L317" t="s">
        <v>16</v>
      </c>
      <c r="M317" s="2" t="str">
        <f>TRIM(MID(L317,FIND(" ",L317)+1,LEN(L317)))</f>
        <v>100</v>
      </c>
      <c r="N317" s="8">
        <f t="shared" si="55"/>
        <v>100</v>
      </c>
      <c r="O317">
        <v>2.8</v>
      </c>
      <c r="P317">
        <v>1</v>
      </c>
      <c r="Q317" t="s">
        <v>2073</v>
      </c>
      <c r="R317" s="1">
        <v>0.61</v>
      </c>
      <c r="S317" s="3">
        <f t="shared" si="68"/>
        <v>0.61</v>
      </c>
    </row>
    <row r="318" spans="1:19" x14ac:dyDescent="0.3">
      <c r="A318" t="s">
        <v>708</v>
      </c>
      <c r="B318" t="s">
        <v>709</v>
      </c>
      <c r="C318" t="str">
        <f t="shared" si="67"/>
        <v>Allen Lee</v>
      </c>
      <c r="D318" t="s">
        <v>84</v>
      </c>
      <c r="E318" t="str">
        <f t="shared" si="54"/>
        <v>Male</v>
      </c>
      <c r="G318" t="s">
        <v>34</v>
      </c>
      <c r="H318" t="s">
        <v>35</v>
      </c>
      <c r="I318" t="s">
        <v>81</v>
      </c>
      <c r="J318">
        <v>0</v>
      </c>
      <c r="K318" s="4" t="str" cm="1">
        <f t="array" ref="K318">_xlfn.IFS(J318&lt;=5,"0-5",J318&lt;=10,"6-10",J318&lt;=15,"11-15",J318&lt;=20,"16-20",J318&gt;20,"21+")</f>
        <v>0-5</v>
      </c>
      <c r="L318" t="s">
        <v>221</v>
      </c>
      <c r="M318" s="2" t="str">
        <f>SUBSTITUTE(L318,"$","")</f>
        <v>100</v>
      </c>
      <c r="N318" s="8">
        <f t="shared" si="55"/>
        <v>100</v>
      </c>
      <c r="O318">
        <v>5</v>
      </c>
      <c r="P318" t="s">
        <v>23</v>
      </c>
      <c r="Q318" t="s">
        <v>2072</v>
      </c>
    </row>
    <row r="319" spans="1:19" x14ac:dyDescent="0.3">
      <c r="A319" t="s">
        <v>710</v>
      </c>
      <c r="B319" t="s">
        <v>711</v>
      </c>
      <c r="C319" t="str">
        <f t="shared" si="67"/>
        <v>Michael Rogers</v>
      </c>
      <c r="D319" t="s">
        <v>19</v>
      </c>
      <c r="E319" t="str">
        <f t="shared" si="54"/>
        <v>Male</v>
      </c>
      <c r="F319">
        <v>32</v>
      </c>
      <c r="G319" t="s">
        <v>20</v>
      </c>
      <c r="H319" t="s">
        <v>21</v>
      </c>
      <c r="I319" t="s">
        <v>22</v>
      </c>
      <c r="J319">
        <v>0</v>
      </c>
      <c r="K319" s="4" t="str" cm="1">
        <f t="array" ref="K319">_xlfn.IFS(J319&lt;=5,"0-5",J319&lt;=10,"6-10",J319&lt;=15,"11-15",J319&lt;=20,"16-20",J319&gt;20,"21+")</f>
        <v>0-5</v>
      </c>
      <c r="L319">
        <v>100</v>
      </c>
      <c r="M319" s="2">
        <f>L319</f>
        <v>100</v>
      </c>
      <c r="N319" s="8">
        <f t="shared" si="55"/>
        <v>100</v>
      </c>
      <c r="O319">
        <v>1.4</v>
      </c>
      <c r="P319">
        <v>1</v>
      </c>
      <c r="Q319" t="s">
        <v>2073</v>
      </c>
      <c r="R319" s="1">
        <v>0.81</v>
      </c>
      <c r="S319" s="3">
        <f>R319</f>
        <v>0.81</v>
      </c>
    </row>
    <row r="320" spans="1:19" x14ac:dyDescent="0.3">
      <c r="A320" t="s">
        <v>712</v>
      </c>
      <c r="B320" t="s">
        <v>713</v>
      </c>
      <c r="C320" t="str">
        <f t="shared" si="67"/>
        <v>Danielle Costa</v>
      </c>
      <c r="D320" t="s">
        <v>69</v>
      </c>
      <c r="E320" t="str">
        <f t="shared" si="54"/>
        <v>Female</v>
      </c>
      <c r="F320">
        <v>55</v>
      </c>
      <c r="G320" t="s">
        <v>116</v>
      </c>
      <c r="H320" t="s">
        <v>117</v>
      </c>
      <c r="I320" t="s">
        <v>43</v>
      </c>
      <c r="J320">
        <v>17</v>
      </c>
      <c r="K320" s="4" t="str" cm="1">
        <f t="array" ref="K320">_xlfn.IFS(J320&lt;=5,"0-5",J320&lt;=10,"6-10",J320&lt;=15,"11-15",J320&lt;=20,"16-20",J320&gt;20,"21+")</f>
        <v>16-20</v>
      </c>
      <c r="L320">
        <v>30</v>
      </c>
      <c r="M320" s="2">
        <f>L320</f>
        <v>30</v>
      </c>
      <c r="N320" s="8">
        <f t="shared" si="55"/>
        <v>30</v>
      </c>
    </row>
    <row r="321" spans="1:19" x14ac:dyDescent="0.3">
      <c r="A321" t="s">
        <v>714</v>
      </c>
      <c r="B321" t="s">
        <v>715</v>
      </c>
      <c r="C321" t="str">
        <f t="shared" si="67"/>
        <v>William Nunez</v>
      </c>
      <c r="D321" t="s">
        <v>84</v>
      </c>
      <c r="E321" t="str">
        <f t="shared" si="54"/>
        <v>Male</v>
      </c>
      <c r="F321">
        <v>32</v>
      </c>
      <c r="G321" t="s">
        <v>63</v>
      </c>
      <c r="H321" t="s">
        <v>64</v>
      </c>
      <c r="I321" t="s">
        <v>106</v>
      </c>
      <c r="J321">
        <v>9</v>
      </c>
      <c r="K321" s="4" t="str" cm="1">
        <f t="array" ref="K321">_xlfn.IFS(J321&lt;=5,"0-5",J321&lt;=10,"6-10",J321&lt;=15,"11-15",J321&lt;=20,"16-20",J321&gt;20,"21+")</f>
        <v>6-10</v>
      </c>
      <c r="L321" t="s">
        <v>47</v>
      </c>
      <c r="M321" s="2" t="str">
        <f>TRIM(MID(L321,FIND(" ",L321)+1,LEN(L321)))</f>
        <v>40</v>
      </c>
      <c r="N321" s="8">
        <f t="shared" si="55"/>
        <v>40</v>
      </c>
      <c r="O321">
        <v>4.5999999999999996</v>
      </c>
      <c r="P321">
        <v>1</v>
      </c>
      <c r="Q321" t="s">
        <v>2073</v>
      </c>
      <c r="R321" s="1">
        <v>0.84</v>
      </c>
      <c r="S321" s="3">
        <f>R321</f>
        <v>0.84</v>
      </c>
    </row>
    <row r="322" spans="1:19" x14ac:dyDescent="0.3">
      <c r="A322" t="s">
        <v>716</v>
      </c>
      <c r="B322" t="s">
        <v>717</v>
      </c>
      <c r="C322" t="str">
        <f t="shared" si="67"/>
        <v>Christopher Riggs</v>
      </c>
      <c r="D322" t="s">
        <v>40</v>
      </c>
      <c r="E322" t="str">
        <f t="shared" ref="E322:E385" si="69">IF(LOWER(LEFT(D322,1))="f","Female","Male")</f>
        <v>Male</v>
      </c>
      <c r="F322">
        <v>30</v>
      </c>
      <c r="G322" t="s">
        <v>104</v>
      </c>
      <c r="H322" t="s">
        <v>105</v>
      </c>
      <c r="I322" t="s">
        <v>9</v>
      </c>
      <c r="J322">
        <v>4</v>
      </c>
      <c r="K322" s="4" t="str" cm="1">
        <f t="array" ref="K322">_xlfn.IFS(J322&lt;=5,"0-5",J322&lt;=10,"6-10",J322&lt;=15,"11-15",J322&lt;=20,"16-20",J322&gt;20,"21+")</f>
        <v>0-5</v>
      </c>
      <c r="L322" t="s">
        <v>113</v>
      </c>
      <c r="M322" s="2" t="str">
        <f>SUBSTITUTE(L322,"$","")</f>
        <v>20</v>
      </c>
      <c r="N322" s="8">
        <f t="shared" si="55"/>
        <v>20</v>
      </c>
      <c r="O322">
        <v>3.3</v>
      </c>
      <c r="P322" t="s">
        <v>151</v>
      </c>
      <c r="Q322" t="s">
        <v>2072</v>
      </c>
    </row>
    <row r="323" spans="1:19" x14ac:dyDescent="0.3">
      <c r="A323" t="s">
        <v>718</v>
      </c>
      <c r="B323" t="s">
        <v>719</v>
      </c>
      <c r="C323" t="str">
        <f t="shared" si="67"/>
        <v>Kathryn Myers</v>
      </c>
      <c r="D323" t="s">
        <v>31</v>
      </c>
      <c r="E323" t="str">
        <f t="shared" si="69"/>
        <v>Female</v>
      </c>
      <c r="F323">
        <v>37</v>
      </c>
      <c r="G323" t="s">
        <v>120</v>
      </c>
      <c r="H323" t="s">
        <v>14</v>
      </c>
      <c r="I323" t="s">
        <v>70</v>
      </c>
      <c r="J323">
        <v>0</v>
      </c>
      <c r="K323" s="4" t="str" cm="1">
        <f t="array" ref="K323">_xlfn.IFS(J323&lt;=5,"0-5",J323&lt;=10,"6-10",J323&lt;=15,"11-15",J323&lt;=20,"16-20",J323&gt;20,"21+")</f>
        <v>0-5</v>
      </c>
      <c r="L323" t="s">
        <v>28</v>
      </c>
      <c r="M323" s="2" t="str">
        <f>SUBSTITUTE(L323,"$","")</f>
        <v>40</v>
      </c>
      <c r="N323" s="8">
        <f t="shared" ref="N323:N386" si="70">IF(M323="", "", VALUE(M323))</f>
        <v>40</v>
      </c>
      <c r="O323">
        <v>3.7</v>
      </c>
      <c r="P323">
        <v>1</v>
      </c>
      <c r="Q323" t="s">
        <v>2073</v>
      </c>
    </row>
    <row r="324" spans="1:19" x14ac:dyDescent="0.3">
      <c r="A324" t="s">
        <v>720</v>
      </c>
      <c r="B324" t="s">
        <v>721</v>
      </c>
      <c r="C324" t="str">
        <f t="shared" si="67"/>
        <v>Robert Walls</v>
      </c>
      <c r="D324" t="s">
        <v>84</v>
      </c>
      <c r="E324" t="str">
        <f t="shared" si="69"/>
        <v>Male</v>
      </c>
      <c r="F324">
        <v>52</v>
      </c>
      <c r="G324" t="s">
        <v>99</v>
      </c>
      <c r="H324" t="s">
        <v>100</v>
      </c>
      <c r="I324" t="s">
        <v>22</v>
      </c>
      <c r="J324">
        <v>33</v>
      </c>
      <c r="K324" s="4" t="str" cm="1">
        <f t="array" ref="K324">_xlfn.IFS(J324&lt;=5,"0-5",J324&lt;=10,"6-10",J324&lt;=15,"11-15",J324&lt;=20,"16-20",J324&gt;20,"21+")</f>
        <v>21+</v>
      </c>
      <c r="N324" s="8" t="str">
        <f t="shared" si="70"/>
        <v/>
      </c>
      <c r="O324">
        <v>0</v>
      </c>
      <c r="P324">
        <v>1</v>
      </c>
      <c r="Q324" t="s">
        <v>2073</v>
      </c>
      <c r="R324" s="1">
        <v>0.6</v>
      </c>
      <c r="S324" s="3">
        <f t="shared" ref="S324:S327" si="71">R324</f>
        <v>0.6</v>
      </c>
    </row>
    <row r="325" spans="1:19" x14ac:dyDescent="0.3">
      <c r="A325" t="s">
        <v>722</v>
      </c>
      <c r="B325" t="s">
        <v>723</v>
      </c>
      <c r="C325" t="str">
        <f t="shared" si="67"/>
        <v>Justin Johnson</v>
      </c>
      <c r="D325" t="s">
        <v>89</v>
      </c>
      <c r="E325" t="str">
        <f t="shared" si="69"/>
        <v>Male</v>
      </c>
      <c r="F325">
        <v>48</v>
      </c>
      <c r="G325" t="s">
        <v>85</v>
      </c>
      <c r="H325" t="s">
        <v>86</v>
      </c>
      <c r="I325" t="s">
        <v>70</v>
      </c>
      <c r="J325">
        <v>18</v>
      </c>
      <c r="K325" s="4" t="str" cm="1">
        <f t="array" ref="K325">_xlfn.IFS(J325&lt;=5,"0-5",J325&lt;=10,"6-10",J325&lt;=15,"11-15",J325&lt;=20,"16-20",J325&gt;20,"21+")</f>
        <v>16-20</v>
      </c>
      <c r="L325">
        <v>50</v>
      </c>
      <c r="M325" s="2">
        <f>L325</f>
        <v>50</v>
      </c>
      <c r="N325" s="8">
        <f t="shared" si="70"/>
        <v>50</v>
      </c>
      <c r="O325">
        <v>0</v>
      </c>
      <c r="P325" t="s">
        <v>66</v>
      </c>
      <c r="Q325" t="s">
        <v>2073</v>
      </c>
      <c r="R325" s="1">
        <v>0.64</v>
      </c>
      <c r="S325" s="3">
        <f t="shared" si="71"/>
        <v>0.64</v>
      </c>
    </row>
    <row r="326" spans="1:19" x14ac:dyDescent="0.3">
      <c r="A326" t="s">
        <v>724</v>
      </c>
      <c r="B326" t="s">
        <v>725</v>
      </c>
      <c r="C326" t="str">
        <f t="shared" si="67"/>
        <v>Paula Stevens</v>
      </c>
      <c r="D326" t="s">
        <v>12</v>
      </c>
      <c r="E326" t="str">
        <f t="shared" si="69"/>
        <v>Female</v>
      </c>
      <c r="F326">
        <v>28</v>
      </c>
      <c r="G326" t="s">
        <v>77</v>
      </c>
      <c r="H326" t="s">
        <v>78</v>
      </c>
      <c r="I326" t="s">
        <v>15</v>
      </c>
      <c r="J326">
        <v>9</v>
      </c>
      <c r="K326" s="4" t="str" cm="1">
        <f t="array" ref="K326">_xlfn.IFS(J326&lt;=5,"0-5",J326&lt;=10,"6-10",J326&lt;=15,"11-15",J326&lt;=20,"16-20",J326&gt;20,"21+")</f>
        <v>6-10</v>
      </c>
      <c r="L326">
        <v>40</v>
      </c>
      <c r="M326" s="2">
        <f>L326</f>
        <v>40</v>
      </c>
      <c r="N326" s="8">
        <f t="shared" si="70"/>
        <v>40</v>
      </c>
      <c r="P326">
        <v>1</v>
      </c>
      <c r="Q326" t="s">
        <v>2073</v>
      </c>
      <c r="R326" s="1">
        <v>0.64</v>
      </c>
      <c r="S326" s="3">
        <f t="shared" si="71"/>
        <v>0.64</v>
      </c>
    </row>
    <row r="327" spans="1:19" x14ac:dyDescent="0.3">
      <c r="A327" t="s">
        <v>726</v>
      </c>
      <c r="B327" t="s">
        <v>727</v>
      </c>
      <c r="C327" t="str">
        <f t="shared" si="67"/>
        <v>Jennifer Allen</v>
      </c>
      <c r="D327" t="s">
        <v>12</v>
      </c>
      <c r="E327" t="str">
        <f t="shared" si="69"/>
        <v>Female</v>
      </c>
      <c r="F327">
        <v>58</v>
      </c>
      <c r="G327" t="s">
        <v>182</v>
      </c>
      <c r="H327" t="s">
        <v>64</v>
      </c>
      <c r="I327" t="s">
        <v>43</v>
      </c>
      <c r="J327">
        <v>40</v>
      </c>
      <c r="K327" s="4" t="str" cm="1">
        <f t="array" ref="K327">_xlfn.IFS(J327&lt;=5,"0-5",J327&lt;=10,"6-10",J327&lt;=15,"11-15",J327&lt;=20,"16-20",J327&gt;20,"21+")</f>
        <v>21+</v>
      </c>
      <c r="L327">
        <v>75</v>
      </c>
      <c r="M327" s="2">
        <f>L327</f>
        <v>75</v>
      </c>
      <c r="N327" s="8">
        <f t="shared" si="70"/>
        <v>75</v>
      </c>
      <c r="O327">
        <v>3.4</v>
      </c>
      <c r="P327">
        <v>1</v>
      </c>
      <c r="Q327" t="s">
        <v>2073</v>
      </c>
      <c r="R327" s="1">
        <v>1</v>
      </c>
      <c r="S327" s="3">
        <f t="shared" si="71"/>
        <v>1</v>
      </c>
    </row>
    <row r="328" spans="1:19" x14ac:dyDescent="0.3">
      <c r="A328" t="s">
        <v>728</v>
      </c>
      <c r="B328" t="s">
        <v>729</v>
      </c>
      <c r="C328" t="str">
        <f t="shared" si="67"/>
        <v>Mark Hudson</v>
      </c>
      <c r="D328" t="s">
        <v>19</v>
      </c>
      <c r="E328" t="str">
        <f t="shared" si="69"/>
        <v>Male</v>
      </c>
      <c r="F328">
        <v>30</v>
      </c>
      <c r="G328" t="s">
        <v>63</v>
      </c>
      <c r="H328" t="s">
        <v>64</v>
      </c>
      <c r="I328" t="s">
        <v>27</v>
      </c>
      <c r="J328">
        <v>1</v>
      </c>
      <c r="K328" s="4" t="str" cm="1">
        <f t="array" ref="K328">_xlfn.IFS(J328&lt;=5,"0-5",J328&lt;=10,"6-10",J328&lt;=15,"11-15",J328&lt;=20,"16-20",J328&gt;20,"21+")</f>
        <v>0-5</v>
      </c>
      <c r="L328">
        <v>40</v>
      </c>
      <c r="M328" s="2">
        <f>L328</f>
        <v>40</v>
      </c>
      <c r="N328" s="8">
        <f t="shared" si="70"/>
        <v>40</v>
      </c>
      <c r="O328">
        <v>1.6</v>
      </c>
      <c r="P328" t="b">
        <v>1</v>
      </c>
      <c r="Q328" t="s">
        <v>2073</v>
      </c>
      <c r="R328">
        <v>100</v>
      </c>
      <c r="S328" s="3">
        <f>R328/100</f>
        <v>1</v>
      </c>
    </row>
    <row r="329" spans="1:19" x14ac:dyDescent="0.3">
      <c r="A329" t="s">
        <v>730</v>
      </c>
      <c r="B329" t="s">
        <v>731</v>
      </c>
      <c r="C329" t="str">
        <f t="shared" si="67"/>
        <v>Jessica Smith</v>
      </c>
      <c r="D329" t="s">
        <v>69</v>
      </c>
      <c r="E329" t="str">
        <f t="shared" si="69"/>
        <v>Female</v>
      </c>
      <c r="F329">
        <v>47</v>
      </c>
      <c r="G329" t="s">
        <v>167</v>
      </c>
      <c r="H329" t="s">
        <v>168</v>
      </c>
      <c r="I329" t="s">
        <v>15</v>
      </c>
      <c r="J329">
        <v>5</v>
      </c>
      <c r="K329" s="4" t="str" cm="1">
        <f t="array" ref="K329">_xlfn.IFS(J329&lt;=5,"0-5",J329&lt;=10,"6-10",J329&lt;=15,"11-15",J329&lt;=20,"16-20",J329&gt;20,"21+")</f>
        <v>0-5</v>
      </c>
      <c r="L329">
        <v>20</v>
      </c>
      <c r="M329" s="2">
        <f>L329</f>
        <v>20</v>
      </c>
      <c r="N329" s="8">
        <f t="shared" si="70"/>
        <v>20</v>
      </c>
      <c r="O329">
        <v>1.9</v>
      </c>
      <c r="P329">
        <v>0</v>
      </c>
      <c r="Q329" t="s">
        <v>2072</v>
      </c>
    </row>
    <row r="330" spans="1:19" x14ac:dyDescent="0.3">
      <c r="A330" t="s">
        <v>732</v>
      </c>
      <c r="B330" t="s">
        <v>733</v>
      </c>
      <c r="C330" t="str">
        <f t="shared" si="67"/>
        <v>Mike Dean</v>
      </c>
      <c r="D330" t="s">
        <v>19</v>
      </c>
      <c r="E330" t="str">
        <f t="shared" si="69"/>
        <v>Male</v>
      </c>
      <c r="F330">
        <v>44</v>
      </c>
      <c r="G330" t="s">
        <v>63</v>
      </c>
      <c r="H330" t="s">
        <v>64</v>
      </c>
      <c r="I330" t="s">
        <v>36</v>
      </c>
      <c r="J330">
        <v>4</v>
      </c>
      <c r="K330" s="4" t="str" cm="1">
        <f t="array" ref="K330">_xlfn.IFS(J330&lt;=5,"0-5",J330&lt;=10,"6-10",J330&lt;=15,"11-15",J330&lt;=20,"16-20",J330&gt;20,"21+")</f>
        <v>0-5</v>
      </c>
      <c r="L330" t="s">
        <v>56</v>
      </c>
      <c r="M330" s="2" t="str">
        <f>SUBSTITUTE(L330,"$","")</f>
        <v>50</v>
      </c>
      <c r="N330" s="8">
        <f t="shared" si="70"/>
        <v>50</v>
      </c>
      <c r="O330">
        <v>0</v>
      </c>
      <c r="P330" t="b">
        <v>1</v>
      </c>
      <c r="Q330" t="s">
        <v>2073</v>
      </c>
      <c r="R330" s="1">
        <v>0.83</v>
      </c>
      <c r="S330" s="3">
        <f t="shared" ref="S330:S334" si="72">R330</f>
        <v>0.83</v>
      </c>
    </row>
    <row r="331" spans="1:19" x14ac:dyDescent="0.3">
      <c r="A331" t="s">
        <v>734</v>
      </c>
      <c r="B331" t="s">
        <v>735</v>
      </c>
      <c r="C331" t="str">
        <f t="shared" si="67"/>
        <v>Jose Wilson</v>
      </c>
      <c r="D331" t="s">
        <v>84</v>
      </c>
      <c r="E331" t="str">
        <f t="shared" si="69"/>
        <v>Male</v>
      </c>
      <c r="F331">
        <v>56</v>
      </c>
      <c r="G331" t="s">
        <v>7</v>
      </c>
      <c r="H331" t="s">
        <v>8</v>
      </c>
      <c r="I331" t="s">
        <v>106</v>
      </c>
      <c r="J331">
        <v>13</v>
      </c>
      <c r="K331" s="4" t="str" cm="1">
        <f t="array" ref="K331">_xlfn.IFS(J331&lt;=5,"0-5",J331&lt;=10,"6-10",J331&lt;=15,"11-15",J331&lt;=20,"16-20",J331&gt;20,"21+")</f>
        <v>11-15</v>
      </c>
      <c r="L331" t="s">
        <v>47</v>
      </c>
      <c r="M331" s="2" t="str">
        <f>TRIM(MID(L331,FIND(" ",L331)+1,LEN(L331)))</f>
        <v>40</v>
      </c>
      <c r="N331" s="8">
        <f t="shared" si="70"/>
        <v>40</v>
      </c>
      <c r="P331">
        <v>1</v>
      </c>
      <c r="Q331" t="s">
        <v>2073</v>
      </c>
      <c r="R331" s="1">
        <v>0.87</v>
      </c>
      <c r="S331" s="3">
        <f t="shared" si="72"/>
        <v>0.87</v>
      </c>
    </row>
    <row r="332" spans="1:19" x14ac:dyDescent="0.3">
      <c r="A332" t="s">
        <v>736</v>
      </c>
      <c r="B332" t="s">
        <v>737</v>
      </c>
      <c r="C332" t="str">
        <f t="shared" si="67"/>
        <v>Tammy Hill</v>
      </c>
      <c r="D332" t="s">
        <v>69</v>
      </c>
      <c r="E332" t="str">
        <f t="shared" si="69"/>
        <v>Female</v>
      </c>
      <c r="F332">
        <v>53</v>
      </c>
      <c r="G332" t="s">
        <v>50</v>
      </c>
      <c r="H332" t="s">
        <v>14</v>
      </c>
      <c r="I332" t="s">
        <v>15</v>
      </c>
      <c r="J332">
        <v>33</v>
      </c>
      <c r="K332" s="4" t="str" cm="1">
        <f t="array" ref="K332">_xlfn.IFS(J332&lt;=5,"0-5",J332&lt;=10,"6-10",J332&lt;=15,"11-15",J332&lt;=20,"16-20",J332&gt;20,"21+")</f>
        <v>21+</v>
      </c>
      <c r="L332" t="s">
        <v>221</v>
      </c>
      <c r="M332" s="2" t="str">
        <f>SUBSTITUTE(L332,"$","")</f>
        <v>100</v>
      </c>
      <c r="N332" s="8">
        <f t="shared" si="70"/>
        <v>100</v>
      </c>
      <c r="P332" t="s">
        <v>151</v>
      </c>
      <c r="Q332" t="s">
        <v>2072</v>
      </c>
      <c r="R332" s="1">
        <v>0.75</v>
      </c>
      <c r="S332" s="3">
        <f t="shared" si="72"/>
        <v>0.75</v>
      </c>
    </row>
    <row r="333" spans="1:19" x14ac:dyDescent="0.3">
      <c r="A333" t="s">
        <v>738</v>
      </c>
      <c r="B333" t="s">
        <v>739</v>
      </c>
      <c r="C333" t="str">
        <f t="shared" si="67"/>
        <v>Nathaniel Flores</v>
      </c>
      <c r="D333" t="s">
        <v>53</v>
      </c>
      <c r="E333" t="str">
        <f t="shared" si="69"/>
        <v>Male</v>
      </c>
      <c r="F333">
        <v>59</v>
      </c>
      <c r="G333" t="s">
        <v>59</v>
      </c>
      <c r="H333" t="s">
        <v>14</v>
      </c>
      <c r="I333" t="s">
        <v>15</v>
      </c>
      <c r="J333">
        <v>22</v>
      </c>
      <c r="K333" s="4" t="str" cm="1">
        <f t="array" ref="K333">_xlfn.IFS(J333&lt;=5,"0-5",J333&lt;=10,"6-10",J333&lt;=15,"11-15",J333&lt;=20,"16-20",J333&gt;20,"21+")</f>
        <v>21+</v>
      </c>
      <c r="L333">
        <v>40</v>
      </c>
      <c r="M333" s="2">
        <f>L333</f>
        <v>40</v>
      </c>
      <c r="N333" s="8">
        <f t="shared" si="70"/>
        <v>40</v>
      </c>
      <c r="O333">
        <v>1.1000000000000001</v>
      </c>
      <c r="P333" t="s">
        <v>60</v>
      </c>
      <c r="Q333" t="s">
        <v>2073</v>
      </c>
      <c r="R333" s="1">
        <v>0.61</v>
      </c>
      <c r="S333" s="3">
        <f t="shared" si="72"/>
        <v>0.61</v>
      </c>
    </row>
    <row r="334" spans="1:19" x14ac:dyDescent="0.3">
      <c r="A334" t="s">
        <v>740</v>
      </c>
      <c r="B334" t="s">
        <v>741</v>
      </c>
      <c r="C334" t="str">
        <f t="shared" si="67"/>
        <v>Edwin Carter</v>
      </c>
      <c r="D334" t="s">
        <v>84</v>
      </c>
      <c r="E334" t="str">
        <f t="shared" si="69"/>
        <v>Male</v>
      </c>
      <c r="F334">
        <v>60</v>
      </c>
      <c r="G334" t="s">
        <v>50</v>
      </c>
      <c r="H334" t="s">
        <v>14</v>
      </c>
      <c r="I334" t="s">
        <v>81</v>
      </c>
      <c r="J334">
        <v>34</v>
      </c>
      <c r="K334" s="4" t="str" cm="1">
        <f t="array" ref="K334">_xlfn.IFS(J334&lt;=5,"0-5",J334&lt;=10,"6-10",J334&lt;=15,"11-15",J334&lt;=20,"16-20",J334&gt;20,"21+")</f>
        <v>21+</v>
      </c>
      <c r="N334" s="8" t="str">
        <f t="shared" si="70"/>
        <v/>
      </c>
      <c r="O334">
        <v>2.5</v>
      </c>
      <c r="P334" t="b">
        <v>0</v>
      </c>
      <c r="Q334" t="s">
        <v>2072</v>
      </c>
      <c r="R334" s="1">
        <v>0.93</v>
      </c>
      <c r="S334" s="3">
        <f t="shared" si="72"/>
        <v>0.93</v>
      </c>
    </row>
    <row r="335" spans="1:19" x14ac:dyDescent="0.3">
      <c r="A335" t="s">
        <v>742</v>
      </c>
      <c r="B335" t="s">
        <v>743</v>
      </c>
      <c r="C335" t="str">
        <f t="shared" si="67"/>
        <v>Patricia Miller</v>
      </c>
      <c r="D335" t="s">
        <v>12</v>
      </c>
      <c r="E335" t="str">
        <f t="shared" si="69"/>
        <v>Female</v>
      </c>
      <c r="F335">
        <v>33</v>
      </c>
      <c r="G335" t="s">
        <v>20</v>
      </c>
      <c r="H335" t="s">
        <v>21</v>
      </c>
      <c r="I335" t="s">
        <v>15</v>
      </c>
      <c r="J335">
        <v>8</v>
      </c>
      <c r="K335" s="4" t="str" cm="1">
        <f t="array" ref="K335">_xlfn.IFS(J335&lt;=5,"0-5",J335&lt;=10,"6-10",J335&lt;=15,"11-15",J335&lt;=20,"16-20",J335&gt;20,"21+")</f>
        <v>6-10</v>
      </c>
      <c r="L335" t="s">
        <v>101</v>
      </c>
      <c r="M335" s="2" t="str">
        <f>TRIM(MID(L335,FIND(" ",L335)+1,LEN(L335)))</f>
        <v>30</v>
      </c>
      <c r="N335" s="8">
        <f t="shared" si="70"/>
        <v>30</v>
      </c>
      <c r="O335">
        <v>3.6</v>
      </c>
      <c r="P335">
        <v>1</v>
      </c>
      <c r="Q335" t="s">
        <v>2073</v>
      </c>
    </row>
    <row r="336" spans="1:19" x14ac:dyDescent="0.3">
      <c r="A336" t="s">
        <v>744</v>
      </c>
      <c r="B336" t="s">
        <v>745</v>
      </c>
      <c r="C336" t="str">
        <f t="shared" si="67"/>
        <v>Rebecca Schneider</v>
      </c>
      <c r="D336" t="s">
        <v>69</v>
      </c>
      <c r="E336" t="str">
        <f t="shared" si="69"/>
        <v>Female</v>
      </c>
      <c r="F336">
        <v>21</v>
      </c>
      <c r="G336" t="s">
        <v>63</v>
      </c>
      <c r="H336" t="s">
        <v>64</v>
      </c>
      <c r="I336" t="s">
        <v>27</v>
      </c>
      <c r="J336">
        <v>1</v>
      </c>
      <c r="K336" s="4" t="str" cm="1">
        <f t="array" ref="K336">_xlfn.IFS(J336&lt;=5,"0-5",J336&lt;=10,"6-10",J336&lt;=15,"11-15",J336&lt;=20,"16-20",J336&gt;20,"21+")</f>
        <v>0-5</v>
      </c>
      <c r="L336" t="s">
        <v>306</v>
      </c>
      <c r="M336" s="2" t="str">
        <f>TRIM(MID(L336,FIND(" ",L336)+1,LEN(L336)))</f>
        <v>20</v>
      </c>
      <c r="N336" s="8">
        <f t="shared" si="70"/>
        <v>20</v>
      </c>
      <c r="P336" t="b">
        <v>0</v>
      </c>
      <c r="Q336" t="s">
        <v>2072</v>
      </c>
      <c r="R336" s="1">
        <v>0.99</v>
      </c>
      <c r="S336" s="3">
        <f>R336</f>
        <v>0.99</v>
      </c>
    </row>
    <row r="337" spans="1:19" x14ac:dyDescent="0.3">
      <c r="A337" t="s">
        <v>746</v>
      </c>
      <c r="B337" t="s">
        <v>747</v>
      </c>
      <c r="C337" t="str">
        <f t="shared" si="67"/>
        <v>John Greene</v>
      </c>
      <c r="D337" t="s">
        <v>19</v>
      </c>
      <c r="E337" t="str">
        <f t="shared" si="69"/>
        <v>Male</v>
      </c>
      <c r="F337">
        <v>54</v>
      </c>
      <c r="G337" t="s">
        <v>59</v>
      </c>
      <c r="H337" t="s">
        <v>14</v>
      </c>
      <c r="I337" t="s">
        <v>65</v>
      </c>
      <c r="J337">
        <v>20</v>
      </c>
      <c r="K337" s="4" t="str" cm="1">
        <f t="array" ref="K337">_xlfn.IFS(J337&lt;=5,"0-5",J337&lt;=10,"6-10",J337&lt;=15,"11-15",J337&lt;=20,"16-20",J337&gt;20,"21+")</f>
        <v>16-20</v>
      </c>
      <c r="L337">
        <v>50</v>
      </c>
      <c r="M337" s="2">
        <f>L337</f>
        <v>50</v>
      </c>
      <c r="N337" s="8">
        <f t="shared" si="70"/>
        <v>50</v>
      </c>
      <c r="O337">
        <v>4.4000000000000004</v>
      </c>
      <c r="P337">
        <v>0</v>
      </c>
      <c r="Q337" t="s">
        <v>2072</v>
      </c>
      <c r="R337">
        <v>73</v>
      </c>
      <c r="S337" s="3">
        <f>R337/100</f>
        <v>0.73</v>
      </c>
    </row>
    <row r="338" spans="1:19" x14ac:dyDescent="0.3">
      <c r="A338" t="s">
        <v>748</v>
      </c>
      <c r="B338" t="s">
        <v>749</v>
      </c>
      <c r="C338" t="str">
        <f t="shared" si="67"/>
        <v>Brittany Mcdowell</v>
      </c>
      <c r="D338" t="s">
        <v>69</v>
      </c>
      <c r="E338" t="str">
        <f t="shared" si="69"/>
        <v>Female</v>
      </c>
      <c r="F338">
        <v>33</v>
      </c>
      <c r="G338" t="s">
        <v>50</v>
      </c>
      <c r="H338" t="s">
        <v>14</v>
      </c>
      <c r="I338" t="s">
        <v>22</v>
      </c>
      <c r="J338">
        <v>11</v>
      </c>
      <c r="K338" s="4" t="str" cm="1">
        <f t="array" ref="K338">_xlfn.IFS(J338&lt;=5,"0-5",J338&lt;=10,"6-10",J338&lt;=15,"11-15",J338&lt;=20,"16-20",J338&gt;20,"21+")</f>
        <v>11-15</v>
      </c>
      <c r="L338">
        <v>75</v>
      </c>
      <c r="M338" s="2">
        <f>L338</f>
        <v>75</v>
      </c>
      <c r="N338" s="8">
        <f t="shared" si="70"/>
        <v>75</v>
      </c>
      <c r="O338">
        <v>2.1</v>
      </c>
      <c r="P338">
        <v>0</v>
      </c>
      <c r="Q338" t="s">
        <v>2072</v>
      </c>
      <c r="R338" s="1">
        <v>0.96</v>
      </c>
      <c r="S338" s="3">
        <f t="shared" ref="S338:S340" si="73">R338</f>
        <v>0.96</v>
      </c>
    </row>
    <row r="339" spans="1:19" x14ac:dyDescent="0.3">
      <c r="A339" t="s">
        <v>750</v>
      </c>
      <c r="B339" t="s">
        <v>751</v>
      </c>
      <c r="C339" t="str">
        <f t="shared" si="67"/>
        <v>Lori Miller</v>
      </c>
      <c r="D339" t="s">
        <v>69</v>
      </c>
      <c r="E339" t="str">
        <f t="shared" si="69"/>
        <v>Female</v>
      </c>
      <c r="F339">
        <v>57</v>
      </c>
      <c r="G339" t="s">
        <v>54</v>
      </c>
      <c r="H339" t="s">
        <v>55</v>
      </c>
      <c r="I339" t="s">
        <v>43</v>
      </c>
      <c r="J339">
        <v>2</v>
      </c>
      <c r="K339" s="4" t="str" cm="1">
        <f t="array" ref="K339">_xlfn.IFS(J339&lt;=5,"0-5",J339&lt;=10,"6-10",J339&lt;=15,"11-15",J339&lt;=20,"16-20",J339&gt;20,"21+")</f>
        <v>0-5</v>
      </c>
      <c r="L339">
        <v>40</v>
      </c>
      <c r="M339" s="2">
        <f>L339</f>
        <v>40</v>
      </c>
      <c r="N339" s="8">
        <f t="shared" si="70"/>
        <v>40</v>
      </c>
      <c r="O339">
        <v>0</v>
      </c>
      <c r="P339" t="b">
        <v>0</v>
      </c>
      <c r="Q339" t="s">
        <v>2072</v>
      </c>
      <c r="R339" s="1">
        <v>0.6</v>
      </c>
      <c r="S339" s="3">
        <f t="shared" si="73"/>
        <v>0.6</v>
      </c>
    </row>
    <row r="340" spans="1:19" x14ac:dyDescent="0.3">
      <c r="A340" t="s">
        <v>752</v>
      </c>
      <c r="B340" t="s">
        <v>753</v>
      </c>
      <c r="C340" t="str">
        <f t="shared" si="67"/>
        <v>Joseph Robinson</v>
      </c>
      <c r="D340" t="s">
        <v>84</v>
      </c>
      <c r="E340" t="str">
        <f t="shared" si="69"/>
        <v>Male</v>
      </c>
      <c r="F340">
        <v>36</v>
      </c>
      <c r="G340" t="s">
        <v>104</v>
      </c>
      <c r="H340" t="s">
        <v>105</v>
      </c>
      <c r="I340" t="s">
        <v>22</v>
      </c>
      <c r="J340">
        <v>6</v>
      </c>
      <c r="K340" s="4" t="str" cm="1">
        <f t="array" ref="K340">_xlfn.IFS(J340&lt;=5,"0-5",J340&lt;=10,"6-10",J340&lt;=15,"11-15",J340&lt;=20,"16-20",J340&gt;20,"21+")</f>
        <v>6-10</v>
      </c>
      <c r="L340">
        <v>20</v>
      </c>
      <c r="M340" s="2">
        <f>L340</f>
        <v>20</v>
      </c>
      <c r="N340" s="8">
        <f t="shared" si="70"/>
        <v>20</v>
      </c>
      <c r="O340">
        <v>1</v>
      </c>
      <c r="P340" t="s">
        <v>66</v>
      </c>
      <c r="Q340" t="s">
        <v>2073</v>
      </c>
      <c r="R340" s="1">
        <v>0.64</v>
      </c>
      <c r="S340" s="3">
        <f t="shared" si="73"/>
        <v>0.64</v>
      </c>
    </row>
    <row r="341" spans="1:19" x14ac:dyDescent="0.3">
      <c r="A341" t="s">
        <v>754</v>
      </c>
      <c r="B341" t="s">
        <v>755</v>
      </c>
      <c r="C341" t="str">
        <f t="shared" si="67"/>
        <v>Aaron Pruitt</v>
      </c>
      <c r="D341" t="s">
        <v>89</v>
      </c>
      <c r="E341" t="str">
        <f t="shared" si="69"/>
        <v>Male</v>
      </c>
      <c r="F341">
        <v>50</v>
      </c>
      <c r="G341" t="s">
        <v>20</v>
      </c>
      <c r="H341" t="s">
        <v>21</v>
      </c>
      <c r="I341" t="s">
        <v>9</v>
      </c>
      <c r="J341">
        <v>20</v>
      </c>
      <c r="K341" s="4" t="str" cm="1">
        <f t="array" ref="K341">_xlfn.IFS(J341&lt;=5,"0-5",J341&lt;=10,"6-10",J341&lt;=15,"11-15",J341&lt;=20,"16-20",J341&gt;20,"21+")</f>
        <v>16-20</v>
      </c>
      <c r="L341" t="s">
        <v>101</v>
      </c>
      <c r="M341" s="2" t="str">
        <f>TRIM(MID(L341,FIND(" ",L341)+1,LEN(L341)))</f>
        <v>30</v>
      </c>
      <c r="N341" s="8">
        <f t="shared" si="70"/>
        <v>30</v>
      </c>
      <c r="O341">
        <v>0</v>
      </c>
      <c r="P341">
        <v>0</v>
      </c>
      <c r="Q341" t="s">
        <v>2072</v>
      </c>
    </row>
    <row r="342" spans="1:19" x14ac:dyDescent="0.3">
      <c r="A342" t="s">
        <v>756</v>
      </c>
      <c r="B342" t="s">
        <v>757</v>
      </c>
      <c r="C342" t="str">
        <f t="shared" si="67"/>
        <v>Victoria Miller</v>
      </c>
      <c r="D342" t="s">
        <v>6</v>
      </c>
      <c r="E342" t="str">
        <f t="shared" si="69"/>
        <v>Female</v>
      </c>
      <c r="F342">
        <v>37</v>
      </c>
      <c r="G342" t="s">
        <v>120</v>
      </c>
      <c r="H342" t="s">
        <v>14</v>
      </c>
      <c r="I342" t="s">
        <v>81</v>
      </c>
      <c r="K342" s="4" t="str" cm="1">
        <f t="array" ref="K342">_xlfn.IFS(J342&lt;=5,"0-5",J342&lt;=10,"6-10",J342&lt;=15,"11-15",J342&lt;=20,"16-20",J342&gt;20,"21+")</f>
        <v>0-5</v>
      </c>
      <c r="L342" t="s">
        <v>306</v>
      </c>
      <c r="M342" s="2" t="str">
        <f>TRIM(MID(L342,FIND(" ",L342)+1,LEN(L342)))</f>
        <v>20</v>
      </c>
      <c r="N342" s="8">
        <f t="shared" si="70"/>
        <v>20</v>
      </c>
      <c r="O342">
        <v>4.9000000000000004</v>
      </c>
      <c r="P342" t="s">
        <v>23</v>
      </c>
      <c r="Q342" t="s">
        <v>2072</v>
      </c>
    </row>
    <row r="343" spans="1:19" x14ac:dyDescent="0.3">
      <c r="A343" t="s">
        <v>758</v>
      </c>
      <c r="B343" t="s">
        <v>759</v>
      </c>
      <c r="C343" t="str">
        <f t="shared" si="67"/>
        <v>Clarence Vega</v>
      </c>
      <c r="D343" t="s">
        <v>84</v>
      </c>
      <c r="E343" t="str">
        <f t="shared" si="69"/>
        <v>Male</v>
      </c>
      <c r="F343">
        <v>53</v>
      </c>
      <c r="G343" t="s">
        <v>7</v>
      </c>
      <c r="H343" t="s">
        <v>8</v>
      </c>
      <c r="I343" t="s">
        <v>36</v>
      </c>
      <c r="J343">
        <v>4</v>
      </c>
      <c r="K343" s="4" t="str" cm="1">
        <f t="array" ref="K343">_xlfn.IFS(J343&lt;=5,"0-5",J343&lt;=10,"6-10",J343&lt;=15,"11-15",J343&lt;=20,"16-20",J343&gt;20,"21+")</f>
        <v>0-5</v>
      </c>
      <c r="L343">
        <v>30</v>
      </c>
      <c r="M343" s="2">
        <f>L343</f>
        <v>30</v>
      </c>
      <c r="N343" s="8">
        <f t="shared" si="70"/>
        <v>30</v>
      </c>
      <c r="O343">
        <v>4.7</v>
      </c>
      <c r="P343" t="s">
        <v>151</v>
      </c>
      <c r="Q343" t="s">
        <v>2072</v>
      </c>
      <c r="R343" s="1">
        <v>0.99</v>
      </c>
      <c r="S343" s="3">
        <f>R343</f>
        <v>0.99</v>
      </c>
    </row>
    <row r="344" spans="1:19" x14ac:dyDescent="0.3">
      <c r="A344" t="s">
        <v>760</v>
      </c>
      <c r="B344" t="s">
        <v>761</v>
      </c>
      <c r="C344" t="str">
        <f t="shared" si="67"/>
        <v>Deborah Day</v>
      </c>
      <c r="D344" t="s">
        <v>69</v>
      </c>
      <c r="E344" t="str">
        <f t="shared" si="69"/>
        <v>Female</v>
      </c>
      <c r="F344">
        <v>22</v>
      </c>
      <c r="G344" t="s">
        <v>7</v>
      </c>
      <c r="H344" t="s">
        <v>8</v>
      </c>
      <c r="I344" t="s">
        <v>9</v>
      </c>
      <c r="J344">
        <v>3</v>
      </c>
      <c r="K344" s="4" t="str" cm="1">
        <f t="array" ref="K344">_xlfn.IFS(J344&lt;=5,"0-5",J344&lt;=10,"6-10",J344&lt;=15,"11-15",J344&lt;=20,"16-20",J344&gt;20,"21+")</f>
        <v>0-5</v>
      </c>
      <c r="L344" t="s">
        <v>47</v>
      </c>
      <c r="M344" s="2" t="str">
        <f>TRIM(MID(L344,FIND(" ",L344)+1,LEN(L344)))</f>
        <v>40</v>
      </c>
      <c r="N344" s="8">
        <f t="shared" si="70"/>
        <v>40</v>
      </c>
      <c r="O344">
        <v>2.1</v>
      </c>
      <c r="P344">
        <v>0</v>
      </c>
      <c r="Q344" t="s">
        <v>2072</v>
      </c>
    </row>
    <row r="345" spans="1:19" x14ac:dyDescent="0.3">
      <c r="A345" t="s">
        <v>762</v>
      </c>
      <c r="B345" t="s">
        <v>763</v>
      </c>
      <c r="C345" t="str">
        <f t="shared" si="67"/>
        <v>Nicole Rocha</v>
      </c>
      <c r="D345" t="s">
        <v>69</v>
      </c>
      <c r="E345" t="str">
        <f t="shared" si="69"/>
        <v>Female</v>
      </c>
      <c r="F345">
        <v>55</v>
      </c>
      <c r="G345" t="s">
        <v>34</v>
      </c>
      <c r="H345" t="s">
        <v>35</v>
      </c>
      <c r="I345" t="s">
        <v>15</v>
      </c>
      <c r="J345">
        <v>33</v>
      </c>
      <c r="K345" s="4" t="str" cm="1">
        <f t="array" ref="K345">_xlfn.IFS(J345&lt;=5,"0-5",J345&lt;=10,"6-10",J345&lt;=15,"11-15",J345&lt;=20,"16-20",J345&gt;20,"21+")</f>
        <v>21+</v>
      </c>
      <c r="L345">
        <v>40</v>
      </c>
      <c r="M345" s="2">
        <f>L345</f>
        <v>40</v>
      </c>
      <c r="N345" s="8">
        <f t="shared" si="70"/>
        <v>40</v>
      </c>
      <c r="O345">
        <v>1.5</v>
      </c>
      <c r="P345" t="s">
        <v>66</v>
      </c>
      <c r="Q345" t="s">
        <v>2073</v>
      </c>
      <c r="R345" s="1">
        <v>0.71</v>
      </c>
      <c r="S345" s="3">
        <f t="shared" ref="S345:S348" si="74">R345</f>
        <v>0.71</v>
      </c>
    </row>
    <row r="346" spans="1:19" x14ac:dyDescent="0.3">
      <c r="A346" t="s">
        <v>764</v>
      </c>
      <c r="B346" t="s">
        <v>765</v>
      </c>
      <c r="C346" t="str">
        <f t="shared" si="67"/>
        <v>Elijah Green</v>
      </c>
      <c r="D346" t="s">
        <v>53</v>
      </c>
      <c r="E346" t="str">
        <f t="shared" si="69"/>
        <v>Male</v>
      </c>
      <c r="F346">
        <v>22</v>
      </c>
      <c r="G346" t="s">
        <v>13</v>
      </c>
      <c r="H346" t="s">
        <v>14</v>
      </c>
      <c r="I346" t="s">
        <v>70</v>
      </c>
      <c r="J346">
        <v>1</v>
      </c>
      <c r="K346" s="4" t="str" cm="1">
        <f t="array" ref="K346">_xlfn.IFS(J346&lt;=5,"0-5",J346&lt;=10,"6-10",J346&lt;=15,"11-15",J346&lt;=20,"16-20",J346&gt;20,"21+")</f>
        <v>0-5</v>
      </c>
      <c r="N346" s="8" t="str">
        <f t="shared" si="70"/>
        <v/>
      </c>
      <c r="O346">
        <v>2.6</v>
      </c>
      <c r="P346">
        <v>0</v>
      </c>
      <c r="Q346" t="s">
        <v>2072</v>
      </c>
      <c r="R346" s="1">
        <v>0.72</v>
      </c>
      <c r="S346" s="3">
        <f t="shared" si="74"/>
        <v>0.72</v>
      </c>
    </row>
    <row r="347" spans="1:19" x14ac:dyDescent="0.3">
      <c r="A347" t="s">
        <v>766</v>
      </c>
      <c r="B347" t="s">
        <v>767</v>
      </c>
      <c r="C347" t="str">
        <f t="shared" si="67"/>
        <v>Emily Johnson</v>
      </c>
      <c r="D347" t="s">
        <v>6</v>
      </c>
      <c r="E347" t="str">
        <f t="shared" si="69"/>
        <v>Female</v>
      </c>
      <c r="F347">
        <v>45</v>
      </c>
      <c r="G347" t="s">
        <v>54</v>
      </c>
      <c r="H347" t="s">
        <v>55</v>
      </c>
      <c r="I347" t="s">
        <v>27</v>
      </c>
      <c r="J347">
        <v>23</v>
      </c>
      <c r="K347" s="4" t="str" cm="1">
        <f t="array" ref="K347">_xlfn.IFS(J347&lt;=5,"0-5",J347&lt;=10,"6-10",J347&lt;=15,"11-15",J347&lt;=20,"16-20",J347&gt;20,"21+")</f>
        <v>21+</v>
      </c>
      <c r="L347" t="s">
        <v>90</v>
      </c>
      <c r="M347" s="2" t="str">
        <f>TRIM(MID(L347,FIND(" ",L347)+1,LEN(L347)))</f>
        <v>50</v>
      </c>
      <c r="N347" s="8">
        <f t="shared" si="70"/>
        <v>50</v>
      </c>
      <c r="O347">
        <v>0</v>
      </c>
      <c r="P347">
        <v>0</v>
      </c>
      <c r="Q347" t="s">
        <v>2072</v>
      </c>
      <c r="R347" s="1">
        <v>0.66</v>
      </c>
      <c r="S347" s="3">
        <f t="shared" si="74"/>
        <v>0.66</v>
      </c>
    </row>
    <row r="348" spans="1:19" x14ac:dyDescent="0.3">
      <c r="A348" t="s">
        <v>768</v>
      </c>
      <c r="B348" t="s">
        <v>769</v>
      </c>
      <c r="C348" t="str">
        <f>TRIM(MID(B348,FIND(" ",B348)+1,LEN(B348)))</f>
        <v>Velasquez Jr.</v>
      </c>
      <c r="D348" t="s">
        <v>84</v>
      </c>
      <c r="E348" t="str">
        <f t="shared" si="69"/>
        <v>Male</v>
      </c>
      <c r="F348">
        <v>36</v>
      </c>
      <c r="G348" t="s">
        <v>127</v>
      </c>
      <c r="H348" t="s">
        <v>128</v>
      </c>
      <c r="I348" t="s">
        <v>43</v>
      </c>
      <c r="J348">
        <v>13</v>
      </c>
      <c r="K348" s="4" t="str" cm="1">
        <f t="array" ref="K348">_xlfn.IFS(J348&lt;=5,"0-5",J348&lt;=10,"6-10",J348&lt;=15,"11-15",J348&lt;=20,"16-20",J348&gt;20,"21+")</f>
        <v>11-15</v>
      </c>
      <c r="L348">
        <v>40</v>
      </c>
      <c r="M348" s="2">
        <f>L348</f>
        <v>40</v>
      </c>
      <c r="N348" s="8">
        <f t="shared" si="70"/>
        <v>40</v>
      </c>
      <c r="P348" t="s">
        <v>23</v>
      </c>
      <c r="Q348" t="s">
        <v>2072</v>
      </c>
      <c r="R348" s="1">
        <v>0.78</v>
      </c>
      <c r="S348" s="3">
        <f t="shared" si="74"/>
        <v>0.78</v>
      </c>
    </row>
    <row r="349" spans="1:19" x14ac:dyDescent="0.3">
      <c r="A349" t="s">
        <v>770</v>
      </c>
      <c r="B349" t="s">
        <v>771</v>
      </c>
      <c r="C349" t="str">
        <f t="shared" ref="C349:C398" si="75">B349</f>
        <v>Kurt Wilson</v>
      </c>
      <c r="D349" t="s">
        <v>40</v>
      </c>
      <c r="E349" t="str">
        <f t="shared" si="69"/>
        <v>Male</v>
      </c>
      <c r="F349">
        <v>23</v>
      </c>
      <c r="G349" t="s">
        <v>13</v>
      </c>
      <c r="H349" t="s">
        <v>14</v>
      </c>
      <c r="I349" t="s">
        <v>81</v>
      </c>
      <c r="J349">
        <v>1</v>
      </c>
      <c r="K349" s="4" t="str" cm="1">
        <f t="array" ref="K349">_xlfn.IFS(J349&lt;=5,"0-5",J349&lt;=10,"6-10",J349&lt;=15,"11-15",J349&lt;=20,"16-20",J349&gt;20,"21+")</f>
        <v>0-5</v>
      </c>
      <c r="L349" t="s">
        <v>306</v>
      </c>
      <c r="M349" s="2" t="str">
        <f>TRIM(MID(L349,FIND(" ",L349)+1,LEN(L349)))</f>
        <v>20</v>
      </c>
      <c r="N349" s="8">
        <f t="shared" si="70"/>
        <v>20</v>
      </c>
      <c r="O349">
        <v>4</v>
      </c>
      <c r="P349" t="s">
        <v>66</v>
      </c>
      <c r="Q349" t="s">
        <v>2073</v>
      </c>
      <c r="R349">
        <v>100</v>
      </c>
      <c r="S349" s="3">
        <f>R349/100</f>
        <v>1</v>
      </c>
    </row>
    <row r="350" spans="1:19" x14ac:dyDescent="0.3">
      <c r="A350" t="s">
        <v>772</v>
      </c>
      <c r="B350" t="s">
        <v>773</v>
      </c>
      <c r="C350" t="str">
        <f t="shared" si="75"/>
        <v>Jeremiah Rodriguez</v>
      </c>
      <c r="D350" t="s">
        <v>84</v>
      </c>
      <c r="E350" t="str">
        <f t="shared" si="69"/>
        <v>Male</v>
      </c>
      <c r="F350">
        <v>55</v>
      </c>
      <c r="G350" t="s">
        <v>7</v>
      </c>
      <c r="H350" t="s">
        <v>8</v>
      </c>
      <c r="I350" t="s">
        <v>81</v>
      </c>
      <c r="J350">
        <v>15</v>
      </c>
      <c r="K350" s="4" t="str" cm="1">
        <f t="array" ref="K350">_xlfn.IFS(J350&lt;=5,"0-5",J350&lt;=10,"6-10",J350&lt;=15,"11-15",J350&lt;=20,"16-20",J350&gt;20,"21+")</f>
        <v>11-15</v>
      </c>
      <c r="L350">
        <v>40</v>
      </c>
      <c r="M350" s="2">
        <f>L350</f>
        <v>40</v>
      </c>
      <c r="N350" s="8">
        <f t="shared" si="70"/>
        <v>40</v>
      </c>
      <c r="O350">
        <v>4.5</v>
      </c>
    </row>
    <row r="351" spans="1:19" x14ac:dyDescent="0.3">
      <c r="A351" t="s">
        <v>774</v>
      </c>
      <c r="B351" t="s">
        <v>775</v>
      </c>
      <c r="C351" t="str">
        <f t="shared" si="75"/>
        <v>Lauren Lang</v>
      </c>
      <c r="D351" t="s">
        <v>26</v>
      </c>
      <c r="E351" t="str">
        <f t="shared" si="69"/>
        <v>Female</v>
      </c>
      <c r="F351">
        <v>50</v>
      </c>
      <c r="G351" t="s">
        <v>99</v>
      </c>
      <c r="H351" t="s">
        <v>100</v>
      </c>
      <c r="I351" t="s">
        <v>15</v>
      </c>
      <c r="J351">
        <v>18</v>
      </c>
      <c r="K351" s="4" t="str" cm="1">
        <f t="array" ref="K351">_xlfn.IFS(J351&lt;=5,"0-5",J351&lt;=10,"6-10",J351&lt;=15,"11-15",J351&lt;=20,"16-20",J351&gt;20,"21+")</f>
        <v>16-20</v>
      </c>
      <c r="L351">
        <v>75</v>
      </c>
      <c r="M351" s="2">
        <f>L351</f>
        <v>75</v>
      </c>
      <c r="N351" s="8">
        <f t="shared" si="70"/>
        <v>75</v>
      </c>
      <c r="O351">
        <v>3.8</v>
      </c>
      <c r="P351">
        <v>0</v>
      </c>
      <c r="Q351" t="s">
        <v>2072</v>
      </c>
      <c r="R351">
        <v>67</v>
      </c>
      <c r="S351" s="3">
        <f>R351/100</f>
        <v>0.67</v>
      </c>
    </row>
    <row r="352" spans="1:19" x14ac:dyDescent="0.3">
      <c r="A352" t="s">
        <v>776</v>
      </c>
      <c r="B352" t="s">
        <v>777</v>
      </c>
      <c r="C352" t="str">
        <f t="shared" si="75"/>
        <v>Matthew Phillips</v>
      </c>
      <c r="D352" t="s">
        <v>19</v>
      </c>
      <c r="E352" t="str">
        <f t="shared" si="69"/>
        <v>Male</v>
      </c>
      <c r="F352">
        <v>48</v>
      </c>
      <c r="G352" t="s">
        <v>50</v>
      </c>
      <c r="H352" t="s">
        <v>14</v>
      </c>
      <c r="I352" t="s">
        <v>106</v>
      </c>
      <c r="J352">
        <v>21</v>
      </c>
      <c r="K352" s="4" t="str" cm="1">
        <f t="array" ref="K352">_xlfn.IFS(J352&lt;=5,"0-5",J352&lt;=10,"6-10",J352&lt;=15,"11-15",J352&lt;=20,"16-20",J352&gt;20,"21+")</f>
        <v>21+</v>
      </c>
      <c r="L352">
        <v>50</v>
      </c>
      <c r="M352" s="2">
        <f>L352</f>
        <v>50</v>
      </c>
      <c r="N352" s="8">
        <f t="shared" si="70"/>
        <v>50</v>
      </c>
      <c r="O352">
        <v>4</v>
      </c>
      <c r="P352">
        <v>0</v>
      </c>
      <c r="Q352" t="s">
        <v>2072</v>
      </c>
      <c r="R352" s="1">
        <v>0.78</v>
      </c>
      <c r="S352" s="3">
        <f t="shared" ref="S352:S356" si="76">R352</f>
        <v>0.78</v>
      </c>
    </row>
    <row r="353" spans="1:19" x14ac:dyDescent="0.3">
      <c r="A353" t="s">
        <v>778</v>
      </c>
      <c r="B353" t="s">
        <v>779</v>
      </c>
      <c r="C353" t="str">
        <f t="shared" si="75"/>
        <v>Michael Andersen</v>
      </c>
      <c r="D353" t="s">
        <v>53</v>
      </c>
      <c r="E353" t="str">
        <f t="shared" si="69"/>
        <v>Male</v>
      </c>
      <c r="F353">
        <v>23</v>
      </c>
      <c r="G353" t="s">
        <v>34</v>
      </c>
      <c r="H353" t="s">
        <v>35</v>
      </c>
      <c r="I353" t="s">
        <v>81</v>
      </c>
      <c r="J353">
        <v>1</v>
      </c>
      <c r="K353" s="4" t="str" cm="1">
        <f t="array" ref="K353">_xlfn.IFS(J353&lt;=5,"0-5",J353&lt;=10,"6-10",J353&lt;=15,"11-15",J353&lt;=20,"16-20",J353&gt;20,"21+")</f>
        <v>0-5</v>
      </c>
      <c r="L353" t="s">
        <v>28</v>
      </c>
      <c r="M353" s="2" t="str">
        <f>SUBSTITUTE(L353,"$","")</f>
        <v>40</v>
      </c>
      <c r="N353" s="8">
        <f t="shared" si="70"/>
        <v>40</v>
      </c>
      <c r="O353">
        <v>4.9000000000000004</v>
      </c>
      <c r="P353" t="s">
        <v>60</v>
      </c>
      <c r="Q353" t="s">
        <v>2073</v>
      </c>
      <c r="R353" s="1">
        <v>0.78</v>
      </c>
      <c r="S353" s="3">
        <f t="shared" si="76"/>
        <v>0.78</v>
      </c>
    </row>
    <row r="354" spans="1:19" x14ac:dyDescent="0.3">
      <c r="A354" t="s">
        <v>780</v>
      </c>
      <c r="B354" t="s">
        <v>781</v>
      </c>
      <c r="C354" t="str">
        <f t="shared" si="75"/>
        <v>Amanda Mayo</v>
      </c>
      <c r="D354" t="s">
        <v>6</v>
      </c>
      <c r="E354" t="str">
        <f t="shared" si="69"/>
        <v>Female</v>
      </c>
      <c r="F354">
        <v>49</v>
      </c>
      <c r="G354" t="s">
        <v>120</v>
      </c>
      <c r="H354" t="s">
        <v>14</v>
      </c>
      <c r="I354" t="s">
        <v>27</v>
      </c>
      <c r="J354">
        <v>25</v>
      </c>
      <c r="K354" s="4" t="str" cm="1">
        <f t="array" ref="K354">_xlfn.IFS(J354&lt;=5,"0-5",J354&lt;=10,"6-10",J354&lt;=15,"11-15",J354&lt;=20,"16-20",J354&gt;20,"21+")</f>
        <v>21+</v>
      </c>
      <c r="L354" t="s">
        <v>37</v>
      </c>
      <c r="M354" s="2" t="str">
        <f>SUBSTITUTE(L354,"$","")</f>
        <v>30</v>
      </c>
      <c r="N354" s="8">
        <f t="shared" si="70"/>
        <v>30</v>
      </c>
      <c r="O354">
        <v>3.4</v>
      </c>
      <c r="P354">
        <v>0</v>
      </c>
      <c r="Q354" t="s">
        <v>2072</v>
      </c>
      <c r="R354" s="1">
        <v>0.75</v>
      </c>
      <c r="S354" s="3">
        <f t="shared" si="76"/>
        <v>0.75</v>
      </c>
    </row>
    <row r="355" spans="1:19" x14ac:dyDescent="0.3">
      <c r="A355" t="s">
        <v>782</v>
      </c>
      <c r="B355" t="s">
        <v>783</v>
      </c>
      <c r="C355" t="str">
        <f t="shared" si="75"/>
        <v>Jessica Vance</v>
      </c>
      <c r="D355" t="s">
        <v>26</v>
      </c>
      <c r="E355" t="str">
        <f t="shared" si="69"/>
        <v>Female</v>
      </c>
      <c r="F355">
        <v>47</v>
      </c>
      <c r="G355" t="s">
        <v>7</v>
      </c>
      <c r="H355" t="s">
        <v>8</v>
      </c>
      <c r="I355" t="s">
        <v>70</v>
      </c>
      <c r="J355">
        <v>12</v>
      </c>
      <c r="K355" s="4" t="str" cm="1">
        <f t="array" ref="K355">_xlfn.IFS(J355&lt;=5,"0-5",J355&lt;=10,"6-10",J355&lt;=15,"11-15",J355&lt;=20,"16-20",J355&gt;20,"21+")</f>
        <v>11-15</v>
      </c>
      <c r="L355">
        <v>50</v>
      </c>
      <c r="M355" s="2">
        <f>L355</f>
        <v>50</v>
      </c>
      <c r="N355" s="8">
        <f t="shared" si="70"/>
        <v>50</v>
      </c>
      <c r="O355">
        <v>2.1</v>
      </c>
      <c r="P355" t="b">
        <v>1</v>
      </c>
      <c r="Q355" t="s">
        <v>2073</v>
      </c>
      <c r="R355" s="1">
        <v>0.67</v>
      </c>
      <c r="S355" s="3">
        <f t="shared" si="76"/>
        <v>0.67</v>
      </c>
    </row>
    <row r="356" spans="1:19" x14ac:dyDescent="0.3">
      <c r="A356" t="s">
        <v>784</v>
      </c>
      <c r="B356" t="s">
        <v>785</v>
      </c>
      <c r="C356" t="str">
        <f t="shared" si="75"/>
        <v>Alexa Gallegos</v>
      </c>
      <c r="D356" t="s">
        <v>69</v>
      </c>
      <c r="E356" t="str">
        <f t="shared" si="69"/>
        <v>Female</v>
      </c>
      <c r="F356">
        <v>56</v>
      </c>
      <c r="G356" t="s">
        <v>77</v>
      </c>
      <c r="H356" t="s">
        <v>78</v>
      </c>
      <c r="I356" t="s">
        <v>22</v>
      </c>
      <c r="J356">
        <v>32</v>
      </c>
      <c r="K356" s="4" t="str" cm="1">
        <f t="array" ref="K356">_xlfn.IFS(J356&lt;=5,"0-5",J356&lt;=10,"6-10",J356&lt;=15,"11-15",J356&lt;=20,"16-20",J356&gt;20,"21+")</f>
        <v>21+</v>
      </c>
      <c r="L356" t="s">
        <v>47</v>
      </c>
      <c r="M356" s="2" t="str">
        <f>TRIM(MID(L356,FIND(" ",L356)+1,LEN(L356)))</f>
        <v>40</v>
      </c>
      <c r="N356" s="8">
        <f t="shared" si="70"/>
        <v>40</v>
      </c>
      <c r="O356">
        <v>0</v>
      </c>
      <c r="P356">
        <v>1</v>
      </c>
      <c r="Q356" t="s">
        <v>2073</v>
      </c>
      <c r="R356" s="1">
        <v>0.86</v>
      </c>
      <c r="S356" s="3">
        <f t="shared" si="76"/>
        <v>0.86</v>
      </c>
    </row>
    <row r="357" spans="1:19" x14ac:dyDescent="0.3">
      <c r="A357" t="s">
        <v>786</v>
      </c>
      <c r="B357" t="s">
        <v>787</v>
      </c>
      <c r="C357" t="str">
        <f t="shared" si="75"/>
        <v>Charles Pratt</v>
      </c>
      <c r="D357" t="s">
        <v>53</v>
      </c>
      <c r="E357" t="str">
        <f t="shared" si="69"/>
        <v>Male</v>
      </c>
      <c r="F357">
        <v>58</v>
      </c>
      <c r="G357" t="s">
        <v>63</v>
      </c>
      <c r="H357" t="s">
        <v>64</v>
      </c>
      <c r="I357" t="s">
        <v>65</v>
      </c>
      <c r="K357" s="4" t="str" cm="1">
        <f t="array" ref="K357">_xlfn.IFS(J357&lt;=5,"0-5",J357&lt;=10,"6-10",J357&lt;=15,"11-15",J357&lt;=20,"16-20",J357&gt;20,"21+")</f>
        <v>0-5</v>
      </c>
      <c r="L357">
        <v>100</v>
      </c>
      <c r="M357" s="2">
        <f>L357</f>
        <v>100</v>
      </c>
      <c r="N357" s="8">
        <f t="shared" si="70"/>
        <v>100</v>
      </c>
      <c r="O357">
        <v>4.5</v>
      </c>
      <c r="P357" t="s">
        <v>151</v>
      </c>
      <c r="Q357" t="s">
        <v>2072</v>
      </c>
      <c r="R357">
        <v>77</v>
      </c>
      <c r="S357" s="3">
        <f>R357/100</f>
        <v>0.77</v>
      </c>
    </row>
    <row r="358" spans="1:19" x14ac:dyDescent="0.3">
      <c r="A358" t="s">
        <v>788</v>
      </c>
      <c r="B358" t="s">
        <v>789</v>
      </c>
      <c r="C358" t="str">
        <f t="shared" si="75"/>
        <v>Brian Baker</v>
      </c>
      <c r="D358" t="s">
        <v>40</v>
      </c>
      <c r="E358" t="str">
        <f t="shared" si="69"/>
        <v>Male</v>
      </c>
      <c r="F358">
        <v>32</v>
      </c>
      <c r="G358" t="s">
        <v>104</v>
      </c>
      <c r="H358" t="s">
        <v>105</v>
      </c>
      <c r="I358" t="s">
        <v>65</v>
      </c>
      <c r="J358">
        <v>10</v>
      </c>
      <c r="K358" s="4" t="str" cm="1">
        <f t="array" ref="K358">_xlfn.IFS(J358&lt;=5,"0-5",J358&lt;=10,"6-10",J358&lt;=15,"11-15",J358&lt;=20,"16-20",J358&gt;20,"21+")</f>
        <v>6-10</v>
      </c>
      <c r="L358" t="s">
        <v>37</v>
      </c>
      <c r="M358" s="2" t="str">
        <f>SUBSTITUTE(L358,"$","")</f>
        <v>30</v>
      </c>
      <c r="N358" s="8">
        <f t="shared" si="70"/>
        <v>30</v>
      </c>
      <c r="O358">
        <v>3.8</v>
      </c>
      <c r="P358">
        <v>0</v>
      </c>
      <c r="Q358" t="s">
        <v>2072</v>
      </c>
      <c r="R358" s="1">
        <v>0.61</v>
      </c>
      <c r="S358" s="3">
        <f t="shared" ref="S358:S364" si="77">R358</f>
        <v>0.61</v>
      </c>
    </row>
    <row r="359" spans="1:19" x14ac:dyDescent="0.3">
      <c r="A359" t="s">
        <v>790</v>
      </c>
      <c r="B359" t="s">
        <v>791</v>
      </c>
      <c r="C359" t="str">
        <f t="shared" si="75"/>
        <v>Christina Norman</v>
      </c>
      <c r="D359" t="s">
        <v>69</v>
      </c>
      <c r="E359" t="str">
        <f t="shared" si="69"/>
        <v>Female</v>
      </c>
      <c r="F359">
        <v>52</v>
      </c>
      <c r="G359" t="s">
        <v>85</v>
      </c>
      <c r="H359" t="s">
        <v>86</v>
      </c>
      <c r="I359" t="s">
        <v>65</v>
      </c>
      <c r="J359">
        <v>0</v>
      </c>
      <c r="K359" s="4" t="str" cm="1">
        <f t="array" ref="K359">_xlfn.IFS(J359&lt;=5,"0-5",J359&lt;=10,"6-10",J359&lt;=15,"11-15",J359&lt;=20,"16-20",J359&gt;20,"21+")</f>
        <v>0-5</v>
      </c>
      <c r="N359" s="8" t="str">
        <f t="shared" si="70"/>
        <v/>
      </c>
      <c r="O359">
        <v>4.3</v>
      </c>
      <c r="P359">
        <v>0</v>
      </c>
      <c r="Q359" t="s">
        <v>2072</v>
      </c>
      <c r="R359" s="1">
        <v>0.9</v>
      </c>
      <c r="S359" s="3">
        <f t="shared" si="77"/>
        <v>0.9</v>
      </c>
    </row>
    <row r="360" spans="1:19" x14ac:dyDescent="0.3">
      <c r="A360" t="s">
        <v>792</v>
      </c>
      <c r="B360" t="s">
        <v>793</v>
      </c>
      <c r="C360" t="str">
        <f t="shared" si="75"/>
        <v>Laura Kelly</v>
      </c>
      <c r="D360" t="s">
        <v>12</v>
      </c>
      <c r="E360" t="str">
        <f t="shared" si="69"/>
        <v>Female</v>
      </c>
      <c r="F360">
        <v>22</v>
      </c>
      <c r="G360" t="s">
        <v>167</v>
      </c>
      <c r="H360" t="s">
        <v>168</v>
      </c>
      <c r="I360" t="s">
        <v>43</v>
      </c>
      <c r="J360">
        <v>1</v>
      </c>
      <c r="K360" s="4" t="str" cm="1">
        <f t="array" ref="K360">_xlfn.IFS(J360&lt;=5,"0-5",J360&lt;=10,"6-10",J360&lt;=15,"11-15",J360&lt;=20,"16-20",J360&gt;20,"21+")</f>
        <v>0-5</v>
      </c>
      <c r="L360">
        <v>50</v>
      </c>
      <c r="M360" s="2">
        <f>L360</f>
        <v>50</v>
      </c>
      <c r="N360" s="8">
        <f t="shared" si="70"/>
        <v>50</v>
      </c>
      <c r="O360">
        <v>0</v>
      </c>
      <c r="R360" s="1">
        <v>0.98</v>
      </c>
      <c r="S360" s="3">
        <f t="shared" si="77"/>
        <v>0.98</v>
      </c>
    </row>
    <row r="361" spans="1:19" x14ac:dyDescent="0.3">
      <c r="A361" t="s">
        <v>794</v>
      </c>
      <c r="B361" t="s">
        <v>795</v>
      </c>
      <c r="C361" t="str">
        <f t="shared" si="75"/>
        <v>John Webb</v>
      </c>
      <c r="D361" t="s">
        <v>89</v>
      </c>
      <c r="E361" t="str">
        <f t="shared" si="69"/>
        <v>Male</v>
      </c>
      <c r="F361">
        <v>20</v>
      </c>
      <c r="G361" t="s">
        <v>85</v>
      </c>
      <c r="H361" t="s">
        <v>86</v>
      </c>
      <c r="I361" t="s">
        <v>70</v>
      </c>
      <c r="J361">
        <v>2</v>
      </c>
      <c r="K361" s="4" t="str" cm="1">
        <f t="array" ref="K361">_xlfn.IFS(J361&lt;=5,"0-5",J361&lt;=10,"6-10",J361&lt;=15,"11-15",J361&lt;=20,"16-20",J361&gt;20,"21+")</f>
        <v>0-5</v>
      </c>
      <c r="L361">
        <v>30</v>
      </c>
      <c r="M361" s="2">
        <f>L361</f>
        <v>30</v>
      </c>
      <c r="N361" s="8">
        <f t="shared" si="70"/>
        <v>30</v>
      </c>
      <c r="P361">
        <v>1</v>
      </c>
      <c r="Q361" t="s">
        <v>2073</v>
      </c>
      <c r="R361" s="1">
        <v>0.99</v>
      </c>
      <c r="S361" s="3">
        <f t="shared" si="77"/>
        <v>0.99</v>
      </c>
    </row>
    <row r="362" spans="1:19" x14ac:dyDescent="0.3">
      <c r="A362" t="s">
        <v>796</v>
      </c>
      <c r="B362" t="s">
        <v>797</v>
      </c>
      <c r="C362" t="str">
        <f t="shared" si="75"/>
        <v>Christopher Burton</v>
      </c>
      <c r="D362" t="s">
        <v>84</v>
      </c>
      <c r="E362" t="str">
        <f t="shared" si="69"/>
        <v>Male</v>
      </c>
      <c r="F362">
        <v>56</v>
      </c>
      <c r="G362" t="s">
        <v>34</v>
      </c>
      <c r="H362" t="s">
        <v>35</v>
      </c>
      <c r="I362" t="s">
        <v>43</v>
      </c>
      <c r="J362">
        <v>9</v>
      </c>
      <c r="K362" s="4" t="str" cm="1">
        <f t="array" ref="K362">_xlfn.IFS(J362&lt;=5,"0-5",J362&lt;=10,"6-10",J362&lt;=15,"11-15",J362&lt;=20,"16-20",J362&gt;20,"21+")</f>
        <v>6-10</v>
      </c>
      <c r="L362" t="s">
        <v>47</v>
      </c>
      <c r="M362" s="2" t="str">
        <f>TRIM(MID(L362,FIND(" ",L362)+1,LEN(L362)))</f>
        <v>40</v>
      </c>
      <c r="N362" s="8">
        <f t="shared" si="70"/>
        <v>40</v>
      </c>
      <c r="O362">
        <v>2.6</v>
      </c>
      <c r="P362">
        <v>0</v>
      </c>
      <c r="Q362" t="s">
        <v>2072</v>
      </c>
      <c r="R362" s="1">
        <v>0.61</v>
      </c>
      <c r="S362" s="3">
        <f t="shared" si="77"/>
        <v>0.61</v>
      </c>
    </row>
    <row r="363" spans="1:19" x14ac:dyDescent="0.3">
      <c r="A363" t="s">
        <v>798</v>
      </c>
      <c r="B363" t="s">
        <v>799</v>
      </c>
      <c r="C363" t="str">
        <f t="shared" si="75"/>
        <v>Bradley Aguilar</v>
      </c>
      <c r="D363" t="s">
        <v>89</v>
      </c>
      <c r="E363" t="str">
        <f t="shared" si="69"/>
        <v>Male</v>
      </c>
      <c r="F363">
        <v>41</v>
      </c>
      <c r="G363" t="s">
        <v>77</v>
      </c>
      <c r="H363" t="s">
        <v>78</v>
      </c>
      <c r="I363" t="s">
        <v>43</v>
      </c>
      <c r="J363">
        <v>22</v>
      </c>
      <c r="K363" s="4" t="str" cm="1">
        <f t="array" ref="K363">_xlfn.IFS(J363&lt;=5,"0-5",J363&lt;=10,"6-10",J363&lt;=15,"11-15",J363&lt;=20,"16-20",J363&gt;20,"21+")</f>
        <v>21+</v>
      </c>
      <c r="L363" t="s">
        <v>90</v>
      </c>
      <c r="M363" s="2" t="str">
        <f>TRIM(MID(L363,FIND(" ",L363)+1,LEN(L363)))</f>
        <v>50</v>
      </c>
      <c r="N363" s="8">
        <f t="shared" si="70"/>
        <v>50</v>
      </c>
      <c r="O363">
        <v>1.6</v>
      </c>
      <c r="P363">
        <v>1</v>
      </c>
      <c r="Q363" t="s">
        <v>2073</v>
      </c>
      <c r="R363" s="1">
        <v>0.61</v>
      </c>
      <c r="S363" s="3">
        <f t="shared" si="77"/>
        <v>0.61</v>
      </c>
    </row>
    <row r="364" spans="1:19" x14ac:dyDescent="0.3">
      <c r="A364" t="s">
        <v>800</v>
      </c>
      <c r="B364" t="s">
        <v>801</v>
      </c>
      <c r="C364" t="str">
        <f t="shared" si="75"/>
        <v>Arthur Vasquez</v>
      </c>
      <c r="D364" t="s">
        <v>89</v>
      </c>
      <c r="E364" t="str">
        <f t="shared" si="69"/>
        <v>Male</v>
      </c>
      <c r="F364">
        <v>25</v>
      </c>
      <c r="G364" t="s">
        <v>63</v>
      </c>
      <c r="H364" t="s">
        <v>64</v>
      </c>
      <c r="I364" t="s">
        <v>9</v>
      </c>
      <c r="J364">
        <v>5</v>
      </c>
      <c r="K364" s="4" t="str" cm="1">
        <f t="array" ref="K364">_xlfn.IFS(J364&lt;=5,"0-5",J364&lt;=10,"6-10",J364&lt;=15,"11-15",J364&lt;=20,"16-20",J364&gt;20,"21+")</f>
        <v>0-5</v>
      </c>
      <c r="L364" t="s">
        <v>37</v>
      </c>
      <c r="M364" s="2" t="str">
        <f>SUBSTITUTE(L364,"$","")</f>
        <v>30</v>
      </c>
      <c r="N364" s="8">
        <f t="shared" si="70"/>
        <v>30</v>
      </c>
      <c r="O364">
        <v>2.2999999999999998</v>
      </c>
      <c r="P364">
        <v>0</v>
      </c>
      <c r="Q364" t="s">
        <v>2072</v>
      </c>
      <c r="R364" s="1">
        <v>0.91</v>
      </c>
      <c r="S364" s="3">
        <f t="shared" si="77"/>
        <v>0.91</v>
      </c>
    </row>
    <row r="365" spans="1:19" x14ac:dyDescent="0.3">
      <c r="A365" t="s">
        <v>802</v>
      </c>
      <c r="B365" t="s">
        <v>803</v>
      </c>
      <c r="C365" t="str">
        <f t="shared" si="75"/>
        <v>Angela Castro</v>
      </c>
      <c r="D365" t="s">
        <v>12</v>
      </c>
      <c r="E365" t="str">
        <f t="shared" si="69"/>
        <v>Female</v>
      </c>
      <c r="F365">
        <v>44</v>
      </c>
      <c r="G365" t="s">
        <v>120</v>
      </c>
      <c r="H365" t="s">
        <v>14</v>
      </c>
      <c r="I365" t="s">
        <v>70</v>
      </c>
      <c r="J365">
        <v>6</v>
      </c>
      <c r="K365" s="4" t="str" cm="1">
        <f t="array" ref="K365">_xlfn.IFS(J365&lt;=5,"0-5",J365&lt;=10,"6-10",J365&lt;=15,"11-15",J365&lt;=20,"16-20",J365&gt;20,"21+")</f>
        <v>6-10</v>
      </c>
      <c r="L365">
        <v>75</v>
      </c>
      <c r="M365" s="2">
        <f>L365</f>
        <v>75</v>
      </c>
      <c r="N365" s="8">
        <f t="shared" si="70"/>
        <v>75</v>
      </c>
      <c r="O365">
        <v>4.5999999999999996</v>
      </c>
      <c r="P365" t="s">
        <v>66</v>
      </c>
      <c r="Q365" t="s">
        <v>2073</v>
      </c>
      <c r="R365">
        <v>72</v>
      </c>
      <c r="S365" s="3">
        <f>R365/100</f>
        <v>0.72</v>
      </c>
    </row>
    <row r="366" spans="1:19" x14ac:dyDescent="0.3">
      <c r="A366" t="s">
        <v>804</v>
      </c>
      <c r="B366" t="s">
        <v>805</v>
      </c>
      <c r="C366" t="str">
        <f t="shared" si="75"/>
        <v>Summer Yoder</v>
      </c>
      <c r="D366" t="s">
        <v>31</v>
      </c>
      <c r="E366" t="str">
        <f t="shared" si="69"/>
        <v>Female</v>
      </c>
      <c r="F366">
        <v>46</v>
      </c>
      <c r="G366" t="s">
        <v>13</v>
      </c>
      <c r="H366" t="s">
        <v>14</v>
      </c>
      <c r="I366" t="s">
        <v>27</v>
      </c>
      <c r="J366">
        <v>26</v>
      </c>
      <c r="K366" s="4" t="str" cm="1">
        <f t="array" ref="K366">_xlfn.IFS(J366&lt;=5,"0-5",J366&lt;=10,"6-10",J366&lt;=15,"11-15",J366&lt;=20,"16-20",J366&gt;20,"21+")</f>
        <v>21+</v>
      </c>
      <c r="L366" t="s">
        <v>221</v>
      </c>
      <c r="M366" s="2" t="str">
        <f>SUBSTITUTE(L366,"$","")</f>
        <v>100</v>
      </c>
      <c r="N366" s="8">
        <f t="shared" si="70"/>
        <v>100</v>
      </c>
      <c r="O366">
        <v>2.1</v>
      </c>
    </row>
    <row r="367" spans="1:19" x14ac:dyDescent="0.3">
      <c r="A367" t="s">
        <v>806</v>
      </c>
      <c r="B367" t="s">
        <v>807</v>
      </c>
      <c r="C367" t="str">
        <f t="shared" si="75"/>
        <v>Jackie Allen</v>
      </c>
      <c r="D367" t="s">
        <v>31</v>
      </c>
      <c r="E367" t="str">
        <f t="shared" si="69"/>
        <v>Female</v>
      </c>
      <c r="F367">
        <v>40</v>
      </c>
      <c r="G367" t="s">
        <v>104</v>
      </c>
      <c r="H367" t="s">
        <v>105</v>
      </c>
      <c r="I367" t="s">
        <v>9</v>
      </c>
      <c r="K367" s="4" t="str" cm="1">
        <f t="array" ref="K367">_xlfn.IFS(J367&lt;=5,"0-5",J367&lt;=10,"6-10",J367&lt;=15,"11-15",J367&lt;=20,"16-20",J367&gt;20,"21+")</f>
        <v>0-5</v>
      </c>
      <c r="L367">
        <v>40</v>
      </c>
      <c r="M367" s="2">
        <f>L367</f>
        <v>40</v>
      </c>
      <c r="N367" s="8">
        <f t="shared" si="70"/>
        <v>40</v>
      </c>
      <c r="O367">
        <v>1.5</v>
      </c>
      <c r="P367" t="b">
        <v>0</v>
      </c>
      <c r="Q367" t="s">
        <v>2072</v>
      </c>
      <c r="R367" s="1">
        <v>0.96</v>
      </c>
      <c r="S367" s="3">
        <f>R367</f>
        <v>0.96</v>
      </c>
    </row>
    <row r="368" spans="1:19" x14ac:dyDescent="0.3">
      <c r="A368" t="s">
        <v>808</v>
      </c>
      <c r="B368" t="s">
        <v>809</v>
      </c>
      <c r="C368" t="str">
        <f t="shared" si="75"/>
        <v>Brandon Williams</v>
      </c>
      <c r="D368" t="s">
        <v>19</v>
      </c>
      <c r="E368" t="str">
        <f t="shared" si="69"/>
        <v>Male</v>
      </c>
      <c r="G368" t="s">
        <v>167</v>
      </c>
      <c r="H368" t="s">
        <v>168</v>
      </c>
      <c r="I368" t="s">
        <v>36</v>
      </c>
      <c r="J368">
        <v>9</v>
      </c>
      <c r="K368" s="4" t="str" cm="1">
        <f t="array" ref="K368">_xlfn.IFS(J368&lt;=5,"0-5",J368&lt;=10,"6-10",J368&lt;=15,"11-15",J368&lt;=20,"16-20",J368&gt;20,"21+")</f>
        <v>6-10</v>
      </c>
      <c r="L368" t="s">
        <v>47</v>
      </c>
      <c r="M368" s="2" t="str">
        <f>TRIM(MID(L368,FIND(" ",L368)+1,LEN(L368)))</f>
        <v>40</v>
      </c>
      <c r="N368" s="8">
        <f t="shared" si="70"/>
        <v>40</v>
      </c>
      <c r="O368">
        <v>1.7</v>
      </c>
      <c r="P368">
        <v>1</v>
      </c>
      <c r="Q368" t="s">
        <v>2073</v>
      </c>
      <c r="R368">
        <v>72</v>
      </c>
      <c r="S368" s="3">
        <f>R368/100</f>
        <v>0.72</v>
      </c>
    </row>
    <row r="369" spans="1:19" x14ac:dyDescent="0.3">
      <c r="A369" t="s">
        <v>810</v>
      </c>
      <c r="B369" t="s">
        <v>811</v>
      </c>
      <c r="C369" t="str">
        <f t="shared" si="75"/>
        <v>Manuel Torres</v>
      </c>
      <c r="D369" t="s">
        <v>84</v>
      </c>
      <c r="E369" t="str">
        <f t="shared" si="69"/>
        <v>Male</v>
      </c>
      <c r="F369">
        <v>31</v>
      </c>
      <c r="G369" t="s">
        <v>77</v>
      </c>
      <c r="H369" t="s">
        <v>78</v>
      </c>
      <c r="I369" t="s">
        <v>43</v>
      </c>
      <c r="J369">
        <v>11</v>
      </c>
      <c r="K369" s="4" t="str" cm="1">
        <f t="array" ref="K369">_xlfn.IFS(J369&lt;=5,"0-5",J369&lt;=10,"6-10",J369&lt;=15,"11-15",J369&lt;=20,"16-20",J369&gt;20,"21+")</f>
        <v>11-15</v>
      </c>
      <c r="N369" s="8" t="str">
        <f t="shared" si="70"/>
        <v/>
      </c>
      <c r="O369">
        <v>3.3</v>
      </c>
      <c r="P369">
        <v>0</v>
      </c>
      <c r="Q369" t="s">
        <v>2072</v>
      </c>
    </row>
    <row r="370" spans="1:19" x14ac:dyDescent="0.3">
      <c r="A370" t="s">
        <v>812</v>
      </c>
      <c r="B370" t="s">
        <v>813</v>
      </c>
      <c r="C370" t="str">
        <f t="shared" si="75"/>
        <v>Scott Keller</v>
      </c>
      <c r="D370" t="s">
        <v>40</v>
      </c>
      <c r="E370" t="str">
        <f t="shared" si="69"/>
        <v>Male</v>
      </c>
      <c r="F370">
        <v>33</v>
      </c>
      <c r="G370" t="s">
        <v>104</v>
      </c>
      <c r="H370" t="s">
        <v>105</v>
      </c>
      <c r="I370" t="s">
        <v>106</v>
      </c>
      <c r="K370" s="4" t="str" cm="1">
        <f t="array" ref="K370">_xlfn.IFS(J370&lt;=5,"0-5",J370&lt;=10,"6-10",J370&lt;=15,"11-15",J370&lt;=20,"16-20",J370&gt;20,"21+")</f>
        <v>0-5</v>
      </c>
      <c r="L370" t="s">
        <v>28</v>
      </c>
      <c r="M370" s="2" t="str">
        <f>SUBSTITUTE(L370,"$","")</f>
        <v>40</v>
      </c>
      <c r="N370" s="8">
        <f t="shared" si="70"/>
        <v>40</v>
      </c>
      <c r="O370">
        <v>4.3</v>
      </c>
      <c r="P370">
        <v>1</v>
      </c>
      <c r="Q370" t="s">
        <v>2073</v>
      </c>
      <c r="R370" s="1">
        <v>0.63</v>
      </c>
      <c r="S370" s="3">
        <f>R370</f>
        <v>0.63</v>
      </c>
    </row>
    <row r="371" spans="1:19" x14ac:dyDescent="0.3">
      <c r="A371" t="s">
        <v>814</v>
      </c>
      <c r="B371" t="s">
        <v>815</v>
      </c>
      <c r="C371" t="str">
        <f t="shared" si="75"/>
        <v>Deborah Brown</v>
      </c>
      <c r="D371" t="s">
        <v>12</v>
      </c>
      <c r="E371" t="str">
        <f t="shared" si="69"/>
        <v>Female</v>
      </c>
      <c r="F371">
        <v>31</v>
      </c>
      <c r="G371" t="s">
        <v>99</v>
      </c>
      <c r="H371" t="s">
        <v>100</v>
      </c>
      <c r="I371" t="s">
        <v>106</v>
      </c>
      <c r="J371">
        <v>3</v>
      </c>
      <c r="K371" s="4" t="str" cm="1">
        <f t="array" ref="K371">_xlfn.IFS(J371&lt;=5,"0-5",J371&lt;=10,"6-10",J371&lt;=15,"11-15",J371&lt;=20,"16-20",J371&gt;20,"21+")</f>
        <v>0-5</v>
      </c>
      <c r="L371" t="s">
        <v>113</v>
      </c>
      <c r="M371" s="2" t="str">
        <f>SUBSTITUTE(L371,"$","")</f>
        <v>20</v>
      </c>
      <c r="N371" s="8">
        <f t="shared" si="70"/>
        <v>20</v>
      </c>
      <c r="P371" t="s">
        <v>23</v>
      </c>
      <c r="Q371" t="s">
        <v>2072</v>
      </c>
    </row>
    <row r="372" spans="1:19" x14ac:dyDescent="0.3">
      <c r="A372" t="s">
        <v>816</v>
      </c>
      <c r="B372" t="s">
        <v>817</v>
      </c>
      <c r="C372" t="str">
        <f t="shared" si="75"/>
        <v>Jennifer Lara</v>
      </c>
      <c r="D372" t="s">
        <v>26</v>
      </c>
      <c r="E372" t="str">
        <f t="shared" si="69"/>
        <v>Female</v>
      </c>
      <c r="F372">
        <v>49</v>
      </c>
      <c r="G372" t="s">
        <v>7</v>
      </c>
      <c r="H372" t="s">
        <v>8</v>
      </c>
      <c r="I372" t="s">
        <v>43</v>
      </c>
      <c r="J372">
        <v>15</v>
      </c>
      <c r="K372" s="4" t="str" cm="1">
        <f t="array" ref="K372">_xlfn.IFS(J372&lt;=5,"0-5",J372&lt;=10,"6-10",J372&lt;=15,"11-15",J372&lt;=20,"16-20",J372&gt;20,"21+")</f>
        <v>11-15</v>
      </c>
      <c r="L372" t="s">
        <v>44</v>
      </c>
      <c r="M372" s="2" t="str">
        <f>TRIM(MID(L372,FIND(" ",L372)+1,LEN(L372)))</f>
        <v>75</v>
      </c>
      <c r="N372" s="8">
        <f t="shared" si="70"/>
        <v>75</v>
      </c>
      <c r="O372">
        <v>2.6</v>
      </c>
      <c r="P372" t="s">
        <v>23</v>
      </c>
      <c r="Q372" t="s">
        <v>2072</v>
      </c>
      <c r="R372" s="1">
        <v>0.83</v>
      </c>
      <c r="S372" s="3">
        <f t="shared" ref="S372:S374" si="78">R372</f>
        <v>0.83</v>
      </c>
    </row>
    <row r="373" spans="1:19" x14ac:dyDescent="0.3">
      <c r="A373" t="s">
        <v>818</v>
      </c>
      <c r="B373" t="s">
        <v>819</v>
      </c>
      <c r="C373" t="str">
        <f t="shared" si="75"/>
        <v>Jason Scott</v>
      </c>
      <c r="D373" t="s">
        <v>19</v>
      </c>
      <c r="E373" t="str">
        <f t="shared" si="69"/>
        <v>Male</v>
      </c>
      <c r="F373">
        <v>35</v>
      </c>
      <c r="G373" t="s">
        <v>171</v>
      </c>
      <c r="H373" t="s">
        <v>64</v>
      </c>
      <c r="I373" t="s">
        <v>22</v>
      </c>
      <c r="J373">
        <v>12</v>
      </c>
      <c r="K373" s="4" t="str" cm="1">
        <f t="array" ref="K373">_xlfn.IFS(J373&lt;=5,"0-5",J373&lt;=10,"6-10",J373&lt;=15,"11-15",J373&lt;=20,"16-20",J373&gt;20,"21+")</f>
        <v>11-15</v>
      </c>
      <c r="L373" t="s">
        <v>306</v>
      </c>
      <c r="M373" s="2" t="str">
        <f>TRIM(MID(L373,FIND(" ",L373)+1,LEN(L373)))</f>
        <v>20</v>
      </c>
      <c r="N373" s="8">
        <f t="shared" si="70"/>
        <v>20</v>
      </c>
      <c r="O373">
        <v>4.0999999999999996</v>
      </c>
      <c r="R373" s="1">
        <v>0.94</v>
      </c>
      <c r="S373" s="3">
        <f t="shared" si="78"/>
        <v>0.94</v>
      </c>
    </row>
    <row r="374" spans="1:19" x14ac:dyDescent="0.3">
      <c r="A374" t="s">
        <v>820</v>
      </c>
      <c r="B374" t="s">
        <v>821</v>
      </c>
      <c r="C374" t="str">
        <f t="shared" si="75"/>
        <v>Gregory Garrison</v>
      </c>
      <c r="D374" t="s">
        <v>84</v>
      </c>
      <c r="E374" t="str">
        <f t="shared" si="69"/>
        <v>Male</v>
      </c>
      <c r="F374">
        <v>45</v>
      </c>
      <c r="G374" t="s">
        <v>85</v>
      </c>
      <c r="H374" t="s">
        <v>86</v>
      </c>
      <c r="I374" t="s">
        <v>43</v>
      </c>
      <c r="J374">
        <v>19</v>
      </c>
      <c r="K374" s="4" t="str" cm="1">
        <f t="array" ref="K374">_xlfn.IFS(J374&lt;=5,"0-5",J374&lt;=10,"6-10",J374&lt;=15,"11-15",J374&lt;=20,"16-20",J374&gt;20,"21+")</f>
        <v>16-20</v>
      </c>
      <c r="L374" t="s">
        <v>28</v>
      </c>
      <c r="M374" s="2" t="str">
        <f>SUBSTITUTE(L374,"$","")</f>
        <v>40</v>
      </c>
      <c r="N374" s="8">
        <f t="shared" si="70"/>
        <v>40</v>
      </c>
      <c r="O374">
        <v>2.2000000000000002</v>
      </c>
      <c r="P374">
        <v>1</v>
      </c>
      <c r="Q374" t="s">
        <v>2073</v>
      </c>
      <c r="R374" s="1">
        <v>0.78</v>
      </c>
      <c r="S374" s="3">
        <f t="shared" si="78"/>
        <v>0.78</v>
      </c>
    </row>
    <row r="375" spans="1:19" x14ac:dyDescent="0.3">
      <c r="A375" t="s">
        <v>822</v>
      </c>
      <c r="B375" t="s">
        <v>823</v>
      </c>
      <c r="C375" t="str">
        <f t="shared" si="75"/>
        <v>Chelsea Anderson</v>
      </c>
      <c r="D375" t="s">
        <v>31</v>
      </c>
      <c r="E375" t="str">
        <f t="shared" si="69"/>
        <v>Female</v>
      </c>
      <c r="F375">
        <v>39</v>
      </c>
      <c r="G375" t="s">
        <v>34</v>
      </c>
      <c r="H375" t="s">
        <v>35</v>
      </c>
      <c r="I375" t="s">
        <v>43</v>
      </c>
      <c r="J375">
        <v>13</v>
      </c>
      <c r="K375" s="4" t="str" cm="1">
        <f t="array" ref="K375">_xlfn.IFS(J375&lt;=5,"0-5",J375&lt;=10,"6-10",J375&lt;=15,"11-15",J375&lt;=20,"16-20",J375&gt;20,"21+")</f>
        <v>11-15</v>
      </c>
      <c r="L375">
        <v>30</v>
      </c>
      <c r="M375" s="2">
        <f>L375</f>
        <v>30</v>
      </c>
      <c r="N375" s="8">
        <f t="shared" si="70"/>
        <v>30</v>
      </c>
      <c r="O375">
        <v>1.1000000000000001</v>
      </c>
      <c r="P375">
        <v>1</v>
      </c>
      <c r="Q375" t="s">
        <v>2073</v>
      </c>
    </row>
    <row r="376" spans="1:19" x14ac:dyDescent="0.3">
      <c r="A376" t="s">
        <v>824</v>
      </c>
      <c r="B376" t="s">
        <v>825</v>
      </c>
      <c r="C376" t="str">
        <f t="shared" si="75"/>
        <v>Gerald Johnson</v>
      </c>
      <c r="D376" t="s">
        <v>53</v>
      </c>
      <c r="E376" t="str">
        <f t="shared" si="69"/>
        <v>Male</v>
      </c>
      <c r="G376" t="s">
        <v>63</v>
      </c>
      <c r="H376" t="s">
        <v>64</v>
      </c>
      <c r="I376" t="s">
        <v>9</v>
      </c>
      <c r="K376" s="4" t="str" cm="1">
        <f t="array" ref="K376">_xlfn.IFS(J376&lt;=5,"0-5",J376&lt;=10,"6-10",J376&lt;=15,"11-15",J376&lt;=20,"16-20",J376&gt;20,"21+")</f>
        <v>0-5</v>
      </c>
      <c r="L376" t="s">
        <v>56</v>
      </c>
      <c r="M376" s="2" t="str">
        <f>SUBSTITUTE(L376,"$","")</f>
        <v>50</v>
      </c>
      <c r="N376" s="8">
        <f t="shared" si="70"/>
        <v>50</v>
      </c>
      <c r="O376">
        <v>2.1</v>
      </c>
      <c r="P376">
        <v>1</v>
      </c>
      <c r="Q376" t="s">
        <v>2073</v>
      </c>
      <c r="R376" s="1">
        <v>0.82</v>
      </c>
      <c r="S376" s="3">
        <f t="shared" ref="S376:S377" si="79">R376</f>
        <v>0.82</v>
      </c>
    </row>
    <row r="377" spans="1:19" x14ac:dyDescent="0.3">
      <c r="A377" t="s">
        <v>826</v>
      </c>
      <c r="B377" t="s">
        <v>827</v>
      </c>
      <c r="C377" t="str">
        <f t="shared" si="75"/>
        <v>Kevin Ellis</v>
      </c>
      <c r="D377" t="s">
        <v>19</v>
      </c>
      <c r="E377" t="str">
        <f t="shared" si="69"/>
        <v>Male</v>
      </c>
      <c r="F377">
        <v>24</v>
      </c>
      <c r="G377" t="s">
        <v>20</v>
      </c>
      <c r="H377" t="s">
        <v>21</v>
      </c>
      <c r="I377" t="s">
        <v>70</v>
      </c>
      <c r="J377">
        <v>3</v>
      </c>
      <c r="K377" s="4" t="str" cm="1">
        <f t="array" ref="K377">_xlfn.IFS(J377&lt;=5,"0-5",J377&lt;=10,"6-10",J377&lt;=15,"11-15",J377&lt;=20,"16-20",J377&gt;20,"21+")</f>
        <v>0-5</v>
      </c>
      <c r="L377" t="s">
        <v>37</v>
      </c>
      <c r="M377" s="2" t="str">
        <f>SUBSTITUTE(L377,"$","")</f>
        <v>30</v>
      </c>
      <c r="N377" s="8">
        <f t="shared" si="70"/>
        <v>30</v>
      </c>
      <c r="O377">
        <v>2.2999999999999998</v>
      </c>
      <c r="P377" t="b">
        <v>0</v>
      </c>
      <c r="Q377" t="s">
        <v>2072</v>
      </c>
      <c r="R377" s="1">
        <v>0.66</v>
      </c>
      <c r="S377" s="3">
        <f t="shared" si="79"/>
        <v>0.66</v>
      </c>
    </row>
    <row r="378" spans="1:19" x14ac:dyDescent="0.3">
      <c r="A378" t="s">
        <v>828</v>
      </c>
      <c r="B378" t="s">
        <v>829</v>
      </c>
      <c r="C378" t="str">
        <f t="shared" si="75"/>
        <v>Mitchell Keller</v>
      </c>
      <c r="D378" t="s">
        <v>89</v>
      </c>
      <c r="E378" t="str">
        <f t="shared" si="69"/>
        <v>Male</v>
      </c>
      <c r="F378">
        <v>50</v>
      </c>
      <c r="G378" t="s">
        <v>13</v>
      </c>
      <c r="H378" t="s">
        <v>14</v>
      </c>
      <c r="I378" t="s">
        <v>22</v>
      </c>
      <c r="J378">
        <v>26</v>
      </c>
      <c r="K378" s="4" t="str" cm="1">
        <f t="array" ref="K378">_xlfn.IFS(J378&lt;=5,"0-5",J378&lt;=10,"6-10",J378&lt;=15,"11-15",J378&lt;=20,"16-20",J378&gt;20,"21+")</f>
        <v>21+</v>
      </c>
      <c r="N378" s="8" t="str">
        <f t="shared" si="70"/>
        <v/>
      </c>
      <c r="O378">
        <v>3.6</v>
      </c>
      <c r="P378">
        <v>1</v>
      </c>
      <c r="Q378" t="s">
        <v>2073</v>
      </c>
      <c r="R378">
        <v>82</v>
      </c>
      <c r="S378" s="3">
        <f>R378/100</f>
        <v>0.82</v>
      </c>
    </row>
    <row r="379" spans="1:19" x14ac:dyDescent="0.3">
      <c r="A379" t="s">
        <v>830</v>
      </c>
      <c r="B379" t="s">
        <v>831</v>
      </c>
      <c r="C379" t="str">
        <f t="shared" si="75"/>
        <v>Mary Brown</v>
      </c>
      <c r="D379" t="s">
        <v>31</v>
      </c>
      <c r="E379" t="str">
        <f t="shared" si="69"/>
        <v>Female</v>
      </c>
      <c r="F379">
        <v>23</v>
      </c>
      <c r="G379" t="s">
        <v>20</v>
      </c>
      <c r="H379" t="s">
        <v>21</v>
      </c>
      <c r="I379" t="s">
        <v>106</v>
      </c>
      <c r="J379">
        <v>4</v>
      </c>
      <c r="K379" s="4" t="str" cm="1">
        <f t="array" ref="K379">_xlfn.IFS(J379&lt;=5,"0-5",J379&lt;=10,"6-10",J379&lt;=15,"11-15",J379&lt;=20,"16-20",J379&gt;20,"21+")</f>
        <v>0-5</v>
      </c>
      <c r="L379" t="s">
        <v>306</v>
      </c>
      <c r="M379" s="2" t="str">
        <f>TRIM(MID(L379,FIND(" ",L379)+1,LEN(L379)))</f>
        <v>20</v>
      </c>
      <c r="N379" s="8">
        <f t="shared" si="70"/>
        <v>20</v>
      </c>
      <c r="O379">
        <v>4.7</v>
      </c>
      <c r="P379" t="b">
        <v>1</v>
      </c>
      <c r="Q379" t="s">
        <v>2073</v>
      </c>
      <c r="R379" s="1">
        <v>0.84</v>
      </c>
      <c r="S379" s="3">
        <f t="shared" ref="S379:S380" si="80">R379</f>
        <v>0.84</v>
      </c>
    </row>
    <row r="380" spans="1:19" x14ac:dyDescent="0.3">
      <c r="A380" t="s">
        <v>832</v>
      </c>
      <c r="B380" t="s">
        <v>833</v>
      </c>
      <c r="C380" t="str">
        <f t="shared" si="75"/>
        <v>Ronald Walls</v>
      </c>
      <c r="D380" t="s">
        <v>53</v>
      </c>
      <c r="E380" t="str">
        <f t="shared" si="69"/>
        <v>Male</v>
      </c>
      <c r="F380">
        <v>27</v>
      </c>
      <c r="G380" t="s">
        <v>120</v>
      </c>
      <c r="H380" t="s">
        <v>14</v>
      </c>
      <c r="I380" t="s">
        <v>70</v>
      </c>
      <c r="J380">
        <v>8</v>
      </c>
      <c r="K380" s="4" t="str" cm="1">
        <f t="array" ref="K380">_xlfn.IFS(J380&lt;=5,"0-5",J380&lt;=10,"6-10",J380&lt;=15,"11-15",J380&lt;=20,"16-20",J380&gt;20,"21+")</f>
        <v>6-10</v>
      </c>
      <c r="L380">
        <v>20</v>
      </c>
      <c r="M380" s="2">
        <f>L380</f>
        <v>20</v>
      </c>
      <c r="N380" s="8">
        <f t="shared" si="70"/>
        <v>20</v>
      </c>
      <c r="O380">
        <v>4.8</v>
      </c>
      <c r="P380" t="s">
        <v>23</v>
      </c>
      <c r="Q380" t="s">
        <v>2072</v>
      </c>
      <c r="R380" s="1">
        <v>0.81</v>
      </c>
      <c r="S380" s="3">
        <f t="shared" si="80"/>
        <v>0.81</v>
      </c>
    </row>
    <row r="381" spans="1:19" x14ac:dyDescent="0.3">
      <c r="A381" t="s">
        <v>834</v>
      </c>
      <c r="B381" t="s">
        <v>835</v>
      </c>
      <c r="C381" t="str">
        <f t="shared" si="75"/>
        <v>Anthony Avila</v>
      </c>
      <c r="D381" t="s">
        <v>89</v>
      </c>
      <c r="E381" t="str">
        <f t="shared" si="69"/>
        <v>Male</v>
      </c>
      <c r="F381">
        <v>58</v>
      </c>
      <c r="G381" t="s">
        <v>145</v>
      </c>
      <c r="H381" t="s">
        <v>146</v>
      </c>
      <c r="I381" t="s">
        <v>36</v>
      </c>
      <c r="J381">
        <v>10</v>
      </c>
      <c r="K381" s="4" t="str" cm="1">
        <f t="array" ref="K381">_xlfn.IFS(J381&lt;=5,"0-5",J381&lt;=10,"6-10",J381&lt;=15,"11-15",J381&lt;=20,"16-20",J381&gt;20,"21+")</f>
        <v>6-10</v>
      </c>
      <c r="L381">
        <v>75</v>
      </c>
      <c r="M381" s="2">
        <f>L381</f>
        <v>75</v>
      </c>
      <c r="N381" s="8">
        <f t="shared" si="70"/>
        <v>75</v>
      </c>
      <c r="O381">
        <v>4.2</v>
      </c>
      <c r="P381" t="s">
        <v>23</v>
      </c>
      <c r="Q381" t="s">
        <v>2072</v>
      </c>
      <c r="R381">
        <v>71</v>
      </c>
      <c r="S381" s="3">
        <f>R381/100</f>
        <v>0.71</v>
      </c>
    </row>
    <row r="382" spans="1:19" x14ac:dyDescent="0.3">
      <c r="A382" t="s">
        <v>836</v>
      </c>
      <c r="B382" t="s">
        <v>837</v>
      </c>
      <c r="C382" t="str">
        <f t="shared" si="75"/>
        <v>Douglas Goodwin</v>
      </c>
      <c r="D382" t="s">
        <v>40</v>
      </c>
      <c r="E382" t="str">
        <f t="shared" si="69"/>
        <v>Male</v>
      </c>
      <c r="F382">
        <v>37</v>
      </c>
      <c r="G382" t="s">
        <v>7</v>
      </c>
      <c r="H382" t="s">
        <v>8</v>
      </c>
      <c r="I382" t="s">
        <v>106</v>
      </c>
      <c r="J382">
        <v>5</v>
      </c>
      <c r="K382" s="4" t="str" cm="1">
        <f t="array" ref="K382">_xlfn.IFS(J382&lt;=5,"0-5",J382&lt;=10,"6-10",J382&lt;=15,"11-15",J382&lt;=20,"16-20",J382&gt;20,"21+")</f>
        <v>0-5</v>
      </c>
      <c r="N382" s="8" t="str">
        <f t="shared" si="70"/>
        <v/>
      </c>
      <c r="O382">
        <v>4.8</v>
      </c>
      <c r="P382">
        <v>1</v>
      </c>
      <c r="Q382" t="s">
        <v>2073</v>
      </c>
      <c r="R382" s="1">
        <v>0.61</v>
      </c>
      <c r="S382" s="3">
        <f t="shared" ref="S382:S388" si="81">R382</f>
        <v>0.61</v>
      </c>
    </row>
    <row r="383" spans="1:19" x14ac:dyDescent="0.3">
      <c r="A383" t="s">
        <v>838</v>
      </c>
      <c r="B383" t="s">
        <v>839</v>
      </c>
      <c r="C383" t="str">
        <f t="shared" si="75"/>
        <v>James Mills</v>
      </c>
      <c r="D383" t="s">
        <v>53</v>
      </c>
      <c r="E383" t="str">
        <f t="shared" si="69"/>
        <v>Male</v>
      </c>
      <c r="F383">
        <v>39</v>
      </c>
      <c r="G383" t="s">
        <v>182</v>
      </c>
      <c r="H383" t="s">
        <v>64</v>
      </c>
      <c r="I383" t="s">
        <v>9</v>
      </c>
      <c r="J383">
        <v>18</v>
      </c>
      <c r="K383" s="4" t="str" cm="1">
        <f t="array" ref="K383">_xlfn.IFS(J383&lt;=5,"0-5",J383&lt;=10,"6-10",J383&lt;=15,"11-15",J383&lt;=20,"16-20",J383&gt;20,"21+")</f>
        <v>16-20</v>
      </c>
      <c r="L383">
        <v>75</v>
      </c>
      <c r="M383" s="2">
        <f>L383</f>
        <v>75</v>
      </c>
      <c r="N383" s="8">
        <f t="shared" si="70"/>
        <v>75</v>
      </c>
      <c r="O383">
        <v>4</v>
      </c>
      <c r="P383">
        <v>1</v>
      </c>
      <c r="Q383" t="s">
        <v>2073</v>
      </c>
      <c r="R383" s="1">
        <v>0.66</v>
      </c>
      <c r="S383" s="3">
        <f t="shared" si="81"/>
        <v>0.66</v>
      </c>
    </row>
    <row r="384" spans="1:19" x14ac:dyDescent="0.3">
      <c r="A384" t="s">
        <v>840</v>
      </c>
      <c r="B384" t="s">
        <v>841</v>
      </c>
      <c r="C384" t="str">
        <f t="shared" si="75"/>
        <v>Nicole Marks</v>
      </c>
      <c r="D384" t="s">
        <v>12</v>
      </c>
      <c r="E384" t="str">
        <f t="shared" si="69"/>
        <v>Female</v>
      </c>
      <c r="F384">
        <v>46</v>
      </c>
      <c r="G384" t="s">
        <v>131</v>
      </c>
      <c r="H384" t="s">
        <v>132</v>
      </c>
      <c r="I384" t="s">
        <v>43</v>
      </c>
      <c r="J384">
        <v>10</v>
      </c>
      <c r="K384" s="4" t="str" cm="1">
        <f t="array" ref="K384">_xlfn.IFS(J384&lt;=5,"0-5",J384&lt;=10,"6-10",J384&lt;=15,"11-15",J384&lt;=20,"16-20",J384&gt;20,"21+")</f>
        <v>6-10</v>
      </c>
      <c r="L384" t="s">
        <v>113</v>
      </c>
      <c r="M384" s="2" t="str">
        <f>SUBSTITUTE(L384,"$","")</f>
        <v>20</v>
      </c>
      <c r="N384" s="8">
        <f t="shared" si="70"/>
        <v>20</v>
      </c>
      <c r="O384">
        <v>2.5</v>
      </c>
      <c r="P384" t="b">
        <v>1</v>
      </c>
      <c r="Q384" t="s">
        <v>2073</v>
      </c>
      <c r="R384" s="1">
        <v>0.97</v>
      </c>
      <c r="S384" s="3">
        <f t="shared" si="81"/>
        <v>0.97</v>
      </c>
    </row>
    <row r="385" spans="1:19" x14ac:dyDescent="0.3">
      <c r="A385" t="s">
        <v>842</v>
      </c>
      <c r="B385" t="s">
        <v>843</v>
      </c>
      <c r="C385" t="str">
        <f t="shared" si="75"/>
        <v>Phyllis Dawson</v>
      </c>
      <c r="D385" t="s">
        <v>69</v>
      </c>
      <c r="E385" t="str">
        <f t="shared" si="69"/>
        <v>Female</v>
      </c>
      <c r="G385" t="s">
        <v>59</v>
      </c>
      <c r="H385" t="s">
        <v>14</v>
      </c>
      <c r="I385" t="s">
        <v>65</v>
      </c>
      <c r="J385">
        <v>0</v>
      </c>
      <c r="K385" s="4" t="str" cm="1">
        <f t="array" ref="K385">_xlfn.IFS(J385&lt;=5,"0-5",J385&lt;=10,"6-10",J385&lt;=15,"11-15",J385&lt;=20,"16-20",J385&gt;20,"21+")</f>
        <v>0-5</v>
      </c>
      <c r="L385" t="s">
        <v>306</v>
      </c>
      <c r="M385" s="2" t="str">
        <f>TRIM(MID(L385,FIND(" ",L385)+1,LEN(L385)))</f>
        <v>20</v>
      </c>
      <c r="N385" s="8">
        <f t="shared" si="70"/>
        <v>20</v>
      </c>
      <c r="O385">
        <v>4.8</v>
      </c>
      <c r="P385">
        <v>0</v>
      </c>
      <c r="Q385" t="s">
        <v>2072</v>
      </c>
      <c r="R385" s="1">
        <v>0.74</v>
      </c>
      <c r="S385" s="3">
        <f t="shared" si="81"/>
        <v>0.74</v>
      </c>
    </row>
    <row r="386" spans="1:19" x14ac:dyDescent="0.3">
      <c r="A386" t="s">
        <v>844</v>
      </c>
      <c r="B386" t="s">
        <v>845</v>
      </c>
      <c r="C386" t="str">
        <f t="shared" si="75"/>
        <v>Renee Arnold</v>
      </c>
      <c r="D386" t="s">
        <v>6</v>
      </c>
      <c r="E386" t="str">
        <f t="shared" ref="E386:E449" si="82">IF(LOWER(LEFT(D386,1))="f","Female","Male")</f>
        <v>Female</v>
      </c>
      <c r="F386">
        <v>39</v>
      </c>
      <c r="G386" t="s">
        <v>171</v>
      </c>
      <c r="H386" t="s">
        <v>64</v>
      </c>
      <c r="I386" t="s">
        <v>9</v>
      </c>
      <c r="J386">
        <v>21</v>
      </c>
      <c r="K386" s="4" t="str" cm="1">
        <f t="array" ref="K386">_xlfn.IFS(J386&lt;=5,"0-5",J386&lt;=10,"6-10",J386&lt;=15,"11-15",J386&lt;=20,"16-20",J386&gt;20,"21+")</f>
        <v>21+</v>
      </c>
      <c r="L386">
        <v>30</v>
      </c>
      <c r="M386" s="2">
        <f>L386</f>
        <v>30</v>
      </c>
      <c r="N386" s="8">
        <f t="shared" si="70"/>
        <v>30</v>
      </c>
      <c r="O386">
        <v>4.7</v>
      </c>
      <c r="P386" t="b">
        <v>0</v>
      </c>
      <c r="Q386" t="s">
        <v>2072</v>
      </c>
      <c r="R386" s="1">
        <v>0.61</v>
      </c>
      <c r="S386" s="3">
        <f t="shared" si="81"/>
        <v>0.61</v>
      </c>
    </row>
    <row r="387" spans="1:19" x14ac:dyDescent="0.3">
      <c r="A387" t="s">
        <v>846</v>
      </c>
      <c r="B387" t="s">
        <v>847</v>
      </c>
      <c r="C387" t="str">
        <f t="shared" si="75"/>
        <v>Eric Robinson</v>
      </c>
      <c r="D387" t="s">
        <v>84</v>
      </c>
      <c r="E387" t="str">
        <f t="shared" si="82"/>
        <v>Male</v>
      </c>
      <c r="F387">
        <v>59</v>
      </c>
      <c r="G387" t="s">
        <v>131</v>
      </c>
      <c r="H387" t="s">
        <v>132</v>
      </c>
      <c r="I387" t="s">
        <v>9</v>
      </c>
      <c r="J387">
        <v>25</v>
      </c>
      <c r="K387" s="4" t="str" cm="1">
        <f t="array" ref="K387">_xlfn.IFS(J387&lt;=5,"0-5",J387&lt;=10,"6-10",J387&lt;=15,"11-15",J387&lt;=20,"16-20",J387&gt;20,"21+")</f>
        <v>21+</v>
      </c>
      <c r="L387">
        <v>20</v>
      </c>
      <c r="M387" s="2">
        <f>L387</f>
        <v>20</v>
      </c>
      <c r="N387" s="8">
        <f t="shared" ref="N387:N450" si="83">IF(M387="", "", VALUE(M387))</f>
        <v>20</v>
      </c>
      <c r="O387">
        <v>4</v>
      </c>
      <c r="P387">
        <v>0</v>
      </c>
      <c r="Q387" t="s">
        <v>2072</v>
      </c>
      <c r="R387" s="1">
        <v>0.9</v>
      </c>
      <c r="S387" s="3">
        <f t="shared" si="81"/>
        <v>0.9</v>
      </c>
    </row>
    <row r="388" spans="1:19" x14ac:dyDescent="0.3">
      <c r="A388" t="s">
        <v>848</v>
      </c>
      <c r="B388" t="s">
        <v>849</v>
      </c>
      <c r="C388" t="str">
        <f t="shared" si="75"/>
        <v>Paul Brown</v>
      </c>
      <c r="D388" t="s">
        <v>40</v>
      </c>
      <c r="E388" t="str">
        <f t="shared" si="82"/>
        <v>Male</v>
      </c>
      <c r="F388">
        <v>21</v>
      </c>
      <c r="G388" t="s">
        <v>34</v>
      </c>
      <c r="H388" t="s">
        <v>35</v>
      </c>
      <c r="I388" t="s">
        <v>81</v>
      </c>
      <c r="J388">
        <v>0</v>
      </c>
      <c r="K388" s="4" t="str" cm="1">
        <f t="array" ref="K388">_xlfn.IFS(J388&lt;=5,"0-5",J388&lt;=10,"6-10",J388&lt;=15,"11-15",J388&lt;=20,"16-20",J388&gt;20,"21+")</f>
        <v>0-5</v>
      </c>
      <c r="L388" t="s">
        <v>28</v>
      </c>
      <c r="M388" s="2" t="str">
        <f>SUBSTITUTE(L388,"$","")</f>
        <v>40</v>
      </c>
      <c r="N388" s="8">
        <f t="shared" si="83"/>
        <v>40</v>
      </c>
      <c r="O388">
        <v>4.0999999999999996</v>
      </c>
      <c r="P388" t="s">
        <v>66</v>
      </c>
      <c r="Q388" t="s">
        <v>2073</v>
      </c>
      <c r="R388" s="1">
        <v>0.97</v>
      </c>
      <c r="S388" s="3">
        <f t="shared" si="81"/>
        <v>0.97</v>
      </c>
    </row>
    <row r="389" spans="1:19" x14ac:dyDescent="0.3">
      <c r="A389" t="s">
        <v>850</v>
      </c>
      <c r="B389" t="s">
        <v>851</v>
      </c>
      <c r="C389" t="str">
        <f t="shared" si="75"/>
        <v>Sarah Proctor</v>
      </c>
      <c r="D389" t="s">
        <v>12</v>
      </c>
      <c r="E389" t="str">
        <f t="shared" si="82"/>
        <v>Female</v>
      </c>
      <c r="F389">
        <v>23</v>
      </c>
      <c r="G389" t="s">
        <v>120</v>
      </c>
      <c r="H389" t="s">
        <v>14</v>
      </c>
      <c r="I389" t="s">
        <v>81</v>
      </c>
      <c r="J389">
        <v>5</v>
      </c>
      <c r="K389" s="4" t="str" cm="1">
        <f t="array" ref="K389">_xlfn.IFS(J389&lt;=5,"0-5",J389&lt;=10,"6-10",J389&lt;=15,"11-15",J389&lt;=20,"16-20",J389&gt;20,"21+")</f>
        <v>0-5</v>
      </c>
      <c r="L389">
        <v>100</v>
      </c>
      <c r="M389" s="2">
        <f>L389</f>
        <v>100</v>
      </c>
      <c r="N389" s="8">
        <f t="shared" si="83"/>
        <v>100</v>
      </c>
      <c r="O389">
        <v>3.2</v>
      </c>
      <c r="P389">
        <v>1</v>
      </c>
      <c r="Q389" t="s">
        <v>2073</v>
      </c>
    </row>
    <row r="390" spans="1:19" x14ac:dyDescent="0.3">
      <c r="A390" t="s">
        <v>852</v>
      </c>
      <c r="B390" t="s">
        <v>853</v>
      </c>
      <c r="C390" t="str">
        <f t="shared" si="75"/>
        <v>Matthew Hicks</v>
      </c>
      <c r="D390" t="s">
        <v>40</v>
      </c>
      <c r="E390" t="str">
        <f t="shared" si="82"/>
        <v>Male</v>
      </c>
      <c r="F390">
        <v>27</v>
      </c>
      <c r="G390" t="s">
        <v>131</v>
      </c>
      <c r="H390" t="s">
        <v>132</v>
      </c>
      <c r="I390" t="s">
        <v>27</v>
      </c>
      <c r="J390">
        <v>1</v>
      </c>
      <c r="K390" s="4" t="str" cm="1">
        <f t="array" ref="K390">_xlfn.IFS(J390&lt;=5,"0-5",J390&lt;=10,"6-10",J390&lt;=15,"11-15",J390&lt;=20,"16-20",J390&gt;20,"21+")</f>
        <v>0-5</v>
      </c>
      <c r="L390">
        <v>20</v>
      </c>
      <c r="M390" s="2">
        <f>L390</f>
        <v>20</v>
      </c>
      <c r="N390" s="8">
        <f t="shared" si="83"/>
        <v>20</v>
      </c>
      <c r="O390">
        <v>4.3</v>
      </c>
      <c r="P390" t="s">
        <v>23</v>
      </c>
      <c r="Q390" t="s">
        <v>2072</v>
      </c>
      <c r="R390" s="1">
        <v>0.76</v>
      </c>
      <c r="S390" s="3">
        <f t="shared" ref="S390:S391" si="84">R390</f>
        <v>0.76</v>
      </c>
    </row>
    <row r="391" spans="1:19" x14ac:dyDescent="0.3">
      <c r="A391" t="s">
        <v>854</v>
      </c>
      <c r="B391" t="s">
        <v>855</v>
      </c>
      <c r="C391" t="str">
        <f t="shared" si="75"/>
        <v>Christopher Black</v>
      </c>
      <c r="D391" t="s">
        <v>40</v>
      </c>
      <c r="E391" t="str">
        <f t="shared" si="82"/>
        <v>Male</v>
      </c>
      <c r="F391">
        <v>27</v>
      </c>
      <c r="G391" t="s">
        <v>167</v>
      </c>
      <c r="H391" t="s">
        <v>168</v>
      </c>
      <c r="I391" t="s">
        <v>70</v>
      </c>
      <c r="J391">
        <v>4</v>
      </c>
      <c r="K391" s="4" t="str" cm="1">
        <f t="array" ref="K391">_xlfn.IFS(J391&lt;=5,"0-5",J391&lt;=10,"6-10",J391&lt;=15,"11-15",J391&lt;=20,"16-20",J391&gt;20,"21+")</f>
        <v>0-5</v>
      </c>
      <c r="L391">
        <v>40</v>
      </c>
      <c r="M391" s="2">
        <f>L391</f>
        <v>40</v>
      </c>
      <c r="N391" s="8">
        <f t="shared" si="83"/>
        <v>40</v>
      </c>
      <c r="O391">
        <v>4.4000000000000004</v>
      </c>
      <c r="P391">
        <v>0</v>
      </c>
      <c r="Q391" t="s">
        <v>2072</v>
      </c>
      <c r="R391" s="1">
        <v>0.92</v>
      </c>
      <c r="S391" s="3">
        <f t="shared" si="84"/>
        <v>0.92</v>
      </c>
    </row>
    <row r="392" spans="1:19" x14ac:dyDescent="0.3">
      <c r="A392" t="s">
        <v>856</v>
      </c>
      <c r="B392" t="s">
        <v>857</v>
      </c>
      <c r="C392" t="str">
        <f t="shared" si="75"/>
        <v>Joanne Reyes</v>
      </c>
      <c r="D392" t="s">
        <v>26</v>
      </c>
      <c r="E392" t="str">
        <f t="shared" si="82"/>
        <v>Female</v>
      </c>
      <c r="F392">
        <v>48</v>
      </c>
      <c r="G392" t="s">
        <v>145</v>
      </c>
      <c r="H392" t="s">
        <v>146</v>
      </c>
      <c r="I392" t="s">
        <v>43</v>
      </c>
      <c r="J392">
        <v>21</v>
      </c>
      <c r="K392" s="4" t="str" cm="1">
        <f t="array" ref="K392">_xlfn.IFS(J392&lt;=5,"0-5",J392&lt;=10,"6-10",J392&lt;=15,"11-15",J392&lt;=20,"16-20",J392&gt;20,"21+")</f>
        <v>21+</v>
      </c>
      <c r="L392">
        <v>40</v>
      </c>
      <c r="M392" s="2">
        <f>L392</f>
        <v>40</v>
      </c>
      <c r="N392" s="8">
        <f t="shared" si="83"/>
        <v>40</v>
      </c>
      <c r="O392">
        <v>2.2999999999999998</v>
      </c>
      <c r="P392">
        <v>0</v>
      </c>
      <c r="Q392" t="s">
        <v>2072</v>
      </c>
    </row>
    <row r="393" spans="1:19" x14ac:dyDescent="0.3">
      <c r="A393" t="s">
        <v>858</v>
      </c>
      <c r="B393" t="s">
        <v>859</v>
      </c>
      <c r="C393" t="str">
        <f t="shared" si="75"/>
        <v>Isaac Gray</v>
      </c>
      <c r="D393" t="s">
        <v>53</v>
      </c>
      <c r="E393" t="str">
        <f t="shared" si="82"/>
        <v>Male</v>
      </c>
      <c r="F393">
        <v>21</v>
      </c>
      <c r="G393" t="s">
        <v>145</v>
      </c>
      <c r="H393" t="s">
        <v>146</v>
      </c>
      <c r="I393" t="s">
        <v>36</v>
      </c>
      <c r="J393">
        <v>1</v>
      </c>
      <c r="K393" s="4" t="str" cm="1">
        <f t="array" ref="K393">_xlfn.IFS(J393&lt;=5,"0-5",J393&lt;=10,"6-10",J393&lt;=15,"11-15",J393&lt;=20,"16-20",J393&gt;20,"21+")</f>
        <v>0-5</v>
      </c>
      <c r="L393" t="s">
        <v>113</v>
      </c>
      <c r="M393" s="2" t="str">
        <f>SUBSTITUTE(L393,"$","")</f>
        <v>20</v>
      </c>
      <c r="N393" s="8">
        <f t="shared" si="83"/>
        <v>20</v>
      </c>
      <c r="O393">
        <v>2.4</v>
      </c>
      <c r="P393">
        <v>1</v>
      </c>
      <c r="Q393" t="s">
        <v>2073</v>
      </c>
      <c r="R393" s="1">
        <v>0.66</v>
      </c>
      <c r="S393" s="3">
        <f t="shared" ref="S393:S394" si="85">R393</f>
        <v>0.66</v>
      </c>
    </row>
    <row r="394" spans="1:19" x14ac:dyDescent="0.3">
      <c r="A394" t="s">
        <v>860</v>
      </c>
      <c r="B394" t="s">
        <v>861</v>
      </c>
      <c r="C394" t="str">
        <f t="shared" si="75"/>
        <v>Joshua Roberts</v>
      </c>
      <c r="D394" t="s">
        <v>40</v>
      </c>
      <c r="E394" t="str">
        <f t="shared" si="82"/>
        <v>Male</v>
      </c>
      <c r="F394">
        <v>37</v>
      </c>
      <c r="G394" t="s">
        <v>7</v>
      </c>
      <c r="H394" t="s">
        <v>8</v>
      </c>
      <c r="I394" t="s">
        <v>81</v>
      </c>
      <c r="K394" s="4" t="str" cm="1">
        <f t="array" ref="K394">_xlfn.IFS(J394&lt;=5,"0-5",J394&lt;=10,"6-10",J394&lt;=15,"11-15",J394&lt;=20,"16-20",J394&gt;20,"21+")</f>
        <v>0-5</v>
      </c>
      <c r="L394">
        <v>50</v>
      </c>
      <c r="M394" s="2">
        <f>L394</f>
        <v>50</v>
      </c>
      <c r="N394" s="8">
        <f t="shared" si="83"/>
        <v>50</v>
      </c>
      <c r="O394">
        <v>4.5999999999999996</v>
      </c>
      <c r="P394">
        <v>0</v>
      </c>
      <c r="Q394" t="s">
        <v>2072</v>
      </c>
      <c r="R394" s="1">
        <v>0.83</v>
      </c>
      <c r="S394" s="3">
        <f t="shared" si="85"/>
        <v>0.83</v>
      </c>
    </row>
    <row r="395" spans="1:19" x14ac:dyDescent="0.3">
      <c r="A395" t="s">
        <v>862</v>
      </c>
      <c r="B395" t="s">
        <v>863</v>
      </c>
      <c r="C395" t="str">
        <f t="shared" si="75"/>
        <v>Elizabeth Estrada</v>
      </c>
      <c r="D395" t="s">
        <v>26</v>
      </c>
      <c r="E395" t="str">
        <f t="shared" si="82"/>
        <v>Female</v>
      </c>
      <c r="F395">
        <v>31</v>
      </c>
      <c r="G395" t="s">
        <v>20</v>
      </c>
      <c r="H395" t="s">
        <v>21</v>
      </c>
      <c r="I395" t="s">
        <v>65</v>
      </c>
      <c r="J395">
        <v>10</v>
      </c>
      <c r="K395" s="4" t="str" cm="1">
        <f t="array" ref="K395">_xlfn.IFS(J395&lt;=5,"0-5",J395&lt;=10,"6-10",J395&lt;=15,"11-15",J395&lt;=20,"16-20",J395&gt;20,"21+")</f>
        <v>6-10</v>
      </c>
      <c r="L395">
        <v>50</v>
      </c>
      <c r="M395" s="2">
        <f>L395</f>
        <v>50</v>
      </c>
      <c r="N395" s="8">
        <f t="shared" si="83"/>
        <v>50</v>
      </c>
      <c r="O395">
        <v>0</v>
      </c>
      <c r="P395" t="s">
        <v>151</v>
      </c>
      <c r="Q395" t="s">
        <v>2072</v>
      </c>
    </row>
    <row r="396" spans="1:19" x14ac:dyDescent="0.3">
      <c r="A396" t="s">
        <v>864</v>
      </c>
      <c r="B396" t="s">
        <v>865</v>
      </c>
      <c r="C396" t="str">
        <f t="shared" si="75"/>
        <v>Lori Malone</v>
      </c>
      <c r="D396" t="s">
        <v>6</v>
      </c>
      <c r="E396" t="str">
        <f t="shared" si="82"/>
        <v>Female</v>
      </c>
      <c r="F396">
        <v>41</v>
      </c>
      <c r="G396" t="s">
        <v>131</v>
      </c>
      <c r="H396" t="s">
        <v>132</v>
      </c>
      <c r="I396" t="s">
        <v>9</v>
      </c>
      <c r="J396">
        <v>21</v>
      </c>
      <c r="K396" s="4" t="str" cm="1">
        <f t="array" ref="K396">_xlfn.IFS(J396&lt;=5,"0-5",J396&lt;=10,"6-10",J396&lt;=15,"11-15",J396&lt;=20,"16-20",J396&gt;20,"21+")</f>
        <v>21+</v>
      </c>
      <c r="N396" s="8" t="str">
        <f t="shared" si="83"/>
        <v/>
      </c>
      <c r="O396">
        <v>0</v>
      </c>
      <c r="P396" t="s">
        <v>66</v>
      </c>
      <c r="Q396" t="s">
        <v>2073</v>
      </c>
    </row>
    <row r="397" spans="1:19" x14ac:dyDescent="0.3">
      <c r="A397" t="s">
        <v>866</v>
      </c>
      <c r="B397" t="s">
        <v>867</v>
      </c>
      <c r="C397" t="str">
        <f t="shared" si="75"/>
        <v>Anthony Huynh MD</v>
      </c>
      <c r="D397" t="s">
        <v>19</v>
      </c>
      <c r="E397" t="str">
        <f t="shared" si="82"/>
        <v>Male</v>
      </c>
      <c r="F397">
        <v>31</v>
      </c>
      <c r="G397" t="s">
        <v>116</v>
      </c>
      <c r="H397" t="s">
        <v>117</v>
      </c>
      <c r="I397" t="s">
        <v>70</v>
      </c>
      <c r="J397">
        <v>0</v>
      </c>
      <c r="K397" s="4" t="str" cm="1">
        <f t="array" ref="K397">_xlfn.IFS(J397&lt;=5,"0-5",J397&lt;=10,"6-10",J397&lt;=15,"11-15",J397&lt;=20,"16-20",J397&gt;20,"21+")</f>
        <v>0-5</v>
      </c>
      <c r="L397" t="s">
        <v>113</v>
      </c>
      <c r="M397" s="2" t="str">
        <f>SUBSTITUTE(L397,"$","")</f>
        <v>20</v>
      </c>
      <c r="N397" s="8">
        <f t="shared" si="83"/>
        <v>20</v>
      </c>
      <c r="O397">
        <v>4.2</v>
      </c>
      <c r="P397" t="s">
        <v>66</v>
      </c>
      <c r="Q397" t="s">
        <v>2073</v>
      </c>
      <c r="R397">
        <v>82</v>
      </c>
      <c r="S397" s="3">
        <f>R397/100</f>
        <v>0.82</v>
      </c>
    </row>
    <row r="398" spans="1:19" x14ac:dyDescent="0.3">
      <c r="A398" t="s">
        <v>868</v>
      </c>
      <c r="B398" t="s">
        <v>869</v>
      </c>
      <c r="C398" t="str">
        <f t="shared" si="75"/>
        <v>Mindy York</v>
      </c>
      <c r="D398" t="s">
        <v>12</v>
      </c>
      <c r="E398" t="str">
        <f t="shared" si="82"/>
        <v>Female</v>
      </c>
      <c r="F398">
        <v>58</v>
      </c>
      <c r="G398" t="s">
        <v>63</v>
      </c>
      <c r="H398" t="s">
        <v>64</v>
      </c>
      <c r="I398" t="s">
        <v>43</v>
      </c>
      <c r="J398">
        <v>0</v>
      </c>
      <c r="K398" s="4" t="str" cm="1">
        <f t="array" ref="K398">_xlfn.IFS(J398&lt;=5,"0-5",J398&lt;=10,"6-10",J398&lt;=15,"11-15",J398&lt;=20,"16-20",J398&gt;20,"21+")</f>
        <v>0-5</v>
      </c>
      <c r="L398">
        <v>50</v>
      </c>
      <c r="M398" s="2">
        <f>L398</f>
        <v>50</v>
      </c>
      <c r="N398" s="8">
        <f t="shared" si="83"/>
        <v>50</v>
      </c>
      <c r="O398">
        <v>2.2999999999999998</v>
      </c>
      <c r="P398">
        <v>0</v>
      </c>
      <c r="Q398" t="s">
        <v>2072</v>
      </c>
      <c r="R398" s="1">
        <v>0.77</v>
      </c>
      <c r="S398" s="3">
        <f t="shared" ref="S398:S405" si="86">R398</f>
        <v>0.77</v>
      </c>
    </row>
    <row r="399" spans="1:19" x14ac:dyDescent="0.3">
      <c r="A399" t="s">
        <v>870</v>
      </c>
      <c r="B399" t="s">
        <v>871</v>
      </c>
      <c r="C399" t="str">
        <f>TRIM(MID(B399,FIND(" ",B399)+1,LEN(B399)))</f>
        <v>Christine Cherry</v>
      </c>
      <c r="D399" t="s">
        <v>6</v>
      </c>
      <c r="E399" t="str">
        <f t="shared" si="82"/>
        <v>Female</v>
      </c>
      <c r="F399">
        <v>45</v>
      </c>
      <c r="G399" t="s">
        <v>34</v>
      </c>
      <c r="H399" t="s">
        <v>35</v>
      </c>
      <c r="I399" t="s">
        <v>43</v>
      </c>
      <c r="J399">
        <v>17</v>
      </c>
      <c r="K399" s="4" t="str" cm="1">
        <f t="array" ref="K399">_xlfn.IFS(J399&lt;=5,"0-5",J399&lt;=10,"6-10",J399&lt;=15,"11-15",J399&lt;=20,"16-20",J399&gt;20,"21+")</f>
        <v>16-20</v>
      </c>
      <c r="L399" t="s">
        <v>56</v>
      </c>
      <c r="M399" s="2" t="str">
        <f>SUBSTITUTE(L399,"$","")</f>
        <v>50</v>
      </c>
      <c r="N399" s="8">
        <f t="shared" si="83"/>
        <v>50</v>
      </c>
      <c r="O399">
        <v>4.7</v>
      </c>
      <c r="P399">
        <v>1</v>
      </c>
      <c r="Q399" t="s">
        <v>2073</v>
      </c>
      <c r="R399" s="1">
        <v>0.73</v>
      </c>
      <c r="S399" s="3">
        <f t="shared" si="86"/>
        <v>0.73</v>
      </c>
    </row>
    <row r="400" spans="1:19" x14ac:dyDescent="0.3">
      <c r="A400" t="s">
        <v>872</v>
      </c>
      <c r="B400" t="s">
        <v>873</v>
      </c>
      <c r="C400" t="str">
        <f>B400</f>
        <v>Daniel Foster</v>
      </c>
      <c r="D400" t="s">
        <v>40</v>
      </c>
      <c r="E400" t="str">
        <f t="shared" si="82"/>
        <v>Male</v>
      </c>
      <c r="F400">
        <v>51</v>
      </c>
      <c r="G400" t="s">
        <v>104</v>
      </c>
      <c r="H400" t="s">
        <v>105</v>
      </c>
      <c r="I400" t="s">
        <v>70</v>
      </c>
      <c r="J400">
        <v>5</v>
      </c>
      <c r="K400" s="4" t="str" cm="1">
        <f t="array" ref="K400">_xlfn.IFS(J400&lt;=5,"0-5",J400&lt;=10,"6-10",J400&lt;=15,"11-15",J400&lt;=20,"16-20",J400&gt;20,"21+")</f>
        <v>0-5</v>
      </c>
      <c r="N400" s="8" t="str">
        <f t="shared" si="83"/>
        <v/>
      </c>
      <c r="O400">
        <v>3</v>
      </c>
      <c r="P400">
        <v>1</v>
      </c>
      <c r="Q400" t="s">
        <v>2073</v>
      </c>
      <c r="R400" s="1">
        <v>0.88</v>
      </c>
      <c r="S400" s="3">
        <f t="shared" si="86"/>
        <v>0.88</v>
      </c>
    </row>
    <row r="401" spans="1:19" x14ac:dyDescent="0.3">
      <c r="A401" t="s">
        <v>874</v>
      </c>
      <c r="B401" t="s">
        <v>875</v>
      </c>
      <c r="C401" t="str">
        <f>TRIM(MID(B401,FIND(" ",B401)+1,LEN(B401)))</f>
        <v>David Valencia</v>
      </c>
      <c r="D401" t="s">
        <v>53</v>
      </c>
      <c r="E401" t="str">
        <f t="shared" si="82"/>
        <v>Male</v>
      </c>
      <c r="F401">
        <v>54</v>
      </c>
      <c r="G401" t="s">
        <v>50</v>
      </c>
      <c r="H401" t="s">
        <v>14</v>
      </c>
      <c r="I401" t="s">
        <v>65</v>
      </c>
      <c r="J401">
        <v>3</v>
      </c>
      <c r="K401" s="4" t="str" cm="1">
        <f t="array" ref="K401">_xlfn.IFS(J401&lt;=5,"0-5",J401&lt;=10,"6-10",J401&lt;=15,"11-15",J401&lt;=20,"16-20",J401&gt;20,"21+")</f>
        <v>0-5</v>
      </c>
      <c r="L401" t="s">
        <v>101</v>
      </c>
      <c r="M401" s="2" t="str">
        <f>TRIM(MID(L401,FIND(" ",L401)+1,LEN(L401)))</f>
        <v>30</v>
      </c>
      <c r="N401" s="8">
        <f t="shared" si="83"/>
        <v>30</v>
      </c>
      <c r="O401">
        <v>2.4</v>
      </c>
      <c r="P401">
        <v>0</v>
      </c>
      <c r="Q401" t="s">
        <v>2072</v>
      </c>
      <c r="R401" s="1">
        <v>0.81</v>
      </c>
      <c r="S401" s="3">
        <f t="shared" si="86"/>
        <v>0.81</v>
      </c>
    </row>
    <row r="402" spans="1:19" x14ac:dyDescent="0.3">
      <c r="A402" t="s">
        <v>876</v>
      </c>
      <c r="B402" t="s">
        <v>877</v>
      </c>
      <c r="C402" t="str">
        <f t="shared" ref="C402:C432" si="87">B402</f>
        <v>Ethan Adams</v>
      </c>
      <c r="D402" t="s">
        <v>84</v>
      </c>
      <c r="E402" t="str">
        <f t="shared" si="82"/>
        <v>Male</v>
      </c>
      <c r="F402">
        <v>22</v>
      </c>
      <c r="G402" t="s">
        <v>116</v>
      </c>
      <c r="H402" t="s">
        <v>117</v>
      </c>
      <c r="I402" t="s">
        <v>43</v>
      </c>
      <c r="J402">
        <v>1</v>
      </c>
      <c r="K402" s="4" t="str" cm="1">
        <f t="array" ref="K402">_xlfn.IFS(J402&lt;=5,"0-5",J402&lt;=10,"6-10",J402&lt;=15,"11-15",J402&lt;=20,"16-20",J402&gt;20,"21+")</f>
        <v>0-5</v>
      </c>
      <c r="L402">
        <v>20</v>
      </c>
      <c r="M402" s="2">
        <f>L402</f>
        <v>20</v>
      </c>
      <c r="N402" s="8">
        <f t="shared" si="83"/>
        <v>20</v>
      </c>
      <c r="O402">
        <v>1.7</v>
      </c>
      <c r="P402" t="s">
        <v>23</v>
      </c>
      <c r="Q402" t="s">
        <v>2072</v>
      </c>
      <c r="R402" s="1">
        <v>0.78</v>
      </c>
      <c r="S402" s="3">
        <f t="shared" si="86"/>
        <v>0.78</v>
      </c>
    </row>
    <row r="403" spans="1:19" x14ac:dyDescent="0.3">
      <c r="A403" t="s">
        <v>878</v>
      </c>
      <c r="B403" t="s">
        <v>879</v>
      </c>
      <c r="C403" t="str">
        <f t="shared" si="87"/>
        <v>Brett Moore</v>
      </c>
      <c r="D403" t="s">
        <v>84</v>
      </c>
      <c r="E403" t="str">
        <f t="shared" si="82"/>
        <v>Male</v>
      </c>
      <c r="F403">
        <v>36</v>
      </c>
      <c r="G403" t="s">
        <v>54</v>
      </c>
      <c r="H403" t="s">
        <v>55</v>
      </c>
      <c r="I403" t="s">
        <v>70</v>
      </c>
      <c r="J403">
        <v>2</v>
      </c>
      <c r="K403" s="4" t="str" cm="1">
        <f t="array" ref="K403">_xlfn.IFS(J403&lt;=5,"0-5",J403&lt;=10,"6-10",J403&lt;=15,"11-15",J403&lt;=20,"16-20",J403&gt;20,"21+")</f>
        <v>0-5</v>
      </c>
      <c r="L403">
        <v>75</v>
      </c>
      <c r="M403" s="2">
        <f>L403</f>
        <v>75</v>
      </c>
      <c r="N403" s="8">
        <f t="shared" si="83"/>
        <v>75</v>
      </c>
      <c r="O403">
        <v>0</v>
      </c>
      <c r="P403" t="b">
        <v>0</v>
      </c>
      <c r="Q403" t="s">
        <v>2072</v>
      </c>
      <c r="R403" s="1">
        <v>0.92</v>
      </c>
      <c r="S403" s="3">
        <f t="shared" si="86"/>
        <v>0.92</v>
      </c>
    </row>
    <row r="404" spans="1:19" x14ac:dyDescent="0.3">
      <c r="A404" t="s">
        <v>880</v>
      </c>
      <c r="B404" t="s">
        <v>881</v>
      </c>
      <c r="C404" t="str">
        <f t="shared" si="87"/>
        <v>Phillip Griffin</v>
      </c>
      <c r="D404" t="s">
        <v>53</v>
      </c>
      <c r="E404" t="str">
        <f t="shared" si="82"/>
        <v>Male</v>
      </c>
      <c r="F404">
        <v>50</v>
      </c>
      <c r="G404" t="s">
        <v>20</v>
      </c>
      <c r="H404" t="s">
        <v>21</v>
      </c>
      <c r="I404" t="s">
        <v>81</v>
      </c>
      <c r="J404">
        <v>32</v>
      </c>
      <c r="K404" s="4" t="str" cm="1">
        <f t="array" ref="K404">_xlfn.IFS(J404&lt;=5,"0-5",J404&lt;=10,"6-10",J404&lt;=15,"11-15",J404&lt;=20,"16-20",J404&gt;20,"21+")</f>
        <v>21+</v>
      </c>
      <c r="L404" t="s">
        <v>37</v>
      </c>
      <c r="M404" s="2" t="str">
        <f>SUBSTITUTE(L404,"$","")</f>
        <v>30</v>
      </c>
      <c r="N404" s="8">
        <f t="shared" si="83"/>
        <v>30</v>
      </c>
      <c r="P404">
        <v>0</v>
      </c>
      <c r="Q404" t="s">
        <v>2072</v>
      </c>
      <c r="R404" s="1">
        <v>0.64</v>
      </c>
      <c r="S404" s="3">
        <f t="shared" si="86"/>
        <v>0.64</v>
      </c>
    </row>
    <row r="405" spans="1:19" x14ac:dyDescent="0.3">
      <c r="A405" t="s">
        <v>882</v>
      </c>
      <c r="B405" t="s">
        <v>883</v>
      </c>
      <c r="C405" t="str">
        <f t="shared" si="87"/>
        <v>Stacie Wall</v>
      </c>
      <c r="D405" t="s">
        <v>69</v>
      </c>
      <c r="E405" t="str">
        <f t="shared" si="82"/>
        <v>Female</v>
      </c>
      <c r="F405">
        <v>41</v>
      </c>
      <c r="G405" t="s">
        <v>13</v>
      </c>
      <c r="H405" t="s">
        <v>14</v>
      </c>
      <c r="I405" t="s">
        <v>9</v>
      </c>
      <c r="J405">
        <v>14</v>
      </c>
      <c r="K405" s="4" t="str" cm="1">
        <f t="array" ref="K405">_xlfn.IFS(J405&lt;=5,"0-5",J405&lt;=10,"6-10",J405&lt;=15,"11-15",J405&lt;=20,"16-20",J405&gt;20,"21+")</f>
        <v>11-15</v>
      </c>
      <c r="L405">
        <v>30</v>
      </c>
      <c r="M405" s="2">
        <f>L405</f>
        <v>30</v>
      </c>
      <c r="N405" s="8">
        <f t="shared" si="83"/>
        <v>30</v>
      </c>
      <c r="O405">
        <v>0</v>
      </c>
      <c r="P405" t="s">
        <v>66</v>
      </c>
      <c r="Q405" t="s">
        <v>2073</v>
      </c>
      <c r="R405" s="1">
        <v>0.78</v>
      </c>
      <c r="S405" s="3">
        <f t="shared" si="86"/>
        <v>0.78</v>
      </c>
    </row>
    <row r="406" spans="1:19" x14ac:dyDescent="0.3">
      <c r="A406" t="s">
        <v>884</v>
      </c>
      <c r="B406" t="s">
        <v>885</v>
      </c>
      <c r="C406" t="str">
        <f t="shared" si="87"/>
        <v>Jacob Austin</v>
      </c>
      <c r="D406" t="s">
        <v>84</v>
      </c>
      <c r="E406" t="str">
        <f t="shared" si="82"/>
        <v>Male</v>
      </c>
      <c r="G406" t="s">
        <v>145</v>
      </c>
      <c r="H406" t="s">
        <v>146</v>
      </c>
      <c r="I406" t="s">
        <v>27</v>
      </c>
      <c r="J406">
        <v>10</v>
      </c>
      <c r="K406" s="4" t="str" cm="1">
        <f t="array" ref="K406">_xlfn.IFS(J406&lt;=5,"0-5",J406&lt;=10,"6-10",J406&lt;=15,"11-15",J406&lt;=20,"16-20",J406&gt;20,"21+")</f>
        <v>6-10</v>
      </c>
      <c r="L406">
        <v>20</v>
      </c>
      <c r="M406" s="2">
        <f>L406</f>
        <v>20</v>
      </c>
      <c r="N406" s="8">
        <f t="shared" si="83"/>
        <v>20</v>
      </c>
      <c r="O406">
        <v>1.8</v>
      </c>
      <c r="P406" t="s">
        <v>60</v>
      </c>
      <c r="Q406" t="s">
        <v>2073</v>
      </c>
      <c r="R406">
        <v>85</v>
      </c>
      <c r="S406" s="3">
        <f>R406/100</f>
        <v>0.85</v>
      </c>
    </row>
    <row r="407" spans="1:19" x14ac:dyDescent="0.3">
      <c r="A407" t="s">
        <v>886</v>
      </c>
      <c r="B407" t="s">
        <v>887</v>
      </c>
      <c r="C407" t="str">
        <f t="shared" si="87"/>
        <v>Sabrina Davidson</v>
      </c>
      <c r="D407" t="s">
        <v>12</v>
      </c>
      <c r="E407" t="str">
        <f t="shared" si="82"/>
        <v>Female</v>
      </c>
      <c r="F407">
        <v>51</v>
      </c>
      <c r="G407" t="s">
        <v>34</v>
      </c>
      <c r="H407" t="s">
        <v>35</v>
      </c>
      <c r="I407" t="s">
        <v>70</v>
      </c>
      <c r="J407">
        <v>27</v>
      </c>
      <c r="K407" s="4" t="str" cm="1">
        <f t="array" ref="K407">_xlfn.IFS(J407&lt;=5,"0-5",J407&lt;=10,"6-10",J407&lt;=15,"11-15",J407&lt;=20,"16-20",J407&gt;20,"21+")</f>
        <v>21+</v>
      </c>
      <c r="L407" t="s">
        <v>56</v>
      </c>
      <c r="M407" s="2" t="str">
        <f>SUBSTITUTE(L407,"$","")</f>
        <v>50</v>
      </c>
      <c r="N407" s="8">
        <f t="shared" si="83"/>
        <v>50</v>
      </c>
      <c r="O407">
        <v>0</v>
      </c>
      <c r="P407" t="s">
        <v>151</v>
      </c>
      <c r="Q407" t="s">
        <v>2072</v>
      </c>
      <c r="R407" s="1">
        <v>0.78</v>
      </c>
      <c r="S407" s="3">
        <f t="shared" ref="S407:S413" si="88">R407</f>
        <v>0.78</v>
      </c>
    </row>
    <row r="408" spans="1:19" x14ac:dyDescent="0.3">
      <c r="A408" t="s">
        <v>888</v>
      </c>
      <c r="B408" t="s">
        <v>889</v>
      </c>
      <c r="C408" t="str">
        <f t="shared" si="87"/>
        <v>Dustin Douglas</v>
      </c>
      <c r="D408" t="s">
        <v>19</v>
      </c>
      <c r="E408" t="str">
        <f t="shared" si="82"/>
        <v>Male</v>
      </c>
      <c r="F408">
        <v>21</v>
      </c>
      <c r="G408" t="s">
        <v>127</v>
      </c>
      <c r="H408" t="s">
        <v>128</v>
      </c>
      <c r="I408" t="s">
        <v>36</v>
      </c>
      <c r="J408">
        <v>2</v>
      </c>
      <c r="K408" s="4" t="str" cm="1">
        <f t="array" ref="K408">_xlfn.IFS(J408&lt;=5,"0-5",J408&lt;=10,"6-10",J408&lt;=15,"11-15",J408&lt;=20,"16-20",J408&gt;20,"21+")</f>
        <v>0-5</v>
      </c>
      <c r="L408" t="s">
        <v>37</v>
      </c>
      <c r="M408" s="2" t="str">
        <f>SUBSTITUTE(L408,"$","")</f>
        <v>30</v>
      </c>
      <c r="N408" s="8">
        <f t="shared" si="83"/>
        <v>30</v>
      </c>
      <c r="O408">
        <v>3.8</v>
      </c>
      <c r="P408">
        <v>1</v>
      </c>
      <c r="Q408" t="s">
        <v>2073</v>
      </c>
      <c r="R408" s="1">
        <v>0.98</v>
      </c>
      <c r="S408" s="3">
        <f t="shared" si="88"/>
        <v>0.98</v>
      </c>
    </row>
    <row r="409" spans="1:19" x14ac:dyDescent="0.3">
      <c r="A409" t="s">
        <v>890</v>
      </c>
      <c r="B409" t="s">
        <v>891</v>
      </c>
      <c r="C409" t="str">
        <f t="shared" si="87"/>
        <v>Steven Norris</v>
      </c>
      <c r="D409" t="s">
        <v>53</v>
      </c>
      <c r="E409" t="str">
        <f t="shared" si="82"/>
        <v>Male</v>
      </c>
      <c r="F409">
        <v>51</v>
      </c>
      <c r="G409" t="s">
        <v>77</v>
      </c>
      <c r="H409" t="s">
        <v>78</v>
      </c>
      <c r="I409" t="s">
        <v>36</v>
      </c>
      <c r="J409">
        <v>33</v>
      </c>
      <c r="K409" s="4" t="str" cm="1">
        <f t="array" ref="K409">_xlfn.IFS(J409&lt;=5,"0-5",J409&lt;=10,"6-10",J409&lt;=15,"11-15",J409&lt;=20,"16-20",J409&gt;20,"21+")</f>
        <v>21+</v>
      </c>
      <c r="L409" t="s">
        <v>47</v>
      </c>
      <c r="M409" s="2" t="str">
        <f>TRIM(MID(L409,FIND(" ",L409)+1,LEN(L409)))</f>
        <v>40</v>
      </c>
      <c r="N409" s="8">
        <f t="shared" si="83"/>
        <v>40</v>
      </c>
      <c r="O409">
        <v>0</v>
      </c>
      <c r="P409" t="s">
        <v>66</v>
      </c>
      <c r="Q409" t="s">
        <v>2073</v>
      </c>
      <c r="R409" s="1">
        <v>0.63</v>
      </c>
      <c r="S409" s="3">
        <f t="shared" si="88"/>
        <v>0.63</v>
      </c>
    </row>
    <row r="410" spans="1:19" x14ac:dyDescent="0.3">
      <c r="A410" t="s">
        <v>892</v>
      </c>
      <c r="B410" t="s">
        <v>893</v>
      </c>
      <c r="C410" t="str">
        <f t="shared" si="87"/>
        <v>Mindy Sullivan</v>
      </c>
      <c r="D410" t="s">
        <v>31</v>
      </c>
      <c r="E410" t="str">
        <f t="shared" si="82"/>
        <v>Female</v>
      </c>
      <c r="F410">
        <v>37</v>
      </c>
      <c r="G410" t="s">
        <v>41</v>
      </c>
      <c r="H410" t="s">
        <v>42</v>
      </c>
      <c r="I410" t="s">
        <v>22</v>
      </c>
      <c r="J410">
        <v>11</v>
      </c>
      <c r="K410" s="4" t="str" cm="1">
        <f t="array" ref="K410">_xlfn.IFS(J410&lt;=5,"0-5",J410&lt;=10,"6-10",J410&lt;=15,"11-15",J410&lt;=20,"16-20",J410&gt;20,"21+")</f>
        <v>11-15</v>
      </c>
      <c r="L410" t="s">
        <v>47</v>
      </c>
      <c r="M410" s="2" t="str">
        <f>TRIM(MID(L410,FIND(" ",L410)+1,LEN(L410)))</f>
        <v>40</v>
      </c>
      <c r="N410" s="8">
        <f t="shared" si="83"/>
        <v>40</v>
      </c>
      <c r="O410">
        <v>3.6</v>
      </c>
      <c r="P410" t="s">
        <v>23</v>
      </c>
      <c r="Q410" t="s">
        <v>2072</v>
      </c>
      <c r="R410" s="1">
        <v>0.73</v>
      </c>
      <c r="S410" s="3">
        <f t="shared" si="88"/>
        <v>0.73</v>
      </c>
    </row>
    <row r="411" spans="1:19" x14ac:dyDescent="0.3">
      <c r="A411" t="s">
        <v>894</v>
      </c>
      <c r="B411" t="s">
        <v>895</v>
      </c>
      <c r="C411" t="str">
        <f t="shared" si="87"/>
        <v>Elizabeth Stone</v>
      </c>
      <c r="D411" t="s">
        <v>6</v>
      </c>
      <c r="E411" t="str">
        <f t="shared" si="82"/>
        <v>Female</v>
      </c>
      <c r="F411">
        <v>20</v>
      </c>
      <c r="G411" t="s">
        <v>182</v>
      </c>
      <c r="H411" t="s">
        <v>64</v>
      </c>
      <c r="I411" t="s">
        <v>22</v>
      </c>
      <c r="J411">
        <v>2</v>
      </c>
      <c r="K411" s="4" t="str" cm="1">
        <f t="array" ref="K411">_xlfn.IFS(J411&lt;=5,"0-5",J411&lt;=10,"6-10",J411&lt;=15,"11-15",J411&lt;=20,"16-20",J411&gt;20,"21+")</f>
        <v>0-5</v>
      </c>
      <c r="L411">
        <v>30</v>
      </c>
      <c r="M411" s="2">
        <f>L411</f>
        <v>30</v>
      </c>
      <c r="N411" s="8">
        <f t="shared" si="83"/>
        <v>30</v>
      </c>
      <c r="O411">
        <v>0</v>
      </c>
      <c r="P411">
        <v>0</v>
      </c>
      <c r="Q411" t="s">
        <v>2072</v>
      </c>
      <c r="R411" s="1">
        <v>0.94</v>
      </c>
      <c r="S411" s="3">
        <f t="shared" si="88"/>
        <v>0.94</v>
      </c>
    </row>
    <row r="412" spans="1:19" x14ac:dyDescent="0.3">
      <c r="A412" t="s">
        <v>896</v>
      </c>
      <c r="B412" t="s">
        <v>897</v>
      </c>
      <c r="C412" t="str">
        <f t="shared" si="87"/>
        <v>Diane Flores</v>
      </c>
      <c r="D412" t="s">
        <v>69</v>
      </c>
      <c r="E412" t="str">
        <f t="shared" si="82"/>
        <v>Female</v>
      </c>
      <c r="F412">
        <v>50</v>
      </c>
      <c r="G412" t="s">
        <v>13</v>
      </c>
      <c r="H412" t="s">
        <v>14</v>
      </c>
      <c r="I412" t="s">
        <v>27</v>
      </c>
      <c r="J412">
        <v>31</v>
      </c>
      <c r="K412" s="4" t="str" cm="1">
        <f t="array" ref="K412">_xlfn.IFS(J412&lt;=5,"0-5",J412&lt;=10,"6-10",J412&lt;=15,"11-15",J412&lt;=20,"16-20",J412&gt;20,"21+")</f>
        <v>21+</v>
      </c>
      <c r="L412" t="s">
        <v>56</v>
      </c>
      <c r="M412" s="2" t="str">
        <f>SUBSTITUTE(L412,"$","")</f>
        <v>50</v>
      </c>
      <c r="N412" s="8">
        <f t="shared" si="83"/>
        <v>50</v>
      </c>
      <c r="O412">
        <v>4.0999999999999996</v>
      </c>
      <c r="R412" s="1">
        <v>0.81</v>
      </c>
      <c r="S412" s="3">
        <f t="shared" si="88"/>
        <v>0.81</v>
      </c>
    </row>
    <row r="413" spans="1:19" x14ac:dyDescent="0.3">
      <c r="A413" t="s">
        <v>898</v>
      </c>
      <c r="B413" t="s">
        <v>899</v>
      </c>
      <c r="C413" t="str">
        <f t="shared" si="87"/>
        <v>Jessica Erickson</v>
      </c>
      <c r="D413" t="s">
        <v>12</v>
      </c>
      <c r="E413" t="str">
        <f t="shared" si="82"/>
        <v>Female</v>
      </c>
      <c r="F413">
        <v>58</v>
      </c>
      <c r="G413" t="s">
        <v>54</v>
      </c>
      <c r="H413" t="s">
        <v>55</v>
      </c>
      <c r="I413" t="s">
        <v>22</v>
      </c>
      <c r="J413">
        <v>17</v>
      </c>
      <c r="K413" s="4" t="str" cm="1">
        <f t="array" ref="K413">_xlfn.IFS(J413&lt;=5,"0-5",J413&lt;=10,"6-10",J413&lt;=15,"11-15",J413&lt;=20,"16-20",J413&gt;20,"21+")</f>
        <v>16-20</v>
      </c>
      <c r="L413" t="s">
        <v>56</v>
      </c>
      <c r="M413" s="2" t="str">
        <f>SUBSTITUTE(L413,"$","")</f>
        <v>50</v>
      </c>
      <c r="N413" s="8">
        <f t="shared" si="83"/>
        <v>50</v>
      </c>
      <c r="O413">
        <v>2.6</v>
      </c>
      <c r="P413">
        <v>1</v>
      </c>
      <c r="Q413" t="s">
        <v>2073</v>
      </c>
      <c r="R413" s="1">
        <v>0.61</v>
      </c>
      <c r="S413" s="3">
        <f t="shared" si="88"/>
        <v>0.61</v>
      </c>
    </row>
    <row r="414" spans="1:19" x14ac:dyDescent="0.3">
      <c r="A414" t="s">
        <v>900</v>
      </c>
      <c r="B414" t="s">
        <v>901</v>
      </c>
      <c r="C414" t="str">
        <f t="shared" si="87"/>
        <v>Sara Moses</v>
      </c>
      <c r="D414" t="s">
        <v>12</v>
      </c>
      <c r="E414" t="str">
        <f t="shared" si="82"/>
        <v>Female</v>
      </c>
      <c r="F414">
        <v>40</v>
      </c>
      <c r="G414" t="s">
        <v>99</v>
      </c>
      <c r="H414" t="s">
        <v>100</v>
      </c>
      <c r="I414" t="s">
        <v>65</v>
      </c>
      <c r="J414">
        <v>2</v>
      </c>
      <c r="K414" s="4" t="str" cm="1">
        <f t="array" ref="K414">_xlfn.IFS(J414&lt;=5,"0-5",J414&lt;=10,"6-10",J414&lt;=15,"11-15",J414&lt;=20,"16-20",J414&gt;20,"21+")</f>
        <v>0-5</v>
      </c>
      <c r="L414" t="s">
        <v>221</v>
      </c>
      <c r="M414" s="2" t="str">
        <f>SUBSTITUTE(L414,"$","")</f>
        <v>100</v>
      </c>
      <c r="N414" s="8">
        <f t="shared" si="83"/>
        <v>100</v>
      </c>
      <c r="O414">
        <v>0</v>
      </c>
      <c r="P414">
        <v>0</v>
      </c>
      <c r="Q414" t="s">
        <v>2072</v>
      </c>
    </row>
    <row r="415" spans="1:19" x14ac:dyDescent="0.3">
      <c r="A415" t="s">
        <v>902</v>
      </c>
      <c r="B415" t="s">
        <v>903</v>
      </c>
      <c r="C415" t="str">
        <f t="shared" si="87"/>
        <v>Allison Henderson</v>
      </c>
      <c r="D415" t="s">
        <v>26</v>
      </c>
      <c r="E415" t="str">
        <f t="shared" si="82"/>
        <v>Female</v>
      </c>
      <c r="F415">
        <v>26</v>
      </c>
      <c r="G415" t="s">
        <v>131</v>
      </c>
      <c r="H415" t="s">
        <v>132</v>
      </c>
      <c r="I415" t="s">
        <v>27</v>
      </c>
      <c r="J415">
        <v>2</v>
      </c>
      <c r="K415" s="4" t="str" cm="1">
        <f t="array" ref="K415">_xlfn.IFS(J415&lt;=5,"0-5",J415&lt;=10,"6-10",J415&lt;=15,"11-15",J415&lt;=20,"16-20",J415&gt;20,"21+")</f>
        <v>0-5</v>
      </c>
      <c r="L415">
        <v>20</v>
      </c>
      <c r="M415" s="2">
        <f>L415</f>
        <v>20</v>
      </c>
      <c r="N415" s="8">
        <f t="shared" si="83"/>
        <v>20</v>
      </c>
      <c r="O415">
        <v>1.3</v>
      </c>
      <c r="P415" t="s">
        <v>151</v>
      </c>
      <c r="Q415" t="s">
        <v>2072</v>
      </c>
      <c r="R415" s="1">
        <v>0.83</v>
      </c>
      <c r="S415" s="3">
        <f>R415</f>
        <v>0.83</v>
      </c>
    </row>
    <row r="416" spans="1:19" x14ac:dyDescent="0.3">
      <c r="A416" t="s">
        <v>904</v>
      </c>
      <c r="B416" t="s">
        <v>905</v>
      </c>
      <c r="C416" t="str">
        <f t="shared" si="87"/>
        <v>Susan Dixon</v>
      </c>
      <c r="D416" t="s">
        <v>12</v>
      </c>
      <c r="E416" t="str">
        <f t="shared" si="82"/>
        <v>Female</v>
      </c>
      <c r="F416">
        <v>44</v>
      </c>
      <c r="G416" t="s">
        <v>104</v>
      </c>
      <c r="H416" t="s">
        <v>105</v>
      </c>
      <c r="I416" t="s">
        <v>70</v>
      </c>
      <c r="J416">
        <v>22</v>
      </c>
      <c r="K416" s="4" t="str" cm="1">
        <f t="array" ref="K416">_xlfn.IFS(J416&lt;=5,"0-5",J416&lt;=10,"6-10",J416&lt;=15,"11-15",J416&lt;=20,"16-20",J416&gt;20,"21+")</f>
        <v>21+</v>
      </c>
      <c r="L416">
        <v>30</v>
      </c>
      <c r="M416" s="2">
        <f>L416</f>
        <v>30</v>
      </c>
      <c r="N416" s="8">
        <f t="shared" si="83"/>
        <v>30</v>
      </c>
      <c r="O416">
        <v>4.0999999999999996</v>
      </c>
      <c r="P416" t="s">
        <v>66</v>
      </c>
      <c r="Q416" t="s">
        <v>2073</v>
      </c>
    </row>
    <row r="417" spans="1:19" x14ac:dyDescent="0.3">
      <c r="A417" t="s">
        <v>906</v>
      </c>
      <c r="B417" t="s">
        <v>907</v>
      </c>
      <c r="C417" t="str">
        <f t="shared" si="87"/>
        <v>David Morrison</v>
      </c>
      <c r="D417" t="s">
        <v>19</v>
      </c>
      <c r="E417" t="str">
        <f t="shared" si="82"/>
        <v>Male</v>
      </c>
      <c r="F417">
        <v>42</v>
      </c>
      <c r="G417" t="s">
        <v>171</v>
      </c>
      <c r="H417" t="s">
        <v>64</v>
      </c>
      <c r="I417" t="s">
        <v>106</v>
      </c>
      <c r="J417">
        <v>8</v>
      </c>
      <c r="K417" s="4" t="str" cm="1">
        <f t="array" ref="K417">_xlfn.IFS(J417&lt;=5,"0-5",J417&lt;=10,"6-10",J417&lt;=15,"11-15",J417&lt;=20,"16-20",J417&gt;20,"21+")</f>
        <v>6-10</v>
      </c>
      <c r="L417" t="s">
        <v>56</v>
      </c>
      <c r="M417" s="2" t="str">
        <f>SUBSTITUTE(L417,"$","")</f>
        <v>50</v>
      </c>
      <c r="N417" s="8">
        <f t="shared" si="83"/>
        <v>50</v>
      </c>
      <c r="O417">
        <v>2.4</v>
      </c>
      <c r="P417" t="s">
        <v>151</v>
      </c>
      <c r="Q417" t="s">
        <v>2072</v>
      </c>
      <c r="R417" s="1">
        <v>0.68</v>
      </c>
      <c r="S417" s="3">
        <f t="shared" ref="S417:S418" si="89">R417</f>
        <v>0.68</v>
      </c>
    </row>
    <row r="418" spans="1:19" x14ac:dyDescent="0.3">
      <c r="A418" t="s">
        <v>908</v>
      </c>
      <c r="B418" t="s">
        <v>328</v>
      </c>
      <c r="C418" t="str">
        <f t="shared" si="87"/>
        <v>Jason Carter</v>
      </c>
      <c r="D418" t="s">
        <v>84</v>
      </c>
      <c r="E418" t="str">
        <f t="shared" si="82"/>
        <v>Male</v>
      </c>
      <c r="F418">
        <v>38</v>
      </c>
      <c r="G418" t="s">
        <v>171</v>
      </c>
      <c r="H418" t="s">
        <v>64</v>
      </c>
      <c r="I418" t="s">
        <v>43</v>
      </c>
      <c r="J418">
        <v>9</v>
      </c>
      <c r="K418" s="4" t="str" cm="1">
        <f t="array" ref="K418">_xlfn.IFS(J418&lt;=5,"0-5",J418&lt;=10,"6-10",J418&lt;=15,"11-15",J418&lt;=20,"16-20",J418&gt;20,"21+")</f>
        <v>6-10</v>
      </c>
      <c r="L418" t="s">
        <v>56</v>
      </c>
      <c r="M418" s="2" t="str">
        <f>SUBSTITUTE(L418,"$","")</f>
        <v>50</v>
      </c>
      <c r="N418" s="8">
        <f t="shared" si="83"/>
        <v>50</v>
      </c>
      <c r="O418">
        <v>0</v>
      </c>
      <c r="P418">
        <v>0</v>
      </c>
      <c r="Q418" t="s">
        <v>2072</v>
      </c>
      <c r="R418" s="1">
        <v>0.74</v>
      </c>
      <c r="S418" s="3">
        <f t="shared" si="89"/>
        <v>0.74</v>
      </c>
    </row>
    <row r="419" spans="1:19" x14ac:dyDescent="0.3">
      <c r="A419" t="s">
        <v>909</v>
      </c>
      <c r="B419" t="s">
        <v>910</v>
      </c>
      <c r="C419" t="str">
        <f t="shared" si="87"/>
        <v>James Jacobs</v>
      </c>
      <c r="D419" t="s">
        <v>19</v>
      </c>
      <c r="E419" t="str">
        <f t="shared" si="82"/>
        <v>Male</v>
      </c>
      <c r="F419">
        <v>51</v>
      </c>
      <c r="G419" t="s">
        <v>131</v>
      </c>
      <c r="H419" t="s">
        <v>132</v>
      </c>
      <c r="I419" t="s">
        <v>27</v>
      </c>
      <c r="J419">
        <v>32</v>
      </c>
      <c r="K419" s="4" t="str" cm="1">
        <f t="array" ref="K419">_xlfn.IFS(J419&lt;=5,"0-5",J419&lt;=10,"6-10",J419&lt;=15,"11-15",J419&lt;=20,"16-20",J419&gt;20,"21+")</f>
        <v>21+</v>
      </c>
      <c r="L419">
        <v>100</v>
      </c>
      <c r="M419" s="2">
        <f>L419</f>
        <v>100</v>
      </c>
      <c r="N419" s="8">
        <f t="shared" si="83"/>
        <v>100</v>
      </c>
      <c r="O419">
        <v>4.4000000000000004</v>
      </c>
      <c r="P419" t="b">
        <v>0</v>
      </c>
      <c r="Q419" t="s">
        <v>2072</v>
      </c>
      <c r="R419">
        <v>91</v>
      </c>
      <c r="S419" s="3">
        <f>R419/100</f>
        <v>0.91</v>
      </c>
    </row>
    <row r="420" spans="1:19" x14ac:dyDescent="0.3">
      <c r="A420" t="s">
        <v>911</v>
      </c>
      <c r="B420" t="s">
        <v>912</v>
      </c>
      <c r="C420" t="str">
        <f t="shared" si="87"/>
        <v>Kathleen Quinn</v>
      </c>
      <c r="D420" t="s">
        <v>31</v>
      </c>
      <c r="E420" t="str">
        <f t="shared" si="82"/>
        <v>Female</v>
      </c>
      <c r="F420">
        <v>36</v>
      </c>
      <c r="G420" t="s">
        <v>127</v>
      </c>
      <c r="H420" t="s">
        <v>128</v>
      </c>
      <c r="I420" t="s">
        <v>36</v>
      </c>
      <c r="J420">
        <v>8</v>
      </c>
      <c r="K420" s="4" t="str" cm="1">
        <f t="array" ref="K420">_xlfn.IFS(J420&lt;=5,"0-5",J420&lt;=10,"6-10",J420&lt;=15,"11-15",J420&lt;=20,"16-20",J420&gt;20,"21+")</f>
        <v>6-10</v>
      </c>
      <c r="L420" t="s">
        <v>16</v>
      </c>
      <c r="M420" s="2" t="str">
        <f>TRIM(MID(L420,FIND(" ",L420)+1,LEN(L420)))</f>
        <v>100</v>
      </c>
      <c r="N420" s="8">
        <f t="shared" si="83"/>
        <v>100</v>
      </c>
      <c r="O420">
        <v>2.2000000000000002</v>
      </c>
      <c r="P420">
        <v>1</v>
      </c>
      <c r="Q420" t="s">
        <v>2073</v>
      </c>
      <c r="R420" s="1">
        <v>0.97</v>
      </c>
      <c r="S420" s="3">
        <f t="shared" ref="S420:S424" si="90">R420</f>
        <v>0.97</v>
      </c>
    </row>
    <row r="421" spans="1:19" x14ac:dyDescent="0.3">
      <c r="A421" t="s">
        <v>913</v>
      </c>
      <c r="B421" t="s">
        <v>914</v>
      </c>
      <c r="C421" t="str">
        <f t="shared" si="87"/>
        <v>Natalie Frank MD</v>
      </c>
      <c r="D421" t="s">
        <v>12</v>
      </c>
      <c r="E421" t="str">
        <f t="shared" si="82"/>
        <v>Female</v>
      </c>
      <c r="F421">
        <v>37</v>
      </c>
      <c r="G421" t="s">
        <v>13</v>
      </c>
      <c r="H421" t="s">
        <v>14</v>
      </c>
      <c r="I421" t="s">
        <v>15</v>
      </c>
      <c r="J421">
        <v>10</v>
      </c>
      <c r="K421" s="4" t="str" cm="1">
        <f t="array" ref="K421">_xlfn.IFS(J421&lt;=5,"0-5",J421&lt;=10,"6-10",J421&lt;=15,"11-15",J421&lt;=20,"16-20",J421&gt;20,"21+")</f>
        <v>6-10</v>
      </c>
      <c r="L421">
        <v>30</v>
      </c>
      <c r="M421" s="2">
        <f>L421</f>
        <v>30</v>
      </c>
      <c r="N421" s="8">
        <f t="shared" si="83"/>
        <v>30</v>
      </c>
      <c r="O421">
        <v>0</v>
      </c>
      <c r="P421">
        <v>0</v>
      </c>
      <c r="Q421" t="s">
        <v>2072</v>
      </c>
      <c r="R421" s="1">
        <v>0.96</v>
      </c>
      <c r="S421" s="3">
        <f t="shared" si="90"/>
        <v>0.96</v>
      </c>
    </row>
    <row r="422" spans="1:19" x14ac:dyDescent="0.3">
      <c r="A422" t="s">
        <v>915</v>
      </c>
      <c r="B422" t="s">
        <v>916</v>
      </c>
      <c r="C422" t="str">
        <f t="shared" si="87"/>
        <v>Michael Reed</v>
      </c>
      <c r="D422" t="s">
        <v>19</v>
      </c>
      <c r="E422" t="str">
        <f t="shared" si="82"/>
        <v>Male</v>
      </c>
      <c r="F422">
        <v>31</v>
      </c>
      <c r="G422" t="s">
        <v>145</v>
      </c>
      <c r="H422" t="s">
        <v>146</v>
      </c>
      <c r="I422" t="s">
        <v>81</v>
      </c>
      <c r="J422">
        <v>0</v>
      </c>
      <c r="K422" s="4" t="str" cm="1">
        <f t="array" ref="K422">_xlfn.IFS(J422&lt;=5,"0-5",J422&lt;=10,"6-10",J422&lt;=15,"11-15",J422&lt;=20,"16-20",J422&gt;20,"21+")</f>
        <v>0-5</v>
      </c>
      <c r="L422">
        <v>50</v>
      </c>
      <c r="M422" s="2">
        <f>L422</f>
        <v>50</v>
      </c>
      <c r="N422" s="8">
        <f t="shared" si="83"/>
        <v>50</v>
      </c>
      <c r="O422">
        <v>1.1000000000000001</v>
      </c>
      <c r="P422" t="s">
        <v>66</v>
      </c>
      <c r="Q422" t="s">
        <v>2073</v>
      </c>
      <c r="R422" s="1">
        <v>0.73</v>
      </c>
      <c r="S422" s="3">
        <f t="shared" si="90"/>
        <v>0.73</v>
      </c>
    </row>
    <row r="423" spans="1:19" x14ac:dyDescent="0.3">
      <c r="A423" t="s">
        <v>917</v>
      </c>
      <c r="B423" t="s">
        <v>918</v>
      </c>
      <c r="C423" t="str">
        <f t="shared" si="87"/>
        <v>Sheila Smith</v>
      </c>
      <c r="D423" t="s">
        <v>6</v>
      </c>
      <c r="E423" t="str">
        <f t="shared" si="82"/>
        <v>Female</v>
      </c>
      <c r="F423">
        <v>47</v>
      </c>
      <c r="G423" t="s">
        <v>85</v>
      </c>
      <c r="H423" t="s">
        <v>86</v>
      </c>
      <c r="I423" t="s">
        <v>70</v>
      </c>
      <c r="J423">
        <v>22</v>
      </c>
      <c r="K423" s="4" t="str" cm="1">
        <f t="array" ref="K423">_xlfn.IFS(J423&lt;=5,"0-5",J423&lt;=10,"6-10",J423&lt;=15,"11-15",J423&lt;=20,"16-20",J423&gt;20,"21+")</f>
        <v>21+</v>
      </c>
      <c r="N423" s="8" t="str">
        <f t="shared" si="83"/>
        <v/>
      </c>
      <c r="O423">
        <v>1.4</v>
      </c>
      <c r="P423" t="s">
        <v>60</v>
      </c>
      <c r="Q423" t="s">
        <v>2073</v>
      </c>
      <c r="R423" s="1">
        <v>0.72</v>
      </c>
      <c r="S423" s="3">
        <f t="shared" si="90"/>
        <v>0.72</v>
      </c>
    </row>
    <row r="424" spans="1:19" x14ac:dyDescent="0.3">
      <c r="A424" t="s">
        <v>919</v>
      </c>
      <c r="B424" t="s">
        <v>920</v>
      </c>
      <c r="C424" t="str">
        <f t="shared" si="87"/>
        <v>Morgan Ford</v>
      </c>
      <c r="D424" t="s">
        <v>31</v>
      </c>
      <c r="E424" t="str">
        <f t="shared" si="82"/>
        <v>Female</v>
      </c>
      <c r="F424">
        <v>60</v>
      </c>
      <c r="G424" t="s">
        <v>171</v>
      </c>
      <c r="H424" t="s">
        <v>64</v>
      </c>
      <c r="I424" t="s">
        <v>65</v>
      </c>
      <c r="J424">
        <v>34</v>
      </c>
      <c r="K424" s="4" t="str" cm="1">
        <f t="array" ref="K424">_xlfn.IFS(J424&lt;=5,"0-5",J424&lt;=10,"6-10",J424&lt;=15,"11-15",J424&lt;=20,"16-20",J424&gt;20,"21+")</f>
        <v>21+</v>
      </c>
      <c r="L424" t="s">
        <v>221</v>
      </c>
      <c r="M424" s="2" t="str">
        <f>SUBSTITUTE(L424,"$","")</f>
        <v>100</v>
      </c>
      <c r="N424" s="8">
        <f t="shared" si="83"/>
        <v>100</v>
      </c>
      <c r="O424">
        <v>0</v>
      </c>
      <c r="P424" t="b">
        <v>1</v>
      </c>
      <c r="Q424" t="s">
        <v>2073</v>
      </c>
      <c r="R424" s="1">
        <v>0.74</v>
      </c>
      <c r="S424" s="3">
        <f t="shared" si="90"/>
        <v>0.74</v>
      </c>
    </row>
    <row r="425" spans="1:19" x14ac:dyDescent="0.3">
      <c r="A425" t="s">
        <v>921</v>
      </c>
      <c r="B425" t="s">
        <v>922</v>
      </c>
      <c r="C425" t="str">
        <f t="shared" si="87"/>
        <v>Linda Schultz</v>
      </c>
      <c r="D425" t="s">
        <v>12</v>
      </c>
      <c r="E425" t="str">
        <f t="shared" si="82"/>
        <v>Female</v>
      </c>
      <c r="F425">
        <v>48</v>
      </c>
      <c r="G425" t="s">
        <v>63</v>
      </c>
      <c r="H425" t="s">
        <v>64</v>
      </c>
      <c r="I425" t="s">
        <v>15</v>
      </c>
      <c r="J425">
        <v>5</v>
      </c>
      <c r="K425" s="4" t="str" cm="1">
        <f t="array" ref="K425">_xlfn.IFS(J425&lt;=5,"0-5",J425&lt;=10,"6-10",J425&lt;=15,"11-15",J425&lt;=20,"16-20",J425&gt;20,"21+")</f>
        <v>0-5</v>
      </c>
      <c r="L425">
        <v>30</v>
      </c>
      <c r="M425" s="2">
        <f>L425</f>
        <v>30</v>
      </c>
      <c r="N425" s="8">
        <f t="shared" si="83"/>
        <v>30</v>
      </c>
      <c r="O425">
        <v>1.5</v>
      </c>
      <c r="P425" t="s">
        <v>23</v>
      </c>
      <c r="Q425" t="s">
        <v>2072</v>
      </c>
    </row>
    <row r="426" spans="1:19" x14ac:dyDescent="0.3">
      <c r="A426" t="s">
        <v>923</v>
      </c>
      <c r="B426" t="s">
        <v>924</v>
      </c>
      <c r="C426" t="str">
        <f t="shared" si="87"/>
        <v>Regina Daniel</v>
      </c>
      <c r="D426" t="s">
        <v>26</v>
      </c>
      <c r="E426" t="str">
        <f t="shared" si="82"/>
        <v>Female</v>
      </c>
      <c r="F426">
        <v>24</v>
      </c>
      <c r="G426" t="s">
        <v>85</v>
      </c>
      <c r="H426" t="s">
        <v>86</v>
      </c>
      <c r="I426" t="s">
        <v>36</v>
      </c>
      <c r="J426">
        <v>3</v>
      </c>
      <c r="K426" s="4" t="str" cm="1">
        <f t="array" ref="K426">_xlfn.IFS(J426&lt;=5,"0-5",J426&lt;=10,"6-10",J426&lt;=15,"11-15",J426&lt;=20,"16-20",J426&gt;20,"21+")</f>
        <v>0-5</v>
      </c>
      <c r="L426">
        <v>20</v>
      </c>
      <c r="M426" s="2">
        <f>L426</f>
        <v>20</v>
      </c>
      <c r="N426" s="8">
        <f t="shared" si="83"/>
        <v>20</v>
      </c>
      <c r="O426">
        <v>0</v>
      </c>
      <c r="P426">
        <v>1</v>
      </c>
      <c r="Q426" t="s">
        <v>2073</v>
      </c>
    </row>
    <row r="427" spans="1:19" x14ac:dyDescent="0.3">
      <c r="A427" t="s">
        <v>925</v>
      </c>
      <c r="B427" t="s">
        <v>926</v>
      </c>
      <c r="C427" t="str">
        <f t="shared" si="87"/>
        <v>Allison Perkins</v>
      </c>
      <c r="D427" t="s">
        <v>12</v>
      </c>
      <c r="E427" t="str">
        <f t="shared" si="82"/>
        <v>Female</v>
      </c>
      <c r="F427">
        <v>35</v>
      </c>
      <c r="G427" t="s">
        <v>34</v>
      </c>
      <c r="H427" t="s">
        <v>35</v>
      </c>
      <c r="I427" t="s">
        <v>106</v>
      </c>
      <c r="J427">
        <v>10</v>
      </c>
      <c r="K427" s="4" t="str" cm="1">
        <f t="array" ref="K427">_xlfn.IFS(J427&lt;=5,"0-5",J427&lt;=10,"6-10",J427&lt;=15,"11-15",J427&lt;=20,"16-20",J427&gt;20,"21+")</f>
        <v>6-10</v>
      </c>
      <c r="L427">
        <v>75</v>
      </c>
      <c r="M427" s="2">
        <f>L427</f>
        <v>75</v>
      </c>
      <c r="N427" s="8">
        <f t="shared" si="83"/>
        <v>75</v>
      </c>
      <c r="O427">
        <v>0</v>
      </c>
      <c r="R427" s="1">
        <v>0.74</v>
      </c>
      <c r="S427" s="3">
        <f t="shared" ref="S427:S432" si="91">R427</f>
        <v>0.74</v>
      </c>
    </row>
    <row r="428" spans="1:19" x14ac:dyDescent="0.3">
      <c r="A428" t="s">
        <v>927</v>
      </c>
      <c r="B428" t="s">
        <v>928</v>
      </c>
      <c r="C428" t="str">
        <f t="shared" si="87"/>
        <v>Bradley Weaver</v>
      </c>
      <c r="D428" t="s">
        <v>53</v>
      </c>
      <c r="E428" t="str">
        <f t="shared" si="82"/>
        <v>Male</v>
      </c>
      <c r="F428">
        <v>35</v>
      </c>
      <c r="G428" t="s">
        <v>50</v>
      </c>
      <c r="H428" t="s">
        <v>14</v>
      </c>
      <c r="I428" t="s">
        <v>81</v>
      </c>
      <c r="K428" s="4" t="str" cm="1">
        <f t="array" ref="K428">_xlfn.IFS(J428&lt;=5,"0-5",J428&lt;=10,"6-10",J428&lt;=15,"11-15",J428&lt;=20,"16-20",J428&gt;20,"21+")</f>
        <v>0-5</v>
      </c>
      <c r="L428">
        <v>100</v>
      </c>
      <c r="M428" s="2">
        <f>L428</f>
        <v>100</v>
      </c>
      <c r="N428" s="8">
        <f t="shared" si="83"/>
        <v>100</v>
      </c>
      <c r="O428">
        <v>3.5</v>
      </c>
      <c r="P428" t="s">
        <v>66</v>
      </c>
      <c r="Q428" t="s">
        <v>2073</v>
      </c>
      <c r="R428" s="1">
        <v>0.71</v>
      </c>
      <c r="S428" s="3">
        <f t="shared" si="91"/>
        <v>0.71</v>
      </c>
    </row>
    <row r="429" spans="1:19" x14ac:dyDescent="0.3">
      <c r="A429" t="s">
        <v>929</v>
      </c>
      <c r="B429" t="s">
        <v>930</v>
      </c>
      <c r="C429" t="str">
        <f t="shared" si="87"/>
        <v>Sarah Hall</v>
      </c>
      <c r="D429" t="s">
        <v>69</v>
      </c>
      <c r="E429" t="str">
        <f t="shared" si="82"/>
        <v>Female</v>
      </c>
      <c r="F429">
        <v>29</v>
      </c>
      <c r="G429" t="s">
        <v>34</v>
      </c>
      <c r="H429" t="s">
        <v>35</v>
      </c>
      <c r="I429" t="s">
        <v>65</v>
      </c>
      <c r="J429">
        <v>6</v>
      </c>
      <c r="K429" s="4" t="str" cm="1">
        <f t="array" ref="K429">_xlfn.IFS(J429&lt;=5,"0-5",J429&lt;=10,"6-10",J429&lt;=15,"11-15",J429&lt;=20,"16-20",J429&gt;20,"21+")</f>
        <v>6-10</v>
      </c>
      <c r="N429" s="8" t="str">
        <f t="shared" si="83"/>
        <v/>
      </c>
      <c r="O429">
        <v>4.8</v>
      </c>
      <c r="P429" t="s">
        <v>23</v>
      </c>
      <c r="Q429" t="s">
        <v>2072</v>
      </c>
      <c r="R429" s="1">
        <v>0.83</v>
      </c>
      <c r="S429" s="3">
        <f t="shared" si="91"/>
        <v>0.83</v>
      </c>
    </row>
    <row r="430" spans="1:19" x14ac:dyDescent="0.3">
      <c r="A430" t="s">
        <v>931</v>
      </c>
      <c r="B430" t="s">
        <v>932</v>
      </c>
      <c r="C430" t="str">
        <f t="shared" si="87"/>
        <v>Diana Walton</v>
      </c>
      <c r="D430" t="s">
        <v>69</v>
      </c>
      <c r="E430" t="str">
        <f t="shared" si="82"/>
        <v>Female</v>
      </c>
      <c r="F430">
        <v>36</v>
      </c>
      <c r="G430" t="s">
        <v>7</v>
      </c>
      <c r="H430" t="s">
        <v>8</v>
      </c>
      <c r="I430" t="s">
        <v>106</v>
      </c>
      <c r="J430">
        <v>1</v>
      </c>
      <c r="K430" s="4" t="str" cm="1">
        <f t="array" ref="K430">_xlfn.IFS(J430&lt;=5,"0-5",J430&lt;=10,"6-10",J430&lt;=15,"11-15",J430&lt;=20,"16-20",J430&gt;20,"21+")</f>
        <v>0-5</v>
      </c>
      <c r="L430" t="s">
        <v>162</v>
      </c>
      <c r="M430" s="2" t="str">
        <f>SUBSTITUTE(L430,"$","")</f>
        <v>75</v>
      </c>
      <c r="N430" s="8">
        <f t="shared" si="83"/>
        <v>75</v>
      </c>
      <c r="R430" s="1">
        <v>0.63</v>
      </c>
      <c r="S430" s="3">
        <f t="shared" si="91"/>
        <v>0.63</v>
      </c>
    </row>
    <row r="431" spans="1:19" x14ac:dyDescent="0.3">
      <c r="A431" t="s">
        <v>933</v>
      </c>
      <c r="B431" t="s">
        <v>934</v>
      </c>
      <c r="C431" t="str">
        <f t="shared" si="87"/>
        <v>Donna Davis</v>
      </c>
      <c r="D431" t="s">
        <v>12</v>
      </c>
      <c r="E431" t="str">
        <f t="shared" si="82"/>
        <v>Female</v>
      </c>
      <c r="F431">
        <v>44</v>
      </c>
      <c r="G431" t="s">
        <v>120</v>
      </c>
      <c r="H431" t="s">
        <v>14</v>
      </c>
      <c r="I431" t="s">
        <v>36</v>
      </c>
      <c r="J431">
        <v>0</v>
      </c>
      <c r="K431" s="4" t="str" cm="1">
        <f t="array" ref="K431">_xlfn.IFS(J431&lt;=5,"0-5",J431&lt;=10,"6-10",J431&lt;=15,"11-15",J431&lt;=20,"16-20",J431&gt;20,"21+")</f>
        <v>0-5</v>
      </c>
      <c r="N431" s="8" t="str">
        <f t="shared" si="83"/>
        <v/>
      </c>
      <c r="O431">
        <v>4.8</v>
      </c>
      <c r="R431" s="1">
        <v>0.84</v>
      </c>
      <c r="S431" s="3">
        <f t="shared" si="91"/>
        <v>0.84</v>
      </c>
    </row>
    <row r="432" spans="1:19" x14ac:dyDescent="0.3">
      <c r="A432" t="s">
        <v>935</v>
      </c>
      <c r="B432" t="s">
        <v>936</v>
      </c>
      <c r="C432" t="str">
        <f t="shared" si="87"/>
        <v>Christopher Mcclain</v>
      </c>
      <c r="D432" t="s">
        <v>53</v>
      </c>
      <c r="E432" t="str">
        <f t="shared" si="82"/>
        <v>Male</v>
      </c>
      <c r="F432">
        <v>44</v>
      </c>
      <c r="G432" t="s">
        <v>145</v>
      </c>
      <c r="H432" t="s">
        <v>146</v>
      </c>
      <c r="I432" t="s">
        <v>27</v>
      </c>
      <c r="K432" s="4" t="str" cm="1">
        <f t="array" ref="K432">_xlfn.IFS(J432&lt;=5,"0-5",J432&lt;=10,"6-10",J432&lt;=15,"11-15",J432&lt;=20,"16-20",J432&gt;20,"21+")</f>
        <v>0-5</v>
      </c>
      <c r="N432" s="8" t="str">
        <f t="shared" si="83"/>
        <v/>
      </c>
      <c r="O432">
        <v>1.4</v>
      </c>
      <c r="P432">
        <v>0</v>
      </c>
      <c r="Q432" t="s">
        <v>2072</v>
      </c>
      <c r="R432" s="1">
        <v>0.93</v>
      </c>
      <c r="S432" s="3">
        <f t="shared" si="91"/>
        <v>0.93</v>
      </c>
    </row>
    <row r="433" spans="1:19" x14ac:dyDescent="0.3">
      <c r="A433" t="s">
        <v>937</v>
      </c>
      <c r="B433" t="s">
        <v>938</v>
      </c>
      <c r="C433" t="str">
        <f>TRIM(MID(B433,FIND(" ",B433)+1,LEN(B433)))</f>
        <v>Paul Williamson</v>
      </c>
      <c r="D433" t="s">
        <v>40</v>
      </c>
      <c r="E433" t="str">
        <f t="shared" si="82"/>
        <v>Male</v>
      </c>
      <c r="F433">
        <v>40</v>
      </c>
      <c r="G433" t="s">
        <v>85</v>
      </c>
      <c r="H433" t="s">
        <v>86</v>
      </c>
      <c r="I433" t="s">
        <v>36</v>
      </c>
      <c r="J433">
        <v>13</v>
      </c>
      <c r="K433" s="4" t="str" cm="1">
        <f t="array" ref="K433">_xlfn.IFS(J433&lt;=5,"0-5",J433&lt;=10,"6-10",J433&lt;=15,"11-15",J433&lt;=20,"16-20",J433&gt;20,"21+")</f>
        <v>11-15</v>
      </c>
      <c r="L433" t="s">
        <v>16</v>
      </c>
      <c r="M433" s="2" t="str">
        <f>TRIM(MID(L433,FIND(" ",L433)+1,LEN(L433)))</f>
        <v>100</v>
      </c>
      <c r="N433" s="8">
        <f t="shared" si="83"/>
        <v>100</v>
      </c>
      <c r="O433">
        <v>1.1000000000000001</v>
      </c>
      <c r="P433">
        <v>1</v>
      </c>
      <c r="Q433" t="s">
        <v>2073</v>
      </c>
    </row>
    <row r="434" spans="1:19" x14ac:dyDescent="0.3">
      <c r="A434" t="s">
        <v>939</v>
      </c>
      <c r="B434" t="s">
        <v>940</v>
      </c>
      <c r="C434" t="str">
        <f t="shared" ref="C434:C453" si="92">B434</f>
        <v>Barbara Brown</v>
      </c>
      <c r="D434" t="s">
        <v>26</v>
      </c>
      <c r="E434" t="str">
        <f t="shared" si="82"/>
        <v>Female</v>
      </c>
      <c r="F434">
        <v>53</v>
      </c>
      <c r="G434" t="s">
        <v>34</v>
      </c>
      <c r="H434" t="s">
        <v>35</v>
      </c>
      <c r="I434" t="s">
        <v>106</v>
      </c>
      <c r="J434">
        <v>13</v>
      </c>
      <c r="K434" s="4" t="str" cm="1">
        <f t="array" ref="K434">_xlfn.IFS(J434&lt;=5,"0-5",J434&lt;=10,"6-10",J434&lt;=15,"11-15",J434&lt;=20,"16-20",J434&gt;20,"21+")</f>
        <v>11-15</v>
      </c>
      <c r="L434" t="s">
        <v>56</v>
      </c>
      <c r="M434" s="2" t="str">
        <f>SUBSTITUTE(L434,"$","")</f>
        <v>50</v>
      </c>
      <c r="N434" s="8">
        <f t="shared" si="83"/>
        <v>50</v>
      </c>
      <c r="O434">
        <v>3.3</v>
      </c>
      <c r="P434" t="s">
        <v>66</v>
      </c>
      <c r="Q434" t="s">
        <v>2073</v>
      </c>
      <c r="R434" s="1">
        <v>0.93</v>
      </c>
      <c r="S434" s="3">
        <f t="shared" ref="S434:S443" si="93">R434</f>
        <v>0.93</v>
      </c>
    </row>
    <row r="435" spans="1:19" x14ac:dyDescent="0.3">
      <c r="A435" t="s">
        <v>941</v>
      </c>
      <c r="B435" t="s">
        <v>942</v>
      </c>
      <c r="C435" t="str">
        <f t="shared" si="92"/>
        <v>Kimberly Allen</v>
      </c>
      <c r="D435" t="s">
        <v>6</v>
      </c>
      <c r="E435" t="str">
        <f t="shared" si="82"/>
        <v>Female</v>
      </c>
      <c r="F435">
        <v>35</v>
      </c>
      <c r="G435" t="s">
        <v>20</v>
      </c>
      <c r="H435" t="s">
        <v>21</v>
      </c>
      <c r="I435" t="s">
        <v>9</v>
      </c>
      <c r="J435">
        <v>0</v>
      </c>
      <c r="K435" s="4" t="str" cm="1">
        <f t="array" ref="K435">_xlfn.IFS(J435&lt;=5,"0-5",J435&lt;=10,"6-10",J435&lt;=15,"11-15",J435&lt;=20,"16-20",J435&gt;20,"21+")</f>
        <v>0-5</v>
      </c>
      <c r="L435" t="s">
        <v>101</v>
      </c>
      <c r="M435" s="2" t="str">
        <f>TRIM(MID(L435,FIND(" ",L435)+1,LEN(L435)))</f>
        <v>30</v>
      </c>
      <c r="N435" s="8">
        <f t="shared" si="83"/>
        <v>30</v>
      </c>
      <c r="O435">
        <v>4.5999999999999996</v>
      </c>
      <c r="R435" s="1">
        <v>0.97</v>
      </c>
      <c r="S435" s="3">
        <f t="shared" si="93"/>
        <v>0.97</v>
      </c>
    </row>
    <row r="436" spans="1:19" x14ac:dyDescent="0.3">
      <c r="A436" t="s">
        <v>943</v>
      </c>
      <c r="B436" t="s">
        <v>944</v>
      </c>
      <c r="C436" t="str">
        <f t="shared" si="92"/>
        <v>Elizabeth Edwards</v>
      </c>
      <c r="D436" t="s">
        <v>12</v>
      </c>
      <c r="E436" t="str">
        <f t="shared" si="82"/>
        <v>Female</v>
      </c>
      <c r="F436">
        <v>27</v>
      </c>
      <c r="G436" t="s">
        <v>63</v>
      </c>
      <c r="H436" t="s">
        <v>64</v>
      </c>
      <c r="I436" t="s">
        <v>106</v>
      </c>
      <c r="J436">
        <v>7</v>
      </c>
      <c r="K436" s="4" t="str" cm="1">
        <f t="array" ref="K436">_xlfn.IFS(J436&lt;=5,"0-5",J436&lt;=10,"6-10",J436&lt;=15,"11-15",J436&lt;=20,"16-20",J436&gt;20,"21+")</f>
        <v>6-10</v>
      </c>
      <c r="L436" t="s">
        <v>44</v>
      </c>
      <c r="M436" s="2" t="str">
        <f>TRIM(MID(L436,FIND(" ",L436)+1,LEN(L436)))</f>
        <v>75</v>
      </c>
      <c r="N436" s="8">
        <f t="shared" si="83"/>
        <v>75</v>
      </c>
      <c r="O436">
        <v>2.8</v>
      </c>
      <c r="P436">
        <v>1</v>
      </c>
      <c r="Q436" t="s">
        <v>2073</v>
      </c>
      <c r="R436" s="1">
        <v>0.92</v>
      </c>
      <c r="S436" s="3">
        <f t="shared" si="93"/>
        <v>0.92</v>
      </c>
    </row>
    <row r="437" spans="1:19" x14ac:dyDescent="0.3">
      <c r="A437" t="s">
        <v>945</v>
      </c>
      <c r="B437" t="s">
        <v>946</v>
      </c>
      <c r="C437" t="str">
        <f t="shared" si="92"/>
        <v>Anthony Downs</v>
      </c>
      <c r="D437" t="s">
        <v>53</v>
      </c>
      <c r="E437" t="str">
        <f t="shared" si="82"/>
        <v>Male</v>
      </c>
      <c r="F437">
        <v>34</v>
      </c>
      <c r="G437" t="s">
        <v>13</v>
      </c>
      <c r="H437" t="s">
        <v>14</v>
      </c>
      <c r="I437" t="s">
        <v>81</v>
      </c>
      <c r="J437">
        <v>6</v>
      </c>
      <c r="K437" s="4" t="str" cm="1">
        <f t="array" ref="K437">_xlfn.IFS(J437&lt;=5,"0-5",J437&lt;=10,"6-10",J437&lt;=15,"11-15",J437&lt;=20,"16-20",J437&gt;20,"21+")</f>
        <v>6-10</v>
      </c>
      <c r="L437">
        <v>50</v>
      </c>
      <c r="M437" s="2">
        <f>L437</f>
        <v>50</v>
      </c>
      <c r="N437" s="8">
        <f t="shared" si="83"/>
        <v>50</v>
      </c>
      <c r="O437">
        <v>5</v>
      </c>
      <c r="P437" t="s">
        <v>66</v>
      </c>
      <c r="Q437" t="s">
        <v>2073</v>
      </c>
      <c r="R437" s="1">
        <v>0.92</v>
      </c>
      <c r="S437" s="3">
        <f t="shared" si="93"/>
        <v>0.92</v>
      </c>
    </row>
    <row r="438" spans="1:19" x14ac:dyDescent="0.3">
      <c r="A438" t="s">
        <v>947</v>
      </c>
      <c r="B438" t="s">
        <v>948</v>
      </c>
      <c r="C438" t="str">
        <f t="shared" si="92"/>
        <v>Jack Ortega</v>
      </c>
      <c r="D438" t="s">
        <v>19</v>
      </c>
      <c r="E438" t="str">
        <f t="shared" si="82"/>
        <v>Male</v>
      </c>
      <c r="F438">
        <v>24</v>
      </c>
      <c r="G438" t="s">
        <v>85</v>
      </c>
      <c r="H438" t="s">
        <v>86</v>
      </c>
      <c r="I438" t="s">
        <v>70</v>
      </c>
      <c r="J438">
        <v>2</v>
      </c>
      <c r="K438" s="4" t="str" cm="1">
        <f t="array" ref="K438">_xlfn.IFS(J438&lt;=5,"0-5",J438&lt;=10,"6-10",J438&lt;=15,"11-15",J438&lt;=20,"16-20",J438&gt;20,"21+")</f>
        <v>0-5</v>
      </c>
      <c r="L438">
        <v>75</v>
      </c>
      <c r="M438" s="2">
        <f>L438</f>
        <v>75</v>
      </c>
      <c r="N438" s="8">
        <f t="shared" si="83"/>
        <v>75</v>
      </c>
      <c r="O438">
        <v>4.7</v>
      </c>
      <c r="P438" t="s">
        <v>151</v>
      </c>
      <c r="Q438" t="s">
        <v>2072</v>
      </c>
      <c r="R438" s="1">
        <v>0.68</v>
      </c>
      <c r="S438" s="3">
        <f t="shared" si="93"/>
        <v>0.68</v>
      </c>
    </row>
    <row r="439" spans="1:19" x14ac:dyDescent="0.3">
      <c r="A439" t="s">
        <v>949</v>
      </c>
      <c r="B439" t="s">
        <v>950</v>
      </c>
      <c r="C439" t="str">
        <f t="shared" si="92"/>
        <v>Marvin Moore</v>
      </c>
      <c r="D439" t="s">
        <v>19</v>
      </c>
      <c r="E439" t="str">
        <f t="shared" si="82"/>
        <v>Male</v>
      </c>
      <c r="F439">
        <v>57</v>
      </c>
      <c r="G439" t="s">
        <v>50</v>
      </c>
      <c r="H439" t="s">
        <v>14</v>
      </c>
      <c r="I439" t="s">
        <v>65</v>
      </c>
      <c r="J439">
        <v>13</v>
      </c>
      <c r="K439" s="4" t="str" cm="1">
        <f t="array" ref="K439">_xlfn.IFS(J439&lt;=5,"0-5",J439&lt;=10,"6-10",J439&lt;=15,"11-15",J439&lt;=20,"16-20",J439&gt;20,"21+")</f>
        <v>11-15</v>
      </c>
      <c r="L439">
        <v>100</v>
      </c>
      <c r="M439" s="2">
        <f>L439</f>
        <v>100</v>
      </c>
      <c r="N439" s="8">
        <f t="shared" si="83"/>
        <v>100</v>
      </c>
      <c r="O439">
        <v>3.5</v>
      </c>
      <c r="P439" t="s">
        <v>151</v>
      </c>
      <c r="Q439" t="s">
        <v>2072</v>
      </c>
      <c r="R439" s="1">
        <v>0.95</v>
      </c>
      <c r="S439" s="3">
        <f t="shared" si="93"/>
        <v>0.95</v>
      </c>
    </row>
    <row r="440" spans="1:19" x14ac:dyDescent="0.3">
      <c r="A440" t="s">
        <v>951</v>
      </c>
      <c r="B440" t="s">
        <v>952</v>
      </c>
      <c r="C440" t="str">
        <f t="shared" si="92"/>
        <v>Tony French</v>
      </c>
      <c r="D440" t="s">
        <v>40</v>
      </c>
      <c r="E440" t="str">
        <f t="shared" si="82"/>
        <v>Male</v>
      </c>
      <c r="F440">
        <v>28</v>
      </c>
      <c r="G440" t="s">
        <v>104</v>
      </c>
      <c r="H440" t="s">
        <v>105</v>
      </c>
      <c r="I440" t="s">
        <v>65</v>
      </c>
      <c r="J440">
        <v>7</v>
      </c>
      <c r="K440" s="4" t="str" cm="1">
        <f t="array" ref="K440">_xlfn.IFS(J440&lt;=5,"0-5",J440&lt;=10,"6-10",J440&lt;=15,"11-15",J440&lt;=20,"16-20",J440&gt;20,"21+")</f>
        <v>6-10</v>
      </c>
      <c r="L440" t="s">
        <v>221</v>
      </c>
      <c r="M440" s="2" t="str">
        <f>SUBSTITUTE(L440,"$","")</f>
        <v>100</v>
      </c>
      <c r="N440" s="8">
        <f t="shared" si="83"/>
        <v>100</v>
      </c>
      <c r="O440">
        <v>4.3</v>
      </c>
      <c r="P440" t="b">
        <v>0</v>
      </c>
      <c r="Q440" t="s">
        <v>2072</v>
      </c>
      <c r="R440" s="1">
        <v>0.76</v>
      </c>
      <c r="S440" s="3">
        <f t="shared" si="93"/>
        <v>0.76</v>
      </c>
    </row>
    <row r="441" spans="1:19" x14ac:dyDescent="0.3">
      <c r="A441" t="s">
        <v>953</v>
      </c>
      <c r="B441" t="s">
        <v>954</v>
      </c>
      <c r="C441" t="str">
        <f t="shared" si="92"/>
        <v>Stacy Hudson</v>
      </c>
      <c r="D441" t="s">
        <v>26</v>
      </c>
      <c r="E441" t="str">
        <f t="shared" si="82"/>
        <v>Female</v>
      </c>
      <c r="F441">
        <v>26</v>
      </c>
      <c r="G441" t="s">
        <v>7</v>
      </c>
      <c r="H441" t="s">
        <v>8</v>
      </c>
      <c r="I441" t="s">
        <v>81</v>
      </c>
      <c r="J441">
        <v>7</v>
      </c>
      <c r="K441" s="4" t="str" cm="1">
        <f t="array" ref="K441">_xlfn.IFS(J441&lt;=5,"0-5",J441&lt;=10,"6-10",J441&lt;=15,"11-15",J441&lt;=20,"16-20",J441&gt;20,"21+")</f>
        <v>6-10</v>
      </c>
      <c r="L441" t="s">
        <v>16</v>
      </c>
      <c r="M441" s="2" t="str">
        <f>TRIM(MID(L441,FIND(" ",L441)+1,LEN(L441)))</f>
        <v>100</v>
      </c>
      <c r="N441" s="8">
        <f t="shared" si="83"/>
        <v>100</v>
      </c>
      <c r="O441">
        <v>3.3</v>
      </c>
      <c r="P441" t="s">
        <v>60</v>
      </c>
      <c r="Q441" t="s">
        <v>2073</v>
      </c>
      <c r="R441" s="1">
        <v>0.66</v>
      </c>
      <c r="S441" s="3">
        <f t="shared" si="93"/>
        <v>0.66</v>
      </c>
    </row>
    <row r="442" spans="1:19" x14ac:dyDescent="0.3">
      <c r="A442" t="s">
        <v>955</v>
      </c>
      <c r="B442" t="s">
        <v>956</v>
      </c>
      <c r="C442" t="str">
        <f t="shared" si="92"/>
        <v>Scott Washington</v>
      </c>
      <c r="D442" t="s">
        <v>89</v>
      </c>
      <c r="E442" t="str">
        <f t="shared" si="82"/>
        <v>Male</v>
      </c>
      <c r="F442">
        <v>34</v>
      </c>
      <c r="G442" t="s">
        <v>63</v>
      </c>
      <c r="H442" t="s">
        <v>64</v>
      </c>
      <c r="I442" t="s">
        <v>15</v>
      </c>
      <c r="J442">
        <v>15</v>
      </c>
      <c r="K442" s="4" t="str" cm="1">
        <f t="array" ref="K442">_xlfn.IFS(J442&lt;=5,"0-5",J442&lt;=10,"6-10",J442&lt;=15,"11-15",J442&lt;=20,"16-20",J442&gt;20,"21+")</f>
        <v>11-15</v>
      </c>
      <c r="L442">
        <v>75</v>
      </c>
      <c r="M442" s="2">
        <f>L442</f>
        <v>75</v>
      </c>
      <c r="N442" s="8">
        <f t="shared" si="83"/>
        <v>75</v>
      </c>
      <c r="P442">
        <v>0</v>
      </c>
      <c r="Q442" t="s">
        <v>2072</v>
      </c>
      <c r="R442" s="1">
        <v>0.73</v>
      </c>
      <c r="S442" s="3">
        <f t="shared" si="93"/>
        <v>0.73</v>
      </c>
    </row>
    <row r="443" spans="1:19" x14ac:dyDescent="0.3">
      <c r="A443" t="s">
        <v>957</v>
      </c>
      <c r="B443" t="s">
        <v>958</v>
      </c>
      <c r="C443" t="str">
        <f t="shared" si="92"/>
        <v>Timothy Wright</v>
      </c>
      <c r="D443" t="s">
        <v>89</v>
      </c>
      <c r="E443" t="str">
        <f t="shared" si="82"/>
        <v>Male</v>
      </c>
      <c r="F443">
        <v>43</v>
      </c>
      <c r="G443" t="s">
        <v>77</v>
      </c>
      <c r="H443" t="s">
        <v>78</v>
      </c>
      <c r="I443" t="s">
        <v>36</v>
      </c>
      <c r="K443" s="4" t="str" cm="1">
        <f t="array" ref="K443">_xlfn.IFS(J443&lt;=5,"0-5",J443&lt;=10,"6-10",J443&lt;=15,"11-15",J443&lt;=20,"16-20",J443&gt;20,"21+")</f>
        <v>0-5</v>
      </c>
      <c r="L443" t="s">
        <v>306</v>
      </c>
      <c r="M443" s="2" t="str">
        <f>TRIM(MID(L443,FIND(" ",L443)+1,LEN(L443)))</f>
        <v>20</v>
      </c>
      <c r="N443" s="8">
        <f t="shared" si="83"/>
        <v>20</v>
      </c>
      <c r="O443">
        <v>2.8</v>
      </c>
      <c r="R443" s="1">
        <v>0.99</v>
      </c>
      <c r="S443" s="3">
        <f t="shared" si="93"/>
        <v>0.99</v>
      </c>
    </row>
    <row r="444" spans="1:19" x14ac:dyDescent="0.3">
      <c r="A444" t="s">
        <v>959</v>
      </c>
      <c r="B444" t="s">
        <v>960</v>
      </c>
      <c r="C444" t="str">
        <f t="shared" si="92"/>
        <v>Joseph Gonzalez</v>
      </c>
      <c r="D444" t="s">
        <v>84</v>
      </c>
      <c r="E444" t="str">
        <f t="shared" si="82"/>
        <v>Male</v>
      </c>
      <c r="F444">
        <v>31</v>
      </c>
      <c r="G444" t="s">
        <v>167</v>
      </c>
      <c r="H444" t="s">
        <v>168</v>
      </c>
      <c r="I444" t="s">
        <v>22</v>
      </c>
      <c r="J444">
        <v>5</v>
      </c>
      <c r="K444" s="4" t="str" cm="1">
        <f t="array" ref="K444">_xlfn.IFS(J444&lt;=5,"0-5",J444&lt;=10,"6-10",J444&lt;=15,"11-15",J444&lt;=20,"16-20",J444&gt;20,"21+")</f>
        <v>0-5</v>
      </c>
      <c r="N444" s="8" t="str">
        <f t="shared" si="83"/>
        <v/>
      </c>
      <c r="O444">
        <v>2.7</v>
      </c>
      <c r="P444">
        <v>1</v>
      </c>
      <c r="Q444" t="s">
        <v>2073</v>
      </c>
      <c r="R444">
        <v>94</v>
      </c>
      <c r="S444" s="3">
        <f t="shared" ref="S444:S445" si="94">R444/100</f>
        <v>0.94</v>
      </c>
    </row>
    <row r="445" spans="1:19" x14ac:dyDescent="0.3">
      <c r="A445" t="s">
        <v>961</v>
      </c>
      <c r="B445" t="s">
        <v>962</v>
      </c>
      <c r="C445" t="str">
        <f t="shared" si="92"/>
        <v>Andrea Perez</v>
      </c>
      <c r="D445" t="s">
        <v>12</v>
      </c>
      <c r="E445" t="str">
        <f t="shared" si="82"/>
        <v>Female</v>
      </c>
      <c r="F445">
        <v>34</v>
      </c>
      <c r="G445" t="s">
        <v>167</v>
      </c>
      <c r="H445" t="s">
        <v>168</v>
      </c>
      <c r="I445" t="s">
        <v>9</v>
      </c>
      <c r="K445" s="4" t="str" cm="1">
        <f t="array" ref="K445">_xlfn.IFS(J445&lt;=5,"0-5",J445&lt;=10,"6-10",J445&lt;=15,"11-15",J445&lt;=20,"16-20",J445&gt;20,"21+")</f>
        <v>0-5</v>
      </c>
      <c r="L445" t="s">
        <v>56</v>
      </c>
      <c r="M445" s="2" t="str">
        <f>SUBSTITUTE(L445,"$","")</f>
        <v>50</v>
      </c>
      <c r="N445" s="8">
        <f t="shared" si="83"/>
        <v>50</v>
      </c>
      <c r="O445">
        <v>0</v>
      </c>
      <c r="P445" t="b">
        <v>0</v>
      </c>
      <c r="Q445" t="s">
        <v>2072</v>
      </c>
      <c r="R445">
        <v>84</v>
      </c>
      <c r="S445" s="3">
        <f t="shared" si="94"/>
        <v>0.84</v>
      </c>
    </row>
    <row r="446" spans="1:19" x14ac:dyDescent="0.3">
      <c r="A446" t="s">
        <v>963</v>
      </c>
      <c r="B446" t="s">
        <v>964</v>
      </c>
      <c r="C446" t="str">
        <f t="shared" si="92"/>
        <v>Angel Collins</v>
      </c>
      <c r="D446" t="s">
        <v>26</v>
      </c>
      <c r="E446" t="str">
        <f t="shared" si="82"/>
        <v>Female</v>
      </c>
      <c r="F446">
        <v>32</v>
      </c>
      <c r="G446" t="s">
        <v>116</v>
      </c>
      <c r="H446" t="s">
        <v>117</v>
      </c>
      <c r="I446" t="s">
        <v>70</v>
      </c>
      <c r="J446">
        <v>10</v>
      </c>
      <c r="K446" s="4" t="str" cm="1">
        <f t="array" ref="K446">_xlfn.IFS(J446&lt;=5,"0-5",J446&lt;=10,"6-10",J446&lt;=15,"11-15",J446&lt;=20,"16-20",J446&gt;20,"21+")</f>
        <v>6-10</v>
      </c>
      <c r="L446" t="s">
        <v>113</v>
      </c>
      <c r="M446" s="2" t="str">
        <f>SUBSTITUTE(L446,"$","")</f>
        <v>20</v>
      </c>
      <c r="N446" s="8">
        <f t="shared" si="83"/>
        <v>20</v>
      </c>
      <c r="P446" t="s">
        <v>66</v>
      </c>
      <c r="Q446" t="s">
        <v>2073</v>
      </c>
      <c r="R446" s="1">
        <v>0.92</v>
      </c>
      <c r="S446" s="3">
        <f>R446</f>
        <v>0.92</v>
      </c>
    </row>
    <row r="447" spans="1:19" x14ac:dyDescent="0.3">
      <c r="A447" t="s">
        <v>965</v>
      </c>
      <c r="B447" t="s">
        <v>966</v>
      </c>
      <c r="C447" t="str">
        <f t="shared" si="92"/>
        <v>Daniel Terry</v>
      </c>
      <c r="D447" t="s">
        <v>40</v>
      </c>
      <c r="E447" t="str">
        <f t="shared" si="82"/>
        <v>Male</v>
      </c>
      <c r="F447">
        <v>24</v>
      </c>
      <c r="G447" t="s">
        <v>131</v>
      </c>
      <c r="H447" t="s">
        <v>132</v>
      </c>
      <c r="I447" t="s">
        <v>81</v>
      </c>
      <c r="J447">
        <v>6</v>
      </c>
      <c r="K447" s="4" t="str" cm="1">
        <f t="array" ref="K447">_xlfn.IFS(J447&lt;=5,"0-5",J447&lt;=10,"6-10",J447&lt;=15,"11-15",J447&lt;=20,"16-20",J447&gt;20,"21+")</f>
        <v>6-10</v>
      </c>
      <c r="L447" t="s">
        <v>162</v>
      </c>
      <c r="M447" s="2" t="str">
        <f>SUBSTITUTE(L447,"$","")</f>
        <v>75</v>
      </c>
      <c r="N447" s="8">
        <f t="shared" si="83"/>
        <v>75</v>
      </c>
      <c r="O447">
        <v>4.3</v>
      </c>
      <c r="P447" t="s">
        <v>60</v>
      </c>
      <c r="Q447" t="s">
        <v>2073</v>
      </c>
    </row>
    <row r="448" spans="1:19" x14ac:dyDescent="0.3">
      <c r="A448" t="s">
        <v>967</v>
      </c>
      <c r="B448" t="s">
        <v>968</v>
      </c>
      <c r="C448" t="str">
        <f t="shared" si="92"/>
        <v>Steven Whitaker</v>
      </c>
      <c r="D448" t="s">
        <v>19</v>
      </c>
      <c r="E448" t="str">
        <f t="shared" si="82"/>
        <v>Male</v>
      </c>
      <c r="F448">
        <v>35</v>
      </c>
      <c r="G448" t="s">
        <v>59</v>
      </c>
      <c r="H448" t="s">
        <v>14</v>
      </c>
      <c r="I448" t="s">
        <v>36</v>
      </c>
      <c r="J448">
        <v>8</v>
      </c>
      <c r="K448" s="4" t="str" cm="1">
        <f t="array" ref="K448">_xlfn.IFS(J448&lt;=5,"0-5",J448&lt;=10,"6-10",J448&lt;=15,"11-15",J448&lt;=20,"16-20",J448&gt;20,"21+")</f>
        <v>6-10</v>
      </c>
      <c r="L448" t="s">
        <v>90</v>
      </c>
      <c r="M448" s="2" t="str">
        <f>TRIM(MID(L448,FIND(" ",L448)+1,LEN(L448)))</f>
        <v>50</v>
      </c>
      <c r="N448" s="8">
        <f t="shared" si="83"/>
        <v>50</v>
      </c>
      <c r="P448" t="s">
        <v>151</v>
      </c>
      <c r="Q448" t="s">
        <v>2072</v>
      </c>
      <c r="R448">
        <v>90</v>
      </c>
      <c r="S448" s="3">
        <f>R448/100</f>
        <v>0.9</v>
      </c>
    </row>
    <row r="449" spans="1:19" x14ac:dyDescent="0.3">
      <c r="A449" t="s">
        <v>969</v>
      </c>
      <c r="B449" t="s">
        <v>970</v>
      </c>
      <c r="C449" t="str">
        <f t="shared" si="92"/>
        <v>Denise Neal</v>
      </c>
      <c r="D449" t="s">
        <v>12</v>
      </c>
      <c r="E449" t="str">
        <f t="shared" si="82"/>
        <v>Female</v>
      </c>
      <c r="F449">
        <v>22</v>
      </c>
      <c r="G449" t="s">
        <v>13</v>
      </c>
      <c r="H449" t="s">
        <v>14</v>
      </c>
      <c r="I449" t="s">
        <v>15</v>
      </c>
      <c r="J449">
        <v>4</v>
      </c>
      <c r="K449" s="4" t="str" cm="1">
        <f t="array" ref="K449">_xlfn.IFS(J449&lt;=5,"0-5",J449&lt;=10,"6-10",J449&lt;=15,"11-15",J449&lt;=20,"16-20",J449&gt;20,"21+")</f>
        <v>0-5</v>
      </c>
      <c r="L449">
        <v>20</v>
      </c>
      <c r="M449" s="2">
        <f>L449</f>
        <v>20</v>
      </c>
      <c r="N449" s="8">
        <f t="shared" si="83"/>
        <v>20</v>
      </c>
      <c r="P449">
        <v>0</v>
      </c>
      <c r="Q449" t="s">
        <v>2072</v>
      </c>
      <c r="R449" s="1">
        <v>0.73</v>
      </c>
      <c r="S449" s="3">
        <f t="shared" ref="S449:S453" si="95">R449</f>
        <v>0.73</v>
      </c>
    </row>
    <row r="450" spans="1:19" x14ac:dyDescent="0.3">
      <c r="A450" t="s">
        <v>971</v>
      </c>
      <c r="B450" t="s">
        <v>972</v>
      </c>
      <c r="C450" t="str">
        <f t="shared" si="92"/>
        <v>Amanda Jacobs</v>
      </c>
      <c r="D450" t="s">
        <v>26</v>
      </c>
      <c r="E450" t="str">
        <f t="shared" ref="E450:E513" si="96">IF(LOWER(LEFT(D450,1))="f","Female","Male")</f>
        <v>Female</v>
      </c>
      <c r="F450">
        <v>55</v>
      </c>
      <c r="G450" t="s">
        <v>131</v>
      </c>
      <c r="H450" t="s">
        <v>132</v>
      </c>
      <c r="I450" t="s">
        <v>36</v>
      </c>
      <c r="J450">
        <v>3</v>
      </c>
      <c r="K450" s="4" t="str" cm="1">
        <f t="array" ref="K450">_xlfn.IFS(J450&lt;=5,"0-5",J450&lt;=10,"6-10",J450&lt;=15,"11-15",J450&lt;=20,"16-20",J450&gt;20,"21+")</f>
        <v>0-5</v>
      </c>
      <c r="L450">
        <v>100</v>
      </c>
      <c r="M450" s="2">
        <f>L450</f>
        <v>100</v>
      </c>
      <c r="N450" s="8">
        <f t="shared" si="83"/>
        <v>100</v>
      </c>
      <c r="P450">
        <v>1</v>
      </c>
      <c r="Q450" t="s">
        <v>2073</v>
      </c>
      <c r="R450" s="1">
        <v>0.73</v>
      </c>
      <c r="S450" s="3">
        <f t="shared" si="95"/>
        <v>0.73</v>
      </c>
    </row>
    <row r="451" spans="1:19" x14ac:dyDescent="0.3">
      <c r="A451" t="s">
        <v>973</v>
      </c>
      <c r="B451" t="s">
        <v>974</v>
      </c>
      <c r="C451" t="str">
        <f t="shared" si="92"/>
        <v>Karen Mercer</v>
      </c>
      <c r="D451" t="s">
        <v>31</v>
      </c>
      <c r="E451" t="str">
        <f t="shared" si="96"/>
        <v>Female</v>
      </c>
      <c r="F451">
        <v>54</v>
      </c>
      <c r="G451" t="s">
        <v>63</v>
      </c>
      <c r="H451" t="s">
        <v>64</v>
      </c>
      <c r="I451" t="s">
        <v>106</v>
      </c>
      <c r="K451" s="4" t="str" cm="1">
        <f t="array" ref="K451">_xlfn.IFS(J451&lt;=5,"0-5",J451&lt;=10,"6-10",J451&lt;=15,"11-15",J451&lt;=20,"16-20",J451&gt;20,"21+")</f>
        <v>0-5</v>
      </c>
      <c r="L451">
        <v>30</v>
      </c>
      <c r="M451" s="2">
        <f>L451</f>
        <v>30</v>
      </c>
      <c r="N451" s="8">
        <f t="shared" ref="N451:N514" si="97">IF(M451="", "", VALUE(M451))</f>
        <v>30</v>
      </c>
      <c r="O451">
        <v>2.9</v>
      </c>
      <c r="P451" t="b">
        <v>1</v>
      </c>
      <c r="Q451" t="s">
        <v>2073</v>
      </c>
      <c r="R451" s="1">
        <v>0.78</v>
      </c>
      <c r="S451" s="3">
        <f t="shared" si="95"/>
        <v>0.78</v>
      </c>
    </row>
    <row r="452" spans="1:19" x14ac:dyDescent="0.3">
      <c r="A452" t="s">
        <v>975</v>
      </c>
      <c r="B452" t="s">
        <v>976</v>
      </c>
      <c r="C452" t="str">
        <f t="shared" si="92"/>
        <v>Lindsay Hudson</v>
      </c>
      <c r="D452" t="s">
        <v>6</v>
      </c>
      <c r="E452" t="str">
        <f t="shared" si="96"/>
        <v>Female</v>
      </c>
      <c r="F452">
        <v>36</v>
      </c>
      <c r="G452" t="s">
        <v>34</v>
      </c>
      <c r="H452" t="s">
        <v>35</v>
      </c>
      <c r="I452" t="s">
        <v>70</v>
      </c>
      <c r="J452">
        <v>11</v>
      </c>
      <c r="K452" s="4" t="str" cm="1">
        <f t="array" ref="K452">_xlfn.IFS(J452&lt;=5,"0-5",J452&lt;=10,"6-10",J452&lt;=15,"11-15",J452&lt;=20,"16-20",J452&gt;20,"21+")</f>
        <v>11-15</v>
      </c>
      <c r="L452" t="s">
        <v>37</v>
      </c>
      <c r="M452" s="2" t="str">
        <f>SUBSTITUTE(L452,"$","")</f>
        <v>30</v>
      </c>
      <c r="N452" s="8">
        <f t="shared" si="97"/>
        <v>30</v>
      </c>
      <c r="O452">
        <v>0</v>
      </c>
      <c r="P452" t="b">
        <v>1</v>
      </c>
      <c r="Q452" t="s">
        <v>2073</v>
      </c>
      <c r="R452" s="1">
        <v>0.63</v>
      </c>
      <c r="S452" s="3">
        <f t="shared" si="95"/>
        <v>0.63</v>
      </c>
    </row>
    <row r="453" spans="1:19" x14ac:dyDescent="0.3">
      <c r="A453" t="s">
        <v>977</v>
      </c>
      <c r="B453" t="s">
        <v>978</v>
      </c>
      <c r="C453" t="str">
        <f t="shared" si="92"/>
        <v>Stephanie Armstrong</v>
      </c>
      <c r="D453" t="s">
        <v>31</v>
      </c>
      <c r="E453" t="str">
        <f t="shared" si="96"/>
        <v>Female</v>
      </c>
      <c r="F453">
        <v>36</v>
      </c>
      <c r="G453" t="s">
        <v>34</v>
      </c>
      <c r="H453" t="s">
        <v>35</v>
      </c>
      <c r="I453" t="s">
        <v>36</v>
      </c>
      <c r="J453">
        <v>17</v>
      </c>
      <c r="K453" s="4" t="str" cm="1">
        <f t="array" ref="K453">_xlfn.IFS(J453&lt;=5,"0-5",J453&lt;=10,"6-10",J453&lt;=15,"11-15",J453&lt;=20,"16-20",J453&gt;20,"21+")</f>
        <v>16-20</v>
      </c>
      <c r="L453">
        <v>50</v>
      </c>
      <c r="M453" s="2">
        <f>L453</f>
        <v>50</v>
      </c>
      <c r="N453" s="8">
        <f t="shared" si="97"/>
        <v>50</v>
      </c>
      <c r="O453">
        <v>1.3</v>
      </c>
      <c r="R453" s="1">
        <v>0.64</v>
      </c>
      <c r="S453" s="3">
        <f t="shared" si="95"/>
        <v>0.64</v>
      </c>
    </row>
    <row r="454" spans="1:19" x14ac:dyDescent="0.3">
      <c r="A454" t="s">
        <v>979</v>
      </c>
      <c r="B454" t="s">
        <v>980</v>
      </c>
      <c r="C454" t="str">
        <f>TRIM(MID(B454,FIND(" ",B454)+1,LEN(B454)))</f>
        <v>Jessica Campbell</v>
      </c>
      <c r="D454" t="s">
        <v>6</v>
      </c>
      <c r="E454" t="str">
        <f t="shared" si="96"/>
        <v>Female</v>
      </c>
      <c r="F454">
        <v>25</v>
      </c>
      <c r="G454" t="s">
        <v>63</v>
      </c>
      <c r="H454" t="s">
        <v>64</v>
      </c>
      <c r="I454" t="s">
        <v>27</v>
      </c>
      <c r="J454">
        <v>1</v>
      </c>
      <c r="K454" s="4" t="str" cm="1">
        <f t="array" ref="K454">_xlfn.IFS(J454&lt;=5,"0-5",J454&lt;=10,"6-10",J454&lt;=15,"11-15",J454&lt;=20,"16-20",J454&gt;20,"21+")</f>
        <v>0-5</v>
      </c>
      <c r="L454">
        <v>75</v>
      </c>
      <c r="M454" s="2">
        <f>L454</f>
        <v>75</v>
      </c>
      <c r="N454" s="8">
        <f t="shared" si="97"/>
        <v>75</v>
      </c>
      <c r="O454">
        <v>0</v>
      </c>
      <c r="P454">
        <v>1</v>
      </c>
      <c r="Q454" t="s">
        <v>2073</v>
      </c>
    </row>
    <row r="455" spans="1:19" x14ac:dyDescent="0.3">
      <c r="A455" t="s">
        <v>981</v>
      </c>
      <c r="B455" t="s">
        <v>982</v>
      </c>
      <c r="C455" t="str">
        <f t="shared" ref="C455:C462" si="98">B455</f>
        <v>Curtis Maxwell</v>
      </c>
      <c r="D455" t="s">
        <v>89</v>
      </c>
      <c r="E455" t="str">
        <f t="shared" si="96"/>
        <v>Male</v>
      </c>
      <c r="F455">
        <v>46</v>
      </c>
      <c r="G455" t="s">
        <v>41</v>
      </c>
      <c r="H455" t="s">
        <v>42</v>
      </c>
      <c r="I455" t="s">
        <v>36</v>
      </c>
      <c r="J455">
        <v>16</v>
      </c>
      <c r="K455" s="4" t="str" cm="1">
        <f t="array" ref="K455">_xlfn.IFS(J455&lt;=5,"0-5",J455&lt;=10,"6-10",J455&lt;=15,"11-15",J455&lt;=20,"16-20",J455&gt;20,"21+")</f>
        <v>16-20</v>
      </c>
      <c r="L455">
        <v>20</v>
      </c>
      <c r="M455" s="2">
        <f>L455</f>
        <v>20</v>
      </c>
      <c r="N455" s="8">
        <f t="shared" si="97"/>
        <v>20</v>
      </c>
      <c r="O455">
        <v>4.8</v>
      </c>
      <c r="P455">
        <v>1</v>
      </c>
      <c r="Q455" t="s">
        <v>2073</v>
      </c>
      <c r="R455" s="1">
        <v>0.86</v>
      </c>
      <c r="S455" s="3">
        <f>R455</f>
        <v>0.86</v>
      </c>
    </row>
    <row r="456" spans="1:19" x14ac:dyDescent="0.3">
      <c r="A456" t="s">
        <v>983</v>
      </c>
      <c r="B456" t="s">
        <v>984</v>
      </c>
      <c r="C456" t="str">
        <f t="shared" si="98"/>
        <v>Adam Kelly PhD</v>
      </c>
      <c r="D456" t="s">
        <v>84</v>
      </c>
      <c r="E456" t="str">
        <f t="shared" si="96"/>
        <v>Male</v>
      </c>
      <c r="F456">
        <v>41</v>
      </c>
      <c r="G456" t="s">
        <v>63</v>
      </c>
      <c r="H456" t="s">
        <v>64</v>
      </c>
      <c r="I456" t="s">
        <v>106</v>
      </c>
      <c r="J456">
        <v>11</v>
      </c>
      <c r="K456" s="4" t="str" cm="1">
        <f t="array" ref="K456">_xlfn.IFS(J456&lt;=5,"0-5",J456&lt;=10,"6-10",J456&lt;=15,"11-15",J456&lt;=20,"16-20",J456&gt;20,"21+")</f>
        <v>11-15</v>
      </c>
      <c r="L456" t="s">
        <v>28</v>
      </c>
      <c r="M456" s="2" t="str">
        <f>SUBSTITUTE(L456,"$","")</f>
        <v>40</v>
      </c>
      <c r="N456" s="8">
        <f t="shared" si="97"/>
        <v>40</v>
      </c>
      <c r="O456">
        <v>2.4</v>
      </c>
      <c r="P456" t="b">
        <v>0</v>
      </c>
      <c r="Q456" t="s">
        <v>2072</v>
      </c>
    </row>
    <row r="457" spans="1:19" x14ac:dyDescent="0.3">
      <c r="A457" t="s">
        <v>985</v>
      </c>
      <c r="B457" t="s">
        <v>986</v>
      </c>
      <c r="C457" t="str">
        <f t="shared" si="98"/>
        <v>Julie Becker</v>
      </c>
      <c r="D457" t="s">
        <v>12</v>
      </c>
      <c r="E457" t="str">
        <f t="shared" si="96"/>
        <v>Female</v>
      </c>
      <c r="F457">
        <v>21</v>
      </c>
      <c r="G457" t="s">
        <v>116</v>
      </c>
      <c r="H457" t="s">
        <v>117</v>
      </c>
      <c r="I457" t="s">
        <v>15</v>
      </c>
      <c r="J457">
        <v>3</v>
      </c>
      <c r="K457" s="4" t="str" cm="1">
        <f t="array" ref="K457">_xlfn.IFS(J457&lt;=5,"0-5",J457&lt;=10,"6-10",J457&lt;=15,"11-15",J457&lt;=20,"16-20",J457&gt;20,"21+")</f>
        <v>0-5</v>
      </c>
      <c r="L457" t="s">
        <v>221</v>
      </c>
      <c r="M457" s="2" t="str">
        <f>SUBSTITUTE(L457,"$","")</f>
        <v>100</v>
      </c>
      <c r="N457" s="8">
        <f t="shared" si="97"/>
        <v>100</v>
      </c>
      <c r="O457">
        <v>4.7</v>
      </c>
      <c r="P457" t="s">
        <v>23</v>
      </c>
      <c r="Q457" t="s">
        <v>2072</v>
      </c>
      <c r="R457" s="1">
        <v>0.96</v>
      </c>
      <c r="S457" s="3">
        <f>R457</f>
        <v>0.96</v>
      </c>
    </row>
    <row r="458" spans="1:19" x14ac:dyDescent="0.3">
      <c r="A458" t="s">
        <v>987</v>
      </c>
      <c r="B458" t="s">
        <v>988</v>
      </c>
      <c r="C458" t="str">
        <f t="shared" si="98"/>
        <v>James Moore</v>
      </c>
      <c r="D458" t="s">
        <v>89</v>
      </c>
      <c r="E458" t="str">
        <f t="shared" si="96"/>
        <v>Male</v>
      </c>
      <c r="F458">
        <v>29</v>
      </c>
      <c r="G458" t="s">
        <v>50</v>
      </c>
      <c r="H458" t="s">
        <v>14</v>
      </c>
      <c r="I458" t="s">
        <v>22</v>
      </c>
      <c r="K458" s="4" t="str" cm="1">
        <f t="array" ref="K458">_xlfn.IFS(J458&lt;=5,"0-5",J458&lt;=10,"6-10",J458&lt;=15,"11-15",J458&lt;=20,"16-20",J458&gt;20,"21+")</f>
        <v>0-5</v>
      </c>
      <c r="L458" t="s">
        <v>162</v>
      </c>
      <c r="M458" s="2" t="str">
        <f>SUBSTITUTE(L458,"$","")</f>
        <v>75</v>
      </c>
      <c r="N458" s="8">
        <f t="shared" si="97"/>
        <v>75</v>
      </c>
      <c r="O458">
        <v>2</v>
      </c>
      <c r="P458">
        <v>0</v>
      </c>
      <c r="Q458" t="s">
        <v>2072</v>
      </c>
    </row>
    <row r="459" spans="1:19" x14ac:dyDescent="0.3">
      <c r="A459" t="s">
        <v>989</v>
      </c>
      <c r="B459" t="s">
        <v>990</v>
      </c>
      <c r="C459" t="str">
        <f t="shared" si="98"/>
        <v>Danielle Barrera</v>
      </c>
      <c r="D459" t="s">
        <v>26</v>
      </c>
      <c r="E459" t="str">
        <f t="shared" si="96"/>
        <v>Female</v>
      </c>
      <c r="F459">
        <v>44</v>
      </c>
      <c r="G459" t="s">
        <v>50</v>
      </c>
      <c r="H459" t="s">
        <v>14</v>
      </c>
      <c r="I459" t="s">
        <v>15</v>
      </c>
      <c r="J459">
        <v>3</v>
      </c>
      <c r="K459" s="4" t="str" cm="1">
        <f t="array" ref="K459">_xlfn.IFS(J459&lt;=5,"0-5",J459&lt;=10,"6-10",J459&lt;=15,"11-15",J459&lt;=20,"16-20",J459&gt;20,"21+")</f>
        <v>0-5</v>
      </c>
      <c r="L459" t="s">
        <v>56</v>
      </c>
      <c r="M459" s="2" t="str">
        <f>SUBSTITUTE(L459,"$","")</f>
        <v>50</v>
      </c>
      <c r="N459" s="8">
        <f t="shared" si="97"/>
        <v>50</v>
      </c>
      <c r="O459">
        <v>2.2000000000000002</v>
      </c>
      <c r="P459">
        <v>0</v>
      </c>
      <c r="Q459" t="s">
        <v>2072</v>
      </c>
      <c r="R459" s="1">
        <v>0.77</v>
      </c>
      <c r="S459" s="3">
        <f>R459</f>
        <v>0.77</v>
      </c>
    </row>
    <row r="460" spans="1:19" x14ac:dyDescent="0.3">
      <c r="A460" t="s">
        <v>991</v>
      </c>
      <c r="B460" t="s">
        <v>992</v>
      </c>
      <c r="C460" t="str">
        <f t="shared" si="98"/>
        <v>David Sanchez</v>
      </c>
      <c r="D460" t="s">
        <v>89</v>
      </c>
      <c r="E460" t="str">
        <f t="shared" si="96"/>
        <v>Male</v>
      </c>
      <c r="F460">
        <v>40</v>
      </c>
      <c r="G460" t="s">
        <v>120</v>
      </c>
      <c r="H460" t="s">
        <v>14</v>
      </c>
      <c r="I460" t="s">
        <v>106</v>
      </c>
      <c r="J460">
        <v>1</v>
      </c>
      <c r="K460" s="4" t="str" cm="1">
        <f t="array" ref="K460">_xlfn.IFS(J460&lt;=5,"0-5",J460&lt;=10,"6-10",J460&lt;=15,"11-15",J460&lt;=20,"16-20",J460&gt;20,"21+")</f>
        <v>0-5</v>
      </c>
      <c r="L460">
        <v>100</v>
      </c>
      <c r="M460" s="2">
        <f>L460</f>
        <v>100</v>
      </c>
      <c r="N460" s="8">
        <f t="shared" si="97"/>
        <v>100</v>
      </c>
      <c r="O460">
        <v>2.1</v>
      </c>
      <c r="P460">
        <v>1</v>
      </c>
      <c r="Q460" t="s">
        <v>2073</v>
      </c>
    </row>
    <row r="461" spans="1:19" x14ac:dyDescent="0.3">
      <c r="A461" t="s">
        <v>993</v>
      </c>
      <c r="B461" t="s">
        <v>994</v>
      </c>
      <c r="C461" t="str">
        <f t="shared" si="98"/>
        <v>Tiffany Bowman</v>
      </c>
      <c r="D461" t="s">
        <v>31</v>
      </c>
      <c r="E461" t="str">
        <f t="shared" si="96"/>
        <v>Female</v>
      </c>
      <c r="F461">
        <v>27</v>
      </c>
      <c r="G461" t="s">
        <v>131</v>
      </c>
      <c r="H461" t="s">
        <v>132</v>
      </c>
      <c r="I461" t="s">
        <v>43</v>
      </c>
      <c r="J461">
        <v>1</v>
      </c>
      <c r="K461" s="4" t="str" cm="1">
        <f t="array" ref="K461">_xlfn.IFS(J461&lt;=5,"0-5",J461&lt;=10,"6-10",J461&lt;=15,"11-15",J461&lt;=20,"16-20",J461&gt;20,"21+")</f>
        <v>0-5</v>
      </c>
      <c r="L461">
        <v>30</v>
      </c>
      <c r="M461" s="2">
        <f>L461</f>
        <v>30</v>
      </c>
      <c r="N461" s="8">
        <f t="shared" si="97"/>
        <v>30</v>
      </c>
      <c r="O461">
        <v>1.7</v>
      </c>
      <c r="P461" t="b">
        <v>0</v>
      </c>
      <c r="Q461" t="s">
        <v>2072</v>
      </c>
      <c r="R461" s="1">
        <v>0.65</v>
      </c>
      <c r="S461" s="3">
        <f t="shared" ref="S461:S465" si="99">R461</f>
        <v>0.65</v>
      </c>
    </row>
    <row r="462" spans="1:19" x14ac:dyDescent="0.3">
      <c r="A462" t="s">
        <v>995</v>
      </c>
      <c r="B462" t="s">
        <v>996</v>
      </c>
      <c r="C462" t="str">
        <f t="shared" si="98"/>
        <v>Jesus Quinn</v>
      </c>
      <c r="D462" t="s">
        <v>53</v>
      </c>
      <c r="E462" t="str">
        <f t="shared" si="96"/>
        <v>Male</v>
      </c>
      <c r="F462">
        <v>53</v>
      </c>
      <c r="G462" t="s">
        <v>127</v>
      </c>
      <c r="H462" t="s">
        <v>128</v>
      </c>
      <c r="I462" t="s">
        <v>15</v>
      </c>
      <c r="J462">
        <v>35</v>
      </c>
      <c r="K462" s="4" t="str" cm="1">
        <f t="array" ref="K462">_xlfn.IFS(J462&lt;=5,"0-5",J462&lt;=10,"6-10",J462&lt;=15,"11-15",J462&lt;=20,"16-20",J462&gt;20,"21+")</f>
        <v>21+</v>
      </c>
      <c r="N462" s="8" t="str">
        <f t="shared" si="97"/>
        <v/>
      </c>
      <c r="O462">
        <v>5</v>
      </c>
      <c r="P462">
        <v>1</v>
      </c>
      <c r="Q462" t="s">
        <v>2073</v>
      </c>
      <c r="R462" s="1">
        <v>0.62</v>
      </c>
      <c r="S462" s="3">
        <f t="shared" si="99"/>
        <v>0.62</v>
      </c>
    </row>
    <row r="463" spans="1:19" x14ac:dyDescent="0.3">
      <c r="A463" t="s">
        <v>997</v>
      </c>
      <c r="B463" t="s">
        <v>998</v>
      </c>
      <c r="C463" t="str">
        <f>TRIM(MID(B463,FIND(" ",B463)+1,LEN(B463)))</f>
        <v>Danny Morris DDS</v>
      </c>
      <c r="D463" t="s">
        <v>19</v>
      </c>
      <c r="E463" t="str">
        <f t="shared" si="96"/>
        <v>Male</v>
      </c>
      <c r="F463">
        <v>20</v>
      </c>
      <c r="G463" t="s">
        <v>54</v>
      </c>
      <c r="H463" t="s">
        <v>55</v>
      </c>
      <c r="I463" t="s">
        <v>43</v>
      </c>
      <c r="J463">
        <v>1</v>
      </c>
      <c r="K463" s="4" t="str" cm="1">
        <f t="array" ref="K463">_xlfn.IFS(J463&lt;=5,"0-5",J463&lt;=10,"6-10",J463&lt;=15,"11-15",J463&lt;=20,"16-20",J463&gt;20,"21+")</f>
        <v>0-5</v>
      </c>
      <c r="L463">
        <v>50</v>
      </c>
      <c r="M463" s="2">
        <f>L463</f>
        <v>50</v>
      </c>
      <c r="N463" s="8">
        <f t="shared" si="97"/>
        <v>50</v>
      </c>
      <c r="O463">
        <v>2.9</v>
      </c>
      <c r="P463" t="s">
        <v>151</v>
      </c>
      <c r="Q463" t="s">
        <v>2072</v>
      </c>
      <c r="R463" s="1">
        <v>0.81</v>
      </c>
      <c r="S463" s="3">
        <f t="shared" si="99"/>
        <v>0.81</v>
      </c>
    </row>
    <row r="464" spans="1:19" x14ac:dyDescent="0.3">
      <c r="A464" t="s">
        <v>999</v>
      </c>
      <c r="B464" t="s">
        <v>1000</v>
      </c>
      <c r="C464" t="str">
        <f t="shared" ref="C464:C527" si="100">B464</f>
        <v>Nicole York</v>
      </c>
      <c r="D464" t="s">
        <v>31</v>
      </c>
      <c r="E464" t="str">
        <f t="shared" si="96"/>
        <v>Female</v>
      </c>
      <c r="G464" t="s">
        <v>77</v>
      </c>
      <c r="H464" t="s">
        <v>78</v>
      </c>
      <c r="I464" t="s">
        <v>81</v>
      </c>
      <c r="J464">
        <v>12</v>
      </c>
      <c r="K464" s="4" t="str" cm="1">
        <f t="array" ref="K464">_xlfn.IFS(J464&lt;=5,"0-5",J464&lt;=10,"6-10",J464&lt;=15,"11-15",J464&lt;=20,"16-20",J464&gt;20,"21+")</f>
        <v>11-15</v>
      </c>
      <c r="L464" t="s">
        <v>56</v>
      </c>
      <c r="M464" s="2" t="str">
        <f>SUBSTITUTE(L464,"$","")</f>
        <v>50</v>
      </c>
      <c r="N464" s="8">
        <f t="shared" si="97"/>
        <v>50</v>
      </c>
      <c r="O464">
        <v>4.0999999999999996</v>
      </c>
      <c r="P464" t="s">
        <v>66</v>
      </c>
      <c r="Q464" t="s">
        <v>2073</v>
      </c>
      <c r="R464" s="1">
        <v>0.62</v>
      </c>
      <c r="S464" s="3">
        <f t="shared" si="99"/>
        <v>0.62</v>
      </c>
    </row>
    <row r="465" spans="1:19" x14ac:dyDescent="0.3">
      <c r="A465" t="s">
        <v>1001</v>
      </c>
      <c r="B465" t="s">
        <v>1002</v>
      </c>
      <c r="C465" t="str">
        <f t="shared" si="100"/>
        <v>John Mathis</v>
      </c>
      <c r="D465" t="s">
        <v>19</v>
      </c>
      <c r="E465" t="str">
        <f t="shared" si="96"/>
        <v>Male</v>
      </c>
      <c r="F465">
        <v>26</v>
      </c>
      <c r="G465" t="s">
        <v>171</v>
      </c>
      <c r="H465" t="s">
        <v>64</v>
      </c>
      <c r="I465" t="s">
        <v>27</v>
      </c>
      <c r="J465">
        <v>8</v>
      </c>
      <c r="K465" s="4" t="str" cm="1">
        <f t="array" ref="K465">_xlfn.IFS(J465&lt;=5,"0-5",J465&lt;=10,"6-10",J465&lt;=15,"11-15",J465&lt;=20,"16-20",J465&gt;20,"21+")</f>
        <v>6-10</v>
      </c>
      <c r="L465">
        <v>40</v>
      </c>
      <c r="M465" s="2">
        <f>L465</f>
        <v>40</v>
      </c>
      <c r="N465" s="8">
        <f t="shared" si="97"/>
        <v>40</v>
      </c>
      <c r="O465">
        <v>4.9000000000000004</v>
      </c>
      <c r="P465" t="s">
        <v>23</v>
      </c>
      <c r="Q465" t="s">
        <v>2072</v>
      </c>
      <c r="R465" s="1">
        <v>0.87</v>
      </c>
      <c r="S465" s="3">
        <f t="shared" si="99"/>
        <v>0.87</v>
      </c>
    </row>
    <row r="466" spans="1:19" x14ac:dyDescent="0.3">
      <c r="A466" t="s">
        <v>1003</v>
      </c>
      <c r="B466" t="s">
        <v>1004</v>
      </c>
      <c r="C466" t="str">
        <f t="shared" si="100"/>
        <v>Julie Barnett</v>
      </c>
      <c r="D466" t="s">
        <v>31</v>
      </c>
      <c r="E466" t="str">
        <f t="shared" si="96"/>
        <v>Female</v>
      </c>
      <c r="F466">
        <v>49</v>
      </c>
      <c r="G466" t="s">
        <v>99</v>
      </c>
      <c r="H466" t="s">
        <v>100</v>
      </c>
      <c r="I466" t="s">
        <v>106</v>
      </c>
      <c r="J466">
        <v>13</v>
      </c>
      <c r="K466" s="4" t="str" cm="1">
        <f t="array" ref="K466">_xlfn.IFS(J466&lt;=5,"0-5",J466&lt;=10,"6-10",J466&lt;=15,"11-15",J466&lt;=20,"16-20",J466&gt;20,"21+")</f>
        <v>11-15</v>
      </c>
      <c r="L466" t="s">
        <v>221</v>
      </c>
      <c r="M466" s="2" t="str">
        <f>SUBSTITUTE(L466,"$","")</f>
        <v>100</v>
      </c>
      <c r="N466" s="8">
        <f t="shared" si="97"/>
        <v>100</v>
      </c>
      <c r="O466">
        <v>2.5</v>
      </c>
      <c r="P466" t="b">
        <v>0</v>
      </c>
      <c r="Q466" t="s">
        <v>2072</v>
      </c>
    </row>
    <row r="467" spans="1:19" x14ac:dyDescent="0.3">
      <c r="A467" t="s">
        <v>1005</v>
      </c>
      <c r="B467" t="s">
        <v>1006</v>
      </c>
      <c r="C467" t="str">
        <f t="shared" si="100"/>
        <v>Jasmine Harris</v>
      </c>
      <c r="D467" t="s">
        <v>26</v>
      </c>
      <c r="E467" t="str">
        <f t="shared" si="96"/>
        <v>Female</v>
      </c>
      <c r="F467">
        <v>20</v>
      </c>
      <c r="G467" t="s">
        <v>131</v>
      </c>
      <c r="H467" t="s">
        <v>132</v>
      </c>
      <c r="I467" t="s">
        <v>43</v>
      </c>
      <c r="J467">
        <v>0</v>
      </c>
      <c r="K467" s="4" t="str" cm="1">
        <f t="array" ref="K467">_xlfn.IFS(J467&lt;=5,"0-5",J467&lt;=10,"6-10",J467&lt;=15,"11-15",J467&lt;=20,"16-20",J467&gt;20,"21+")</f>
        <v>0-5</v>
      </c>
      <c r="L467" t="s">
        <v>101</v>
      </c>
      <c r="M467" s="2" t="str">
        <f>TRIM(MID(L467,FIND(" ",L467)+1,LEN(L467)))</f>
        <v>30</v>
      </c>
      <c r="N467" s="8">
        <f t="shared" si="97"/>
        <v>30</v>
      </c>
      <c r="O467">
        <v>0</v>
      </c>
      <c r="P467">
        <v>1</v>
      </c>
      <c r="Q467" t="s">
        <v>2073</v>
      </c>
      <c r="R467">
        <v>76</v>
      </c>
      <c r="S467" s="3">
        <f t="shared" ref="S467:S468" si="101">R467/100</f>
        <v>0.76</v>
      </c>
    </row>
    <row r="468" spans="1:19" x14ac:dyDescent="0.3">
      <c r="A468" t="s">
        <v>1007</v>
      </c>
      <c r="B468" t="s">
        <v>1008</v>
      </c>
      <c r="C468" t="str">
        <f t="shared" si="100"/>
        <v>Mary Henry</v>
      </c>
      <c r="D468" t="s">
        <v>31</v>
      </c>
      <c r="E468" t="str">
        <f t="shared" si="96"/>
        <v>Female</v>
      </c>
      <c r="F468">
        <v>39</v>
      </c>
      <c r="G468" t="s">
        <v>167</v>
      </c>
      <c r="H468" t="s">
        <v>168</v>
      </c>
      <c r="I468" t="s">
        <v>9</v>
      </c>
      <c r="J468">
        <v>11</v>
      </c>
      <c r="K468" s="4" t="str" cm="1">
        <f t="array" ref="K468">_xlfn.IFS(J468&lt;=5,"0-5",J468&lt;=10,"6-10",J468&lt;=15,"11-15",J468&lt;=20,"16-20",J468&gt;20,"21+")</f>
        <v>11-15</v>
      </c>
      <c r="L468">
        <v>100</v>
      </c>
      <c r="M468" s="2">
        <f>L468</f>
        <v>100</v>
      </c>
      <c r="N468" s="8">
        <f t="shared" si="97"/>
        <v>100</v>
      </c>
      <c r="O468">
        <v>2.8</v>
      </c>
      <c r="R468">
        <v>70</v>
      </c>
      <c r="S468" s="3">
        <f t="shared" si="101"/>
        <v>0.7</v>
      </c>
    </row>
    <row r="469" spans="1:19" x14ac:dyDescent="0.3">
      <c r="A469" t="s">
        <v>1009</v>
      </c>
      <c r="B469" t="s">
        <v>1010</v>
      </c>
      <c r="C469" t="str">
        <f t="shared" si="100"/>
        <v>Judith Riggs</v>
      </c>
      <c r="D469" t="s">
        <v>26</v>
      </c>
      <c r="E469" t="str">
        <f t="shared" si="96"/>
        <v>Female</v>
      </c>
      <c r="F469">
        <v>41</v>
      </c>
      <c r="G469" t="s">
        <v>167</v>
      </c>
      <c r="H469" t="s">
        <v>168</v>
      </c>
      <c r="I469" t="s">
        <v>106</v>
      </c>
      <c r="J469">
        <v>19</v>
      </c>
      <c r="K469" s="4" t="str" cm="1">
        <f t="array" ref="K469">_xlfn.IFS(J469&lt;=5,"0-5",J469&lt;=10,"6-10",J469&lt;=15,"11-15",J469&lt;=20,"16-20",J469&gt;20,"21+")</f>
        <v>16-20</v>
      </c>
      <c r="L469">
        <v>100</v>
      </c>
      <c r="M469" s="2">
        <f>L469</f>
        <v>100</v>
      </c>
      <c r="N469" s="8">
        <f t="shared" si="97"/>
        <v>100</v>
      </c>
      <c r="O469">
        <v>3.8</v>
      </c>
      <c r="P469" t="s">
        <v>60</v>
      </c>
      <c r="Q469" t="s">
        <v>2073</v>
      </c>
      <c r="R469" s="1">
        <v>0.71</v>
      </c>
      <c r="S469" s="3">
        <f t="shared" ref="S469:S470" si="102">R469</f>
        <v>0.71</v>
      </c>
    </row>
    <row r="470" spans="1:19" x14ac:dyDescent="0.3">
      <c r="A470" t="s">
        <v>1011</v>
      </c>
      <c r="B470" t="s">
        <v>1012</v>
      </c>
      <c r="C470" t="str">
        <f t="shared" si="100"/>
        <v>Justin Ruiz</v>
      </c>
      <c r="D470" t="s">
        <v>89</v>
      </c>
      <c r="E470" t="str">
        <f t="shared" si="96"/>
        <v>Male</v>
      </c>
      <c r="F470">
        <v>59</v>
      </c>
      <c r="G470" t="s">
        <v>120</v>
      </c>
      <c r="H470" t="s">
        <v>14</v>
      </c>
      <c r="I470" t="s">
        <v>15</v>
      </c>
      <c r="J470">
        <v>30</v>
      </c>
      <c r="K470" s="4" t="str" cm="1">
        <f t="array" ref="K470">_xlfn.IFS(J470&lt;=5,"0-5",J470&lt;=10,"6-10",J470&lt;=15,"11-15",J470&lt;=20,"16-20",J470&gt;20,"21+")</f>
        <v>21+</v>
      </c>
      <c r="L470" t="s">
        <v>101</v>
      </c>
      <c r="M470" s="2" t="str">
        <f>TRIM(MID(L470,FIND(" ",L470)+1,LEN(L470)))</f>
        <v>30</v>
      </c>
      <c r="N470" s="8">
        <f t="shared" si="97"/>
        <v>30</v>
      </c>
      <c r="O470">
        <v>4.3</v>
      </c>
      <c r="P470">
        <v>1</v>
      </c>
      <c r="Q470" t="s">
        <v>2073</v>
      </c>
      <c r="R470" s="1">
        <v>0.83</v>
      </c>
      <c r="S470" s="3">
        <f t="shared" si="102"/>
        <v>0.83</v>
      </c>
    </row>
    <row r="471" spans="1:19" x14ac:dyDescent="0.3">
      <c r="A471" t="s">
        <v>1013</v>
      </c>
      <c r="B471" t="s">
        <v>1014</v>
      </c>
      <c r="C471" t="str">
        <f t="shared" si="100"/>
        <v>Jennifer Sullivan</v>
      </c>
      <c r="D471" t="s">
        <v>69</v>
      </c>
      <c r="E471" t="str">
        <f t="shared" si="96"/>
        <v>Female</v>
      </c>
      <c r="F471">
        <v>45</v>
      </c>
      <c r="G471" t="s">
        <v>13</v>
      </c>
      <c r="H471" t="s">
        <v>14</v>
      </c>
      <c r="I471" t="s">
        <v>9</v>
      </c>
      <c r="J471">
        <v>8</v>
      </c>
      <c r="K471" s="4" t="str" cm="1">
        <f t="array" ref="K471">_xlfn.IFS(J471&lt;=5,"0-5",J471&lt;=10,"6-10",J471&lt;=15,"11-15",J471&lt;=20,"16-20",J471&gt;20,"21+")</f>
        <v>6-10</v>
      </c>
      <c r="L471">
        <v>40</v>
      </c>
      <c r="M471" s="2">
        <f>L471</f>
        <v>40</v>
      </c>
      <c r="N471" s="8">
        <f t="shared" si="97"/>
        <v>40</v>
      </c>
      <c r="O471">
        <v>0</v>
      </c>
      <c r="P471">
        <v>0</v>
      </c>
      <c r="Q471" t="s">
        <v>2072</v>
      </c>
      <c r="R471">
        <v>78</v>
      </c>
      <c r="S471" s="3">
        <f>R471/100</f>
        <v>0.78</v>
      </c>
    </row>
    <row r="472" spans="1:19" x14ac:dyDescent="0.3">
      <c r="A472" t="s">
        <v>1015</v>
      </c>
      <c r="B472" t="s">
        <v>1016</v>
      </c>
      <c r="C472" t="str">
        <f t="shared" si="100"/>
        <v>Jesse Moran</v>
      </c>
      <c r="D472" t="s">
        <v>53</v>
      </c>
      <c r="E472" t="str">
        <f t="shared" si="96"/>
        <v>Male</v>
      </c>
      <c r="F472">
        <v>22</v>
      </c>
      <c r="G472" t="s">
        <v>41</v>
      </c>
      <c r="H472" t="s">
        <v>42</v>
      </c>
      <c r="I472" t="s">
        <v>70</v>
      </c>
      <c r="J472">
        <v>0</v>
      </c>
      <c r="K472" s="4" t="str" cm="1">
        <f t="array" ref="K472">_xlfn.IFS(J472&lt;=5,"0-5",J472&lt;=10,"6-10",J472&lt;=15,"11-15",J472&lt;=20,"16-20",J472&gt;20,"21+")</f>
        <v>0-5</v>
      </c>
      <c r="L472">
        <v>40</v>
      </c>
      <c r="M472" s="2">
        <f>L472</f>
        <v>40</v>
      </c>
      <c r="N472" s="8">
        <f t="shared" si="97"/>
        <v>40</v>
      </c>
      <c r="O472">
        <v>1.3</v>
      </c>
      <c r="P472">
        <v>1</v>
      </c>
      <c r="Q472" t="s">
        <v>2073</v>
      </c>
      <c r="R472" s="1">
        <v>0.78</v>
      </c>
      <c r="S472" s="3">
        <f t="shared" ref="S472:S473" si="103">R472</f>
        <v>0.78</v>
      </c>
    </row>
    <row r="473" spans="1:19" x14ac:dyDescent="0.3">
      <c r="A473" t="s">
        <v>1017</v>
      </c>
      <c r="B473" t="s">
        <v>1018</v>
      </c>
      <c r="C473" t="str">
        <f t="shared" si="100"/>
        <v>Monica Smith</v>
      </c>
      <c r="D473" t="s">
        <v>6</v>
      </c>
      <c r="E473" t="str">
        <f t="shared" si="96"/>
        <v>Female</v>
      </c>
      <c r="F473">
        <v>48</v>
      </c>
      <c r="G473" t="s">
        <v>85</v>
      </c>
      <c r="H473" t="s">
        <v>86</v>
      </c>
      <c r="I473" t="s">
        <v>15</v>
      </c>
      <c r="J473">
        <v>7</v>
      </c>
      <c r="K473" s="4" t="str" cm="1">
        <f t="array" ref="K473">_xlfn.IFS(J473&lt;=5,"0-5",J473&lt;=10,"6-10",J473&lt;=15,"11-15",J473&lt;=20,"16-20",J473&gt;20,"21+")</f>
        <v>6-10</v>
      </c>
      <c r="L473">
        <v>50</v>
      </c>
      <c r="M473" s="2">
        <f>L473</f>
        <v>50</v>
      </c>
      <c r="N473" s="8">
        <f t="shared" si="97"/>
        <v>50</v>
      </c>
      <c r="O473">
        <v>4.7</v>
      </c>
      <c r="P473" t="s">
        <v>66</v>
      </c>
      <c r="Q473" t="s">
        <v>2073</v>
      </c>
      <c r="R473" s="1">
        <v>0.6</v>
      </c>
      <c r="S473" s="3">
        <f t="shared" si="103"/>
        <v>0.6</v>
      </c>
    </row>
    <row r="474" spans="1:19" x14ac:dyDescent="0.3">
      <c r="A474" t="s">
        <v>1019</v>
      </c>
      <c r="B474" t="s">
        <v>1020</v>
      </c>
      <c r="C474" t="str">
        <f t="shared" si="100"/>
        <v>Ian May</v>
      </c>
      <c r="D474" t="s">
        <v>53</v>
      </c>
      <c r="E474" t="str">
        <f t="shared" si="96"/>
        <v>Male</v>
      </c>
      <c r="F474">
        <v>36</v>
      </c>
      <c r="G474" t="s">
        <v>127</v>
      </c>
      <c r="H474" t="s">
        <v>128</v>
      </c>
      <c r="I474" t="s">
        <v>9</v>
      </c>
      <c r="J474">
        <v>11</v>
      </c>
      <c r="K474" s="4" t="str" cm="1">
        <f t="array" ref="K474">_xlfn.IFS(J474&lt;=5,"0-5",J474&lt;=10,"6-10",J474&lt;=15,"11-15",J474&lt;=20,"16-20",J474&gt;20,"21+")</f>
        <v>11-15</v>
      </c>
      <c r="L474" t="s">
        <v>28</v>
      </c>
      <c r="M474" s="2" t="str">
        <f>SUBSTITUTE(L474,"$","")</f>
        <v>40</v>
      </c>
      <c r="N474" s="8">
        <f t="shared" si="97"/>
        <v>40</v>
      </c>
      <c r="O474">
        <v>1.3</v>
      </c>
      <c r="P474" t="b">
        <v>1</v>
      </c>
      <c r="Q474" t="s">
        <v>2073</v>
      </c>
    </row>
    <row r="475" spans="1:19" x14ac:dyDescent="0.3">
      <c r="A475" t="s">
        <v>1021</v>
      </c>
      <c r="B475" t="s">
        <v>1022</v>
      </c>
      <c r="C475" t="str">
        <f t="shared" si="100"/>
        <v>Kayla Meyers</v>
      </c>
      <c r="D475" t="s">
        <v>12</v>
      </c>
      <c r="E475" t="str">
        <f t="shared" si="96"/>
        <v>Female</v>
      </c>
      <c r="F475">
        <v>57</v>
      </c>
      <c r="G475" t="s">
        <v>167</v>
      </c>
      <c r="H475" t="s">
        <v>168</v>
      </c>
      <c r="I475" t="s">
        <v>9</v>
      </c>
      <c r="K475" s="4" t="str" cm="1">
        <f t="array" ref="K475">_xlfn.IFS(J475&lt;=5,"0-5",J475&lt;=10,"6-10",J475&lt;=15,"11-15",J475&lt;=20,"16-20",J475&gt;20,"21+")</f>
        <v>0-5</v>
      </c>
      <c r="L475">
        <v>75</v>
      </c>
      <c r="M475" s="2">
        <f>L475</f>
        <v>75</v>
      </c>
      <c r="N475" s="8">
        <f t="shared" si="97"/>
        <v>75</v>
      </c>
      <c r="O475">
        <v>4.8</v>
      </c>
      <c r="P475">
        <v>1</v>
      </c>
      <c r="Q475" t="s">
        <v>2073</v>
      </c>
    </row>
    <row r="476" spans="1:19" x14ac:dyDescent="0.3">
      <c r="A476" t="s">
        <v>1023</v>
      </c>
      <c r="B476" t="s">
        <v>1024</v>
      </c>
      <c r="C476" t="str">
        <f t="shared" si="100"/>
        <v>John Bray</v>
      </c>
      <c r="D476" t="s">
        <v>53</v>
      </c>
      <c r="E476" t="str">
        <f t="shared" si="96"/>
        <v>Male</v>
      </c>
      <c r="F476">
        <v>42</v>
      </c>
      <c r="G476" t="s">
        <v>50</v>
      </c>
      <c r="H476" t="s">
        <v>14</v>
      </c>
      <c r="I476" t="s">
        <v>65</v>
      </c>
      <c r="J476">
        <v>14</v>
      </c>
      <c r="K476" s="4" t="str" cm="1">
        <f t="array" ref="K476">_xlfn.IFS(J476&lt;=5,"0-5",J476&lt;=10,"6-10",J476&lt;=15,"11-15",J476&lt;=20,"16-20",J476&gt;20,"21+")</f>
        <v>11-15</v>
      </c>
      <c r="L476" t="s">
        <v>37</v>
      </c>
      <c r="M476" s="2" t="str">
        <f>SUBSTITUTE(L476,"$","")</f>
        <v>30</v>
      </c>
      <c r="N476" s="8">
        <f t="shared" si="97"/>
        <v>30</v>
      </c>
      <c r="O476">
        <v>1.3</v>
      </c>
      <c r="P476">
        <v>0</v>
      </c>
      <c r="Q476" t="s">
        <v>2072</v>
      </c>
      <c r="R476" s="1">
        <v>0.94</v>
      </c>
      <c r="S476" s="3">
        <f>R476</f>
        <v>0.94</v>
      </c>
    </row>
    <row r="477" spans="1:19" x14ac:dyDescent="0.3">
      <c r="A477" t="s">
        <v>1025</v>
      </c>
      <c r="B477" t="s">
        <v>1026</v>
      </c>
      <c r="C477" t="str">
        <f t="shared" si="100"/>
        <v>James Smith</v>
      </c>
      <c r="D477" t="s">
        <v>40</v>
      </c>
      <c r="E477" t="str">
        <f t="shared" si="96"/>
        <v>Male</v>
      </c>
      <c r="F477">
        <v>31</v>
      </c>
      <c r="G477" t="s">
        <v>41</v>
      </c>
      <c r="H477" t="s">
        <v>42</v>
      </c>
      <c r="I477" t="s">
        <v>70</v>
      </c>
      <c r="J477">
        <v>11</v>
      </c>
      <c r="K477" s="4" t="str" cm="1">
        <f t="array" ref="K477">_xlfn.IFS(J477&lt;=5,"0-5",J477&lt;=10,"6-10",J477&lt;=15,"11-15",J477&lt;=20,"16-20",J477&gt;20,"21+")</f>
        <v>11-15</v>
      </c>
      <c r="L477" t="s">
        <v>56</v>
      </c>
      <c r="M477" s="2" t="str">
        <f>SUBSTITUTE(L477,"$","")</f>
        <v>50</v>
      </c>
      <c r="N477" s="8">
        <f t="shared" si="97"/>
        <v>50</v>
      </c>
      <c r="O477">
        <v>4.3</v>
      </c>
      <c r="P477">
        <v>0</v>
      </c>
      <c r="Q477" t="s">
        <v>2072</v>
      </c>
      <c r="R477">
        <v>62</v>
      </c>
      <c r="S477" s="3">
        <f>R477/100</f>
        <v>0.62</v>
      </c>
    </row>
    <row r="478" spans="1:19" x14ac:dyDescent="0.3">
      <c r="A478" t="s">
        <v>1027</v>
      </c>
      <c r="B478" t="s">
        <v>1028</v>
      </c>
      <c r="C478" t="str">
        <f t="shared" si="100"/>
        <v>Mark Duncan</v>
      </c>
      <c r="D478" t="s">
        <v>84</v>
      </c>
      <c r="E478" t="str">
        <f t="shared" si="96"/>
        <v>Male</v>
      </c>
      <c r="F478">
        <v>52</v>
      </c>
      <c r="G478" t="s">
        <v>182</v>
      </c>
      <c r="H478" t="s">
        <v>64</v>
      </c>
      <c r="I478" t="s">
        <v>70</v>
      </c>
      <c r="J478">
        <v>31</v>
      </c>
      <c r="K478" s="4" t="str" cm="1">
        <f t="array" ref="K478">_xlfn.IFS(J478&lt;=5,"0-5",J478&lt;=10,"6-10",J478&lt;=15,"11-15",J478&lt;=20,"16-20",J478&gt;20,"21+")</f>
        <v>21+</v>
      </c>
      <c r="L478">
        <v>30</v>
      </c>
      <c r="M478" s="2">
        <f>L478</f>
        <v>30</v>
      </c>
      <c r="N478" s="8">
        <f t="shared" si="97"/>
        <v>30</v>
      </c>
      <c r="P478">
        <v>1</v>
      </c>
      <c r="Q478" t="s">
        <v>2073</v>
      </c>
    </row>
    <row r="479" spans="1:19" x14ac:dyDescent="0.3">
      <c r="A479" t="s">
        <v>1029</v>
      </c>
      <c r="B479" t="s">
        <v>1030</v>
      </c>
      <c r="C479" t="str">
        <f t="shared" si="100"/>
        <v>Matthew Gay</v>
      </c>
      <c r="D479" t="s">
        <v>84</v>
      </c>
      <c r="E479" t="str">
        <f t="shared" si="96"/>
        <v>Male</v>
      </c>
      <c r="F479">
        <v>56</v>
      </c>
      <c r="G479" t="s">
        <v>34</v>
      </c>
      <c r="H479" t="s">
        <v>35</v>
      </c>
      <c r="I479" t="s">
        <v>81</v>
      </c>
      <c r="J479">
        <v>16</v>
      </c>
      <c r="K479" s="4" t="str" cm="1">
        <f t="array" ref="K479">_xlfn.IFS(J479&lt;=5,"0-5",J479&lt;=10,"6-10",J479&lt;=15,"11-15",J479&lt;=20,"16-20",J479&gt;20,"21+")</f>
        <v>16-20</v>
      </c>
      <c r="L479" t="s">
        <v>101</v>
      </c>
      <c r="M479" s="2" t="str">
        <f>TRIM(MID(L479,FIND(" ",L479)+1,LEN(L479)))</f>
        <v>30</v>
      </c>
      <c r="N479" s="8">
        <f t="shared" si="97"/>
        <v>30</v>
      </c>
      <c r="O479">
        <v>0</v>
      </c>
      <c r="P479" t="s">
        <v>60</v>
      </c>
      <c r="Q479" t="s">
        <v>2073</v>
      </c>
    </row>
    <row r="480" spans="1:19" x14ac:dyDescent="0.3">
      <c r="A480" t="s">
        <v>1031</v>
      </c>
      <c r="B480" t="s">
        <v>1032</v>
      </c>
      <c r="C480" t="str">
        <f t="shared" si="100"/>
        <v>Cheryl Freeman</v>
      </c>
      <c r="D480" t="s">
        <v>69</v>
      </c>
      <c r="E480" t="str">
        <f t="shared" si="96"/>
        <v>Female</v>
      </c>
      <c r="F480">
        <v>24</v>
      </c>
      <c r="G480" t="s">
        <v>34</v>
      </c>
      <c r="H480" t="s">
        <v>35</v>
      </c>
      <c r="I480" t="s">
        <v>81</v>
      </c>
      <c r="J480">
        <v>6</v>
      </c>
      <c r="K480" s="4" t="str" cm="1">
        <f t="array" ref="K480">_xlfn.IFS(J480&lt;=5,"0-5",J480&lt;=10,"6-10",J480&lt;=15,"11-15",J480&lt;=20,"16-20",J480&gt;20,"21+")</f>
        <v>6-10</v>
      </c>
      <c r="L480">
        <v>30</v>
      </c>
      <c r="M480" s="2">
        <f>L480</f>
        <v>30</v>
      </c>
      <c r="N480" s="8">
        <f t="shared" si="97"/>
        <v>30</v>
      </c>
      <c r="O480">
        <v>0</v>
      </c>
      <c r="P480" t="s">
        <v>60</v>
      </c>
      <c r="Q480" t="s">
        <v>2073</v>
      </c>
      <c r="R480" s="1">
        <v>0.84</v>
      </c>
      <c r="S480" s="3">
        <f>R480</f>
        <v>0.84</v>
      </c>
    </row>
    <row r="481" spans="1:19" x14ac:dyDescent="0.3">
      <c r="A481" t="s">
        <v>1033</v>
      </c>
      <c r="B481" t="s">
        <v>1034</v>
      </c>
      <c r="C481" t="str">
        <f t="shared" si="100"/>
        <v>Patrick Welch</v>
      </c>
      <c r="D481" t="s">
        <v>19</v>
      </c>
      <c r="E481" t="str">
        <f t="shared" si="96"/>
        <v>Male</v>
      </c>
      <c r="F481">
        <v>48</v>
      </c>
      <c r="G481" t="s">
        <v>120</v>
      </c>
      <c r="H481" t="s">
        <v>14</v>
      </c>
      <c r="I481" t="s">
        <v>81</v>
      </c>
      <c r="J481">
        <v>21</v>
      </c>
      <c r="K481" s="4" t="str" cm="1">
        <f t="array" ref="K481">_xlfn.IFS(J481&lt;=5,"0-5",J481&lt;=10,"6-10",J481&lt;=15,"11-15",J481&lt;=20,"16-20",J481&gt;20,"21+")</f>
        <v>21+</v>
      </c>
      <c r="L481">
        <v>75</v>
      </c>
      <c r="M481" s="2">
        <f>L481</f>
        <v>75</v>
      </c>
      <c r="N481" s="8">
        <f t="shared" si="97"/>
        <v>75</v>
      </c>
      <c r="O481">
        <v>2.7</v>
      </c>
      <c r="P481">
        <v>1</v>
      </c>
      <c r="Q481" t="s">
        <v>2073</v>
      </c>
    </row>
    <row r="482" spans="1:19" x14ac:dyDescent="0.3">
      <c r="A482" t="s">
        <v>1035</v>
      </c>
      <c r="B482" t="s">
        <v>1036</v>
      </c>
      <c r="C482" t="str">
        <f t="shared" si="100"/>
        <v>Craig Levine</v>
      </c>
      <c r="D482" t="s">
        <v>89</v>
      </c>
      <c r="E482" t="str">
        <f t="shared" si="96"/>
        <v>Male</v>
      </c>
      <c r="F482">
        <v>59</v>
      </c>
      <c r="G482" t="s">
        <v>127</v>
      </c>
      <c r="H482" t="s">
        <v>128</v>
      </c>
      <c r="I482" t="s">
        <v>70</v>
      </c>
      <c r="J482">
        <v>13</v>
      </c>
      <c r="K482" s="4" t="str" cm="1">
        <f t="array" ref="K482">_xlfn.IFS(J482&lt;=5,"0-5",J482&lt;=10,"6-10",J482&lt;=15,"11-15",J482&lt;=20,"16-20",J482&gt;20,"21+")</f>
        <v>11-15</v>
      </c>
      <c r="L482">
        <v>40</v>
      </c>
      <c r="M482" s="2">
        <f>L482</f>
        <v>40</v>
      </c>
      <c r="N482" s="8">
        <f t="shared" si="97"/>
        <v>40</v>
      </c>
      <c r="O482">
        <v>2.4</v>
      </c>
      <c r="P482" t="s">
        <v>151</v>
      </c>
      <c r="Q482" t="s">
        <v>2072</v>
      </c>
      <c r="R482">
        <v>65</v>
      </c>
      <c r="S482" s="3">
        <f>R482/100</f>
        <v>0.65</v>
      </c>
    </row>
    <row r="483" spans="1:19" x14ac:dyDescent="0.3">
      <c r="A483" t="s">
        <v>1037</v>
      </c>
      <c r="B483" t="s">
        <v>1038</v>
      </c>
      <c r="C483" t="str">
        <f t="shared" si="100"/>
        <v>Richard Harvey</v>
      </c>
      <c r="D483" t="s">
        <v>53</v>
      </c>
      <c r="E483" t="str">
        <f t="shared" si="96"/>
        <v>Male</v>
      </c>
      <c r="G483" t="s">
        <v>59</v>
      </c>
      <c r="H483" t="s">
        <v>14</v>
      </c>
      <c r="I483" t="s">
        <v>27</v>
      </c>
      <c r="K483" s="4" t="str" cm="1">
        <f t="array" ref="K483">_xlfn.IFS(J483&lt;=5,"0-5",J483&lt;=10,"6-10",J483&lt;=15,"11-15",J483&lt;=20,"16-20",J483&gt;20,"21+")</f>
        <v>0-5</v>
      </c>
      <c r="L483">
        <v>40</v>
      </c>
      <c r="M483" s="2">
        <f>L483</f>
        <v>40</v>
      </c>
      <c r="N483" s="8">
        <f t="shared" si="97"/>
        <v>40</v>
      </c>
      <c r="O483">
        <v>1.9</v>
      </c>
      <c r="P483">
        <v>1</v>
      </c>
      <c r="Q483" t="s">
        <v>2073</v>
      </c>
      <c r="R483" s="1">
        <v>0.94</v>
      </c>
      <c r="S483" s="3">
        <f t="shared" ref="S483:S486" si="104">R483</f>
        <v>0.94</v>
      </c>
    </row>
    <row r="484" spans="1:19" x14ac:dyDescent="0.3">
      <c r="A484" t="s">
        <v>1039</v>
      </c>
      <c r="B484" t="s">
        <v>1040</v>
      </c>
      <c r="C484" t="str">
        <f t="shared" si="100"/>
        <v>Bonnie Sherman</v>
      </c>
      <c r="D484" t="s">
        <v>31</v>
      </c>
      <c r="E484" t="str">
        <f t="shared" si="96"/>
        <v>Female</v>
      </c>
      <c r="G484" t="s">
        <v>34</v>
      </c>
      <c r="H484" t="s">
        <v>35</v>
      </c>
      <c r="I484" t="s">
        <v>15</v>
      </c>
      <c r="J484">
        <v>11</v>
      </c>
      <c r="K484" s="4" t="str" cm="1">
        <f t="array" ref="K484">_xlfn.IFS(J484&lt;=5,"0-5",J484&lt;=10,"6-10",J484&lt;=15,"11-15",J484&lt;=20,"16-20",J484&gt;20,"21+")</f>
        <v>11-15</v>
      </c>
      <c r="L484" t="s">
        <v>113</v>
      </c>
      <c r="M484" s="2" t="str">
        <f>SUBSTITUTE(L484,"$","")</f>
        <v>20</v>
      </c>
      <c r="N484" s="8">
        <f t="shared" si="97"/>
        <v>20</v>
      </c>
      <c r="O484">
        <v>3.6</v>
      </c>
      <c r="P484" t="s">
        <v>151</v>
      </c>
      <c r="Q484" t="s">
        <v>2072</v>
      </c>
      <c r="R484" s="1">
        <v>0.69</v>
      </c>
      <c r="S484" s="3">
        <f t="shared" si="104"/>
        <v>0.69</v>
      </c>
    </row>
    <row r="485" spans="1:19" x14ac:dyDescent="0.3">
      <c r="A485" t="s">
        <v>1041</v>
      </c>
      <c r="B485" t="s">
        <v>1042</v>
      </c>
      <c r="C485" t="str">
        <f t="shared" si="100"/>
        <v>Keith Trujillo</v>
      </c>
      <c r="D485" t="s">
        <v>40</v>
      </c>
      <c r="E485" t="str">
        <f t="shared" si="96"/>
        <v>Male</v>
      </c>
      <c r="F485">
        <v>25</v>
      </c>
      <c r="G485" t="s">
        <v>34</v>
      </c>
      <c r="H485" t="s">
        <v>35</v>
      </c>
      <c r="I485" t="s">
        <v>15</v>
      </c>
      <c r="J485">
        <v>0</v>
      </c>
      <c r="K485" s="4" t="str" cm="1">
        <f t="array" ref="K485">_xlfn.IFS(J485&lt;=5,"0-5",J485&lt;=10,"6-10",J485&lt;=15,"11-15",J485&lt;=20,"16-20",J485&gt;20,"21+")</f>
        <v>0-5</v>
      </c>
      <c r="L485">
        <v>50</v>
      </c>
      <c r="M485" s="2">
        <f>L485</f>
        <v>50</v>
      </c>
      <c r="N485" s="8">
        <f t="shared" si="97"/>
        <v>50</v>
      </c>
      <c r="O485">
        <v>2.9</v>
      </c>
      <c r="P485" t="s">
        <v>60</v>
      </c>
      <c r="Q485" t="s">
        <v>2073</v>
      </c>
      <c r="R485" s="1">
        <v>0.65</v>
      </c>
      <c r="S485" s="3">
        <f t="shared" si="104"/>
        <v>0.65</v>
      </c>
    </row>
    <row r="486" spans="1:19" x14ac:dyDescent="0.3">
      <c r="A486" t="s">
        <v>1043</v>
      </c>
      <c r="B486" t="s">
        <v>1044</v>
      </c>
      <c r="C486" t="str">
        <f t="shared" si="100"/>
        <v>Corey Combs</v>
      </c>
      <c r="D486" t="s">
        <v>19</v>
      </c>
      <c r="E486" t="str">
        <f t="shared" si="96"/>
        <v>Male</v>
      </c>
      <c r="F486">
        <v>31</v>
      </c>
      <c r="G486" t="s">
        <v>131</v>
      </c>
      <c r="H486" t="s">
        <v>132</v>
      </c>
      <c r="I486" t="s">
        <v>15</v>
      </c>
      <c r="J486">
        <v>2</v>
      </c>
      <c r="K486" s="4" t="str" cm="1">
        <f t="array" ref="K486">_xlfn.IFS(J486&lt;=5,"0-5",J486&lt;=10,"6-10",J486&lt;=15,"11-15",J486&lt;=20,"16-20",J486&gt;20,"21+")</f>
        <v>0-5</v>
      </c>
      <c r="L486" t="s">
        <v>162</v>
      </c>
      <c r="M486" s="2" t="str">
        <f>SUBSTITUTE(L486,"$","")</f>
        <v>75</v>
      </c>
      <c r="N486" s="8">
        <f t="shared" si="97"/>
        <v>75</v>
      </c>
      <c r="O486">
        <v>2.8</v>
      </c>
      <c r="P486" t="b">
        <v>0</v>
      </c>
      <c r="Q486" t="s">
        <v>2072</v>
      </c>
      <c r="R486" s="1">
        <v>0.6</v>
      </c>
      <c r="S486" s="3">
        <f t="shared" si="104"/>
        <v>0.6</v>
      </c>
    </row>
    <row r="487" spans="1:19" x14ac:dyDescent="0.3">
      <c r="A487" t="s">
        <v>1045</v>
      </c>
      <c r="B487" t="s">
        <v>1046</v>
      </c>
      <c r="C487" t="str">
        <f t="shared" si="100"/>
        <v>Antonio King</v>
      </c>
      <c r="D487" t="s">
        <v>53</v>
      </c>
      <c r="E487" t="str">
        <f t="shared" si="96"/>
        <v>Male</v>
      </c>
      <c r="F487">
        <v>40</v>
      </c>
      <c r="G487" t="s">
        <v>54</v>
      </c>
      <c r="H487" t="s">
        <v>55</v>
      </c>
      <c r="I487" t="s">
        <v>81</v>
      </c>
      <c r="J487">
        <v>12</v>
      </c>
      <c r="K487" s="4" t="str" cm="1">
        <f t="array" ref="K487">_xlfn.IFS(J487&lt;=5,"0-5",J487&lt;=10,"6-10",J487&lt;=15,"11-15",J487&lt;=20,"16-20",J487&gt;20,"21+")</f>
        <v>11-15</v>
      </c>
      <c r="L487">
        <v>75</v>
      </c>
      <c r="M487" s="2">
        <f>L487</f>
        <v>75</v>
      </c>
      <c r="N487" s="8">
        <f t="shared" si="97"/>
        <v>75</v>
      </c>
      <c r="O487">
        <v>2.6</v>
      </c>
      <c r="P487" t="b">
        <v>0</v>
      </c>
      <c r="Q487" t="s">
        <v>2072</v>
      </c>
    </row>
    <row r="488" spans="1:19" x14ac:dyDescent="0.3">
      <c r="A488" t="s">
        <v>1047</v>
      </c>
      <c r="B488" t="s">
        <v>667</v>
      </c>
      <c r="C488" t="str">
        <f t="shared" si="100"/>
        <v>Amy Lee</v>
      </c>
      <c r="D488" t="s">
        <v>6</v>
      </c>
      <c r="E488" t="str">
        <f t="shared" si="96"/>
        <v>Female</v>
      </c>
      <c r="F488">
        <v>48</v>
      </c>
      <c r="G488" t="s">
        <v>116</v>
      </c>
      <c r="H488" t="s">
        <v>117</v>
      </c>
      <c r="I488" t="s">
        <v>9</v>
      </c>
      <c r="J488">
        <v>13</v>
      </c>
      <c r="K488" s="4" t="str" cm="1">
        <f t="array" ref="K488">_xlfn.IFS(J488&lt;=5,"0-5",J488&lt;=10,"6-10",J488&lt;=15,"11-15",J488&lt;=20,"16-20",J488&gt;20,"21+")</f>
        <v>11-15</v>
      </c>
      <c r="L488" t="s">
        <v>221</v>
      </c>
      <c r="M488" s="2" t="str">
        <f>SUBSTITUTE(L488,"$","")</f>
        <v>100</v>
      </c>
      <c r="N488" s="8">
        <f t="shared" si="97"/>
        <v>100</v>
      </c>
      <c r="O488">
        <v>2.7</v>
      </c>
      <c r="R488" s="1">
        <v>0.62</v>
      </c>
      <c r="S488" s="3">
        <f>R488</f>
        <v>0.62</v>
      </c>
    </row>
    <row r="489" spans="1:19" x14ac:dyDescent="0.3">
      <c r="A489" t="s">
        <v>1048</v>
      </c>
      <c r="B489" t="s">
        <v>1049</v>
      </c>
      <c r="C489" t="str">
        <f t="shared" si="100"/>
        <v>Jennifer Rogers</v>
      </c>
      <c r="D489" t="s">
        <v>6</v>
      </c>
      <c r="E489" t="str">
        <f t="shared" si="96"/>
        <v>Female</v>
      </c>
      <c r="F489">
        <v>24</v>
      </c>
      <c r="G489" t="s">
        <v>145</v>
      </c>
      <c r="H489" t="s">
        <v>146</v>
      </c>
      <c r="I489" t="s">
        <v>15</v>
      </c>
      <c r="J489">
        <v>6</v>
      </c>
      <c r="K489" s="4" t="str" cm="1">
        <f t="array" ref="K489">_xlfn.IFS(J489&lt;=5,"0-5",J489&lt;=10,"6-10",J489&lt;=15,"11-15",J489&lt;=20,"16-20",J489&gt;20,"21+")</f>
        <v>6-10</v>
      </c>
      <c r="L489">
        <v>30</v>
      </c>
      <c r="M489" s="2">
        <f>L489</f>
        <v>30</v>
      </c>
      <c r="N489" s="8">
        <f t="shared" si="97"/>
        <v>30</v>
      </c>
      <c r="O489">
        <v>1.1000000000000001</v>
      </c>
      <c r="P489" t="s">
        <v>60</v>
      </c>
      <c r="Q489" t="s">
        <v>2073</v>
      </c>
    </row>
    <row r="490" spans="1:19" x14ac:dyDescent="0.3">
      <c r="A490" t="s">
        <v>1050</v>
      </c>
      <c r="B490" t="s">
        <v>1051</v>
      </c>
      <c r="C490" t="str">
        <f t="shared" si="100"/>
        <v>Jeffrey Cooper</v>
      </c>
      <c r="D490" t="s">
        <v>53</v>
      </c>
      <c r="E490" t="str">
        <f t="shared" si="96"/>
        <v>Male</v>
      </c>
      <c r="F490">
        <v>33</v>
      </c>
      <c r="G490" t="s">
        <v>41</v>
      </c>
      <c r="H490" t="s">
        <v>42</v>
      </c>
      <c r="I490" t="s">
        <v>27</v>
      </c>
      <c r="J490">
        <v>10</v>
      </c>
      <c r="K490" s="4" t="str" cm="1">
        <f t="array" ref="K490">_xlfn.IFS(J490&lt;=5,"0-5",J490&lt;=10,"6-10",J490&lt;=15,"11-15",J490&lt;=20,"16-20",J490&gt;20,"21+")</f>
        <v>6-10</v>
      </c>
      <c r="L490" t="s">
        <v>101</v>
      </c>
      <c r="M490" s="2" t="str">
        <f>TRIM(MID(L490,FIND(" ",L490)+1,LEN(L490)))</f>
        <v>30</v>
      </c>
      <c r="N490" s="8">
        <f t="shared" si="97"/>
        <v>30</v>
      </c>
      <c r="O490">
        <v>0</v>
      </c>
      <c r="P490" t="s">
        <v>60</v>
      </c>
      <c r="Q490" t="s">
        <v>2073</v>
      </c>
      <c r="R490" s="1">
        <v>0.89</v>
      </c>
      <c r="S490" s="3">
        <f t="shared" ref="S490:S492" si="105">R490</f>
        <v>0.89</v>
      </c>
    </row>
    <row r="491" spans="1:19" x14ac:dyDescent="0.3">
      <c r="A491" t="s">
        <v>1052</v>
      </c>
      <c r="B491" t="s">
        <v>1053</v>
      </c>
      <c r="C491" t="str">
        <f t="shared" si="100"/>
        <v>Allison Williams</v>
      </c>
      <c r="D491" t="s">
        <v>69</v>
      </c>
      <c r="E491" t="str">
        <f t="shared" si="96"/>
        <v>Female</v>
      </c>
      <c r="F491">
        <v>43</v>
      </c>
      <c r="G491" t="s">
        <v>99</v>
      </c>
      <c r="H491" t="s">
        <v>100</v>
      </c>
      <c r="I491" t="s">
        <v>65</v>
      </c>
      <c r="J491">
        <v>2</v>
      </c>
      <c r="K491" s="4" t="str" cm="1">
        <f t="array" ref="K491">_xlfn.IFS(J491&lt;=5,"0-5",J491&lt;=10,"6-10",J491&lt;=15,"11-15",J491&lt;=20,"16-20",J491&gt;20,"21+")</f>
        <v>0-5</v>
      </c>
      <c r="L491" t="s">
        <v>28</v>
      </c>
      <c r="M491" s="2" t="str">
        <f>SUBSTITUTE(L491,"$","")</f>
        <v>40</v>
      </c>
      <c r="N491" s="8">
        <f t="shared" si="97"/>
        <v>40</v>
      </c>
      <c r="O491">
        <v>0</v>
      </c>
      <c r="P491" t="s">
        <v>60</v>
      </c>
      <c r="Q491" t="s">
        <v>2073</v>
      </c>
      <c r="R491" s="1">
        <v>0.89</v>
      </c>
      <c r="S491" s="3">
        <f t="shared" si="105"/>
        <v>0.89</v>
      </c>
    </row>
    <row r="492" spans="1:19" x14ac:dyDescent="0.3">
      <c r="A492" t="s">
        <v>1054</v>
      </c>
      <c r="B492" t="s">
        <v>1055</v>
      </c>
      <c r="C492" t="str">
        <f t="shared" si="100"/>
        <v>Raymond Sherman</v>
      </c>
      <c r="D492" t="s">
        <v>84</v>
      </c>
      <c r="E492" t="str">
        <f t="shared" si="96"/>
        <v>Male</v>
      </c>
      <c r="F492">
        <v>43</v>
      </c>
      <c r="G492" t="s">
        <v>182</v>
      </c>
      <c r="H492" t="s">
        <v>64</v>
      </c>
      <c r="I492" t="s">
        <v>9</v>
      </c>
      <c r="J492">
        <v>4</v>
      </c>
      <c r="K492" s="4" t="str" cm="1">
        <f t="array" ref="K492">_xlfn.IFS(J492&lt;=5,"0-5",J492&lt;=10,"6-10",J492&lt;=15,"11-15",J492&lt;=20,"16-20",J492&gt;20,"21+")</f>
        <v>0-5</v>
      </c>
      <c r="L492">
        <v>50</v>
      </c>
      <c r="M492" s="2">
        <f>L492</f>
        <v>50</v>
      </c>
      <c r="N492" s="8">
        <f t="shared" si="97"/>
        <v>50</v>
      </c>
      <c r="O492">
        <v>0</v>
      </c>
      <c r="P492" t="b">
        <v>1</v>
      </c>
      <c r="Q492" t="s">
        <v>2073</v>
      </c>
      <c r="R492" s="1">
        <v>1</v>
      </c>
      <c r="S492" s="3">
        <f t="shared" si="105"/>
        <v>1</v>
      </c>
    </row>
    <row r="493" spans="1:19" x14ac:dyDescent="0.3">
      <c r="A493" t="s">
        <v>1056</v>
      </c>
      <c r="B493" t="s">
        <v>1057</v>
      </c>
      <c r="C493" t="str">
        <f t="shared" si="100"/>
        <v>Jennifer Nelson</v>
      </c>
      <c r="D493" t="s">
        <v>12</v>
      </c>
      <c r="E493" t="str">
        <f t="shared" si="96"/>
        <v>Female</v>
      </c>
      <c r="F493">
        <v>33</v>
      </c>
      <c r="G493" t="s">
        <v>13</v>
      </c>
      <c r="H493" t="s">
        <v>14</v>
      </c>
      <c r="I493" t="s">
        <v>27</v>
      </c>
      <c r="J493">
        <v>11</v>
      </c>
      <c r="K493" s="4" t="str" cm="1">
        <f t="array" ref="K493">_xlfn.IFS(J493&lt;=5,"0-5",J493&lt;=10,"6-10",J493&lt;=15,"11-15",J493&lt;=20,"16-20",J493&gt;20,"21+")</f>
        <v>11-15</v>
      </c>
      <c r="N493" s="8" t="str">
        <f t="shared" si="97"/>
        <v/>
      </c>
      <c r="O493">
        <v>4.5999999999999996</v>
      </c>
      <c r="P493" t="s">
        <v>60</v>
      </c>
      <c r="Q493" t="s">
        <v>2073</v>
      </c>
    </row>
    <row r="494" spans="1:19" x14ac:dyDescent="0.3">
      <c r="A494" t="s">
        <v>1058</v>
      </c>
      <c r="B494" t="s">
        <v>1059</v>
      </c>
      <c r="C494" t="str">
        <f t="shared" si="100"/>
        <v>Jennifer Carter</v>
      </c>
      <c r="D494" t="s">
        <v>12</v>
      </c>
      <c r="E494" t="str">
        <f t="shared" si="96"/>
        <v>Female</v>
      </c>
      <c r="F494">
        <v>49</v>
      </c>
      <c r="G494" t="s">
        <v>116</v>
      </c>
      <c r="H494" t="s">
        <v>117</v>
      </c>
      <c r="I494" t="s">
        <v>65</v>
      </c>
      <c r="J494">
        <v>14</v>
      </c>
      <c r="K494" s="4" t="str" cm="1">
        <f t="array" ref="K494">_xlfn.IFS(J494&lt;=5,"0-5",J494&lt;=10,"6-10",J494&lt;=15,"11-15",J494&lt;=20,"16-20",J494&gt;20,"21+")</f>
        <v>11-15</v>
      </c>
      <c r="L494">
        <v>40</v>
      </c>
      <c r="M494" s="2">
        <f>L494</f>
        <v>40</v>
      </c>
      <c r="N494" s="8">
        <f t="shared" si="97"/>
        <v>40</v>
      </c>
      <c r="O494">
        <v>1.5</v>
      </c>
      <c r="R494" s="1">
        <v>0.6</v>
      </c>
      <c r="S494" s="3">
        <f t="shared" ref="S494:S508" si="106">R494</f>
        <v>0.6</v>
      </c>
    </row>
    <row r="495" spans="1:19" x14ac:dyDescent="0.3">
      <c r="A495" t="s">
        <v>1060</v>
      </c>
      <c r="B495" t="s">
        <v>1061</v>
      </c>
      <c r="C495" t="str">
        <f t="shared" si="100"/>
        <v>Todd Williams</v>
      </c>
      <c r="D495" t="s">
        <v>40</v>
      </c>
      <c r="E495" t="str">
        <f t="shared" si="96"/>
        <v>Male</v>
      </c>
      <c r="F495">
        <v>55</v>
      </c>
      <c r="G495" t="s">
        <v>120</v>
      </c>
      <c r="H495" t="s">
        <v>14</v>
      </c>
      <c r="I495" t="s">
        <v>65</v>
      </c>
      <c r="J495">
        <v>10</v>
      </c>
      <c r="K495" s="4" t="str" cm="1">
        <f t="array" ref="K495">_xlfn.IFS(J495&lt;=5,"0-5",J495&lt;=10,"6-10",J495&lt;=15,"11-15",J495&lt;=20,"16-20",J495&gt;20,"21+")</f>
        <v>6-10</v>
      </c>
      <c r="L495">
        <v>40</v>
      </c>
      <c r="M495" s="2">
        <f>L495</f>
        <v>40</v>
      </c>
      <c r="N495" s="8">
        <f t="shared" si="97"/>
        <v>40</v>
      </c>
      <c r="O495">
        <v>2</v>
      </c>
      <c r="P495" t="s">
        <v>151</v>
      </c>
      <c r="Q495" t="s">
        <v>2072</v>
      </c>
      <c r="R495" s="1">
        <v>0.85</v>
      </c>
      <c r="S495" s="3">
        <f t="shared" si="106"/>
        <v>0.85</v>
      </c>
    </row>
    <row r="496" spans="1:19" x14ac:dyDescent="0.3">
      <c r="A496" t="s">
        <v>1062</v>
      </c>
      <c r="B496" t="s">
        <v>1063</v>
      </c>
      <c r="C496" t="str">
        <f t="shared" si="100"/>
        <v>Emily Horton</v>
      </c>
      <c r="D496" t="s">
        <v>26</v>
      </c>
      <c r="E496" t="str">
        <f t="shared" si="96"/>
        <v>Female</v>
      </c>
      <c r="F496">
        <v>33</v>
      </c>
      <c r="G496" t="s">
        <v>104</v>
      </c>
      <c r="H496" t="s">
        <v>105</v>
      </c>
      <c r="I496" t="s">
        <v>22</v>
      </c>
      <c r="J496">
        <v>3</v>
      </c>
      <c r="K496" s="4" t="str" cm="1">
        <f t="array" ref="K496">_xlfn.IFS(J496&lt;=5,"0-5",J496&lt;=10,"6-10",J496&lt;=15,"11-15",J496&lt;=20,"16-20",J496&gt;20,"21+")</f>
        <v>0-5</v>
      </c>
      <c r="L496" t="s">
        <v>28</v>
      </c>
      <c r="M496" s="2" t="str">
        <f>SUBSTITUTE(L496,"$","")</f>
        <v>40</v>
      </c>
      <c r="N496" s="8">
        <f t="shared" si="97"/>
        <v>40</v>
      </c>
      <c r="O496">
        <v>1.6</v>
      </c>
      <c r="R496" s="1">
        <v>0.83</v>
      </c>
      <c r="S496" s="3">
        <f t="shared" si="106"/>
        <v>0.83</v>
      </c>
    </row>
    <row r="497" spans="1:19" x14ac:dyDescent="0.3">
      <c r="A497" t="s">
        <v>1064</v>
      </c>
      <c r="B497" t="s">
        <v>1065</v>
      </c>
      <c r="C497" t="str">
        <f t="shared" si="100"/>
        <v>Lance Lester</v>
      </c>
      <c r="D497" t="s">
        <v>89</v>
      </c>
      <c r="E497" t="str">
        <f t="shared" si="96"/>
        <v>Male</v>
      </c>
      <c r="F497">
        <v>32</v>
      </c>
      <c r="G497" t="s">
        <v>63</v>
      </c>
      <c r="H497" t="s">
        <v>64</v>
      </c>
      <c r="I497" t="s">
        <v>36</v>
      </c>
      <c r="J497">
        <v>3</v>
      </c>
      <c r="K497" s="4" t="str" cm="1">
        <f t="array" ref="K497">_xlfn.IFS(J497&lt;=5,"0-5",J497&lt;=10,"6-10",J497&lt;=15,"11-15",J497&lt;=20,"16-20",J497&gt;20,"21+")</f>
        <v>0-5</v>
      </c>
      <c r="L497" t="s">
        <v>37</v>
      </c>
      <c r="M497" s="2" t="str">
        <f>SUBSTITUTE(L497,"$","")</f>
        <v>30</v>
      </c>
      <c r="N497" s="8">
        <f t="shared" si="97"/>
        <v>30</v>
      </c>
      <c r="O497">
        <v>1.5</v>
      </c>
      <c r="P497" t="s">
        <v>23</v>
      </c>
      <c r="Q497" t="s">
        <v>2072</v>
      </c>
      <c r="R497" s="1">
        <v>0.96</v>
      </c>
      <c r="S497" s="3">
        <f t="shared" si="106"/>
        <v>0.96</v>
      </c>
    </row>
    <row r="498" spans="1:19" x14ac:dyDescent="0.3">
      <c r="A498" t="s">
        <v>1066</v>
      </c>
      <c r="B498" t="s">
        <v>1067</v>
      </c>
      <c r="C498" t="str">
        <f t="shared" si="100"/>
        <v>Kevin Flores</v>
      </c>
      <c r="D498" t="s">
        <v>40</v>
      </c>
      <c r="E498" t="str">
        <f t="shared" si="96"/>
        <v>Male</v>
      </c>
      <c r="F498">
        <v>58</v>
      </c>
      <c r="G498" t="s">
        <v>34</v>
      </c>
      <c r="H498" t="s">
        <v>35</v>
      </c>
      <c r="I498" t="s">
        <v>9</v>
      </c>
      <c r="J498">
        <v>33</v>
      </c>
      <c r="K498" s="4" t="str" cm="1">
        <f t="array" ref="K498">_xlfn.IFS(J498&lt;=5,"0-5",J498&lt;=10,"6-10",J498&lt;=15,"11-15",J498&lt;=20,"16-20",J498&gt;20,"21+")</f>
        <v>21+</v>
      </c>
      <c r="N498" s="8" t="str">
        <f t="shared" si="97"/>
        <v/>
      </c>
      <c r="O498">
        <v>4.0999999999999996</v>
      </c>
      <c r="P498" t="s">
        <v>66</v>
      </c>
      <c r="Q498" t="s">
        <v>2073</v>
      </c>
      <c r="R498" s="1">
        <v>0.83</v>
      </c>
      <c r="S498" s="3">
        <f t="shared" si="106"/>
        <v>0.83</v>
      </c>
    </row>
    <row r="499" spans="1:19" x14ac:dyDescent="0.3">
      <c r="A499" t="s">
        <v>1068</v>
      </c>
      <c r="B499" t="s">
        <v>1069</v>
      </c>
      <c r="C499" t="str">
        <f t="shared" si="100"/>
        <v>Aaron Stewart PhD</v>
      </c>
      <c r="D499" t="s">
        <v>19</v>
      </c>
      <c r="E499" t="str">
        <f t="shared" si="96"/>
        <v>Male</v>
      </c>
      <c r="F499">
        <v>49</v>
      </c>
      <c r="G499" t="s">
        <v>41</v>
      </c>
      <c r="H499" t="s">
        <v>42</v>
      </c>
      <c r="I499" t="s">
        <v>43</v>
      </c>
      <c r="J499">
        <v>24</v>
      </c>
      <c r="K499" s="4" t="str" cm="1">
        <f t="array" ref="K499">_xlfn.IFS(J499&lt;=5,"0-5",J499&lt;=10,"6-10",J499&lt;=15,"11-15",J499&lt;=20,"16-20",J499&gt;20,"21+")</f>
        <v>21+</v>
      </c>
      <c r="L499">
        <v>100</v>
      </c>
      <c r="M499" s="2">
        <f>L499</f>
        <v>100</v>
      </c>
      <c r="N499" s="8">
        <f t="shared" si="97"/>
        <v>100</v>
      </c>
      <c r="O499">
        <v>4.7</v>
      </c>
      <c r="P499">
        <v>0</v>
      </c>
      <c r="Q499" t="s">
        <v>2072</v>
      </c>
      <c r="R499" s="1">
        <v>0.6</v>
      </c>
      <c r="S499" s="3">
        <f t="shared" si="106"/>
        <v>0.6</v>
      </c>
    </row>
    <row r="500" spans="1:19" x14ac:dyDescent="0.3">
      <c r="A500" t="s">
        <v>1070</v>
      </c>
      <c r="B500" t="s">
        <v>1071</v>
      </c>
      <c r="C500" t="str">
        <f t="shared" si="100"/>
        <v>Robin Moore</v>
      </c>
      <c r="D500" t="s">
        <v>69</v>
      </c>
      <c r="E500" t="str">
        <f t="shared" si="96"/>
        <v>Female</v>
      </c>
      <c r="F500">
        <v>22</v>
      </c>
      <c r="G500" t="s">
        <v>116</v>
      </c>
      <c r="H500" t="s">
        <v>117</v>
      </c>
      <c r="I500" t="s">
        <v>65</v>
      </c>
      <c r="J500">
        <v>3</v>
      </c>
      <c r="K500" s="4" t="str" cm="1">
        <f t="array" ref="K500">_xlfn.IFS(J500&lt;=5,"0-5",J500&lt;=10,"6-10",J500&lt;=15,"11-15",J500&lt;=20,"16-20",J500&gt;20,"21+")</f>
        <v>0-5</v>
      </c>
      <c r="L500" t="s">
        <v>16</v>
      </c>
      <c r="M500" s="2" t="str">
        <f>TRIM(MID(L500,FIND(" ",L500)+1,LEN(L500)))</f>
        <v>100</v>
      </c>
      <c r="N500" s="8">
        <f t="shared" si="97"/>
        <v>100</v>
      </c>
      <c r="O500">
        <v>3.6</v>
      </c>
      <c r="P500">
        <v>1</v>
      </c>
      <c r="Q500" t="s">
        <v>2073</v>
      </c>
      <c r="R500" s="1">
        <v>0.78</v>
      </c>
      <c r="S500" s="3">
        <f t="shared" si="106"/>
        <v>0.78</v>
      </c>
    </row>
    <row r="501" spans="1:19" x14ac:dyDescent="0.3">
      <c r="A501" t="s">
        <v>1072</v>
      </c>
      <c r="B501" t="s">
        <v>1073</v>
      </c>
      <c r="C501" t="str">
        <f t="shared" si="100"/>
        <v>Suzanne Ingram</v>
      </c>
      <c r="D501" t="s">
        <v>6</v>
      </c>
      <c r="E501" t="str">
        <f t="shared" si="96"/>
        <v>Female</v>
      </c>
      <c r="F501">
        <v>40</v>
      </c>
      <c r="G501" t="s">
        <v>131</v>
      </c>
      <c r="H501" t="s">
        <v>132</v>
      </c>
      <c r="I501" t="s">
        <v>27</v>
      </c>
      <c r="J501">
        <v>11</v>
      </c>
      <c r="K501" s="4" t="str" cm="1">
        <f t="array" ref="K501">_xlfn.IFS(J501&lt;=5,"0-5",J501&lt;=10,"6-10",J501&lt;=15,"11-15",J501&lt;=20,"16-20",J501&gt;20,"21+")</f>
        <v>11-15</v>
      </c>
      <c r="L501" t="s">
        <v>113</v>
      </c>
      <c r="M501" s="2" t="str">
        <f>SUBSTITUTE(L501,"$","")</f>
        <v>20</v>
      </c>
      <c r="N501" s="8">
        <f t="shared" si="97"/>
        <v>20</v>
      </c>
      <c r="O501">
        <v>1.8</v>
      </c>
      <c r="P501">
        <v>1</v>
      </c>
      <c r="Q501" t="s">
        <v>2073</v>
      </c>
      <c r="R501" s="1">
        <v>0.9</v>
      </c>
      <c r="S501" s="3">
        <f t="shared" si="106"/>
        <v>0.9</v>
      </c>
    </row>
    <row r="502" spans="1:19" x14ac:dyDescent="0.3">
      <c r="A502" t="s">
        <v>1074</v>
      </c>
      <c r="B502" t="s">
        <v>1075</v>
      </c>
      <c r="C502" t="str">
        <f t="shared" si="100"/>
        <v>Jacob Mclaughlin</v>
      </c>
      <c r="D502" t="s">
        <v>40</v>
      </c>
      <c r="E502" t="str">
        <f t="shared" si="96"/>
        <v>Male</v>
      </c>
      <c r="F502">
        <v>55</v>
      </c>
      <c r="G502" t="s">
        <v>13</v>
      </c>
      <c r="H502" t="s">
        <v>14</v>
      </c>
      <c r="I502" t="s">
        <v>43</v>
      </c>
      <c r="J502">
        <v>7</v>
      </c>
      <c r="K502" s="4" t="str" cm="1">
        <f t="array" ref="K502">_xlfn.IFS(J502&lt;=5,"0-5",J502&lt;=10,"6-10",J502&lt;=15,"11-15",J502&lt;=20,"16-20",J502&gt;20,"21+")</f>
        <v>6-10</v>
      </c>
      <c r="L502" t="s">
        <v>16</v>
      </c>
      <c r="M502" s="2" t="str">
        <f>TRIM(MID(L502,FIND(" ",L502)+1,LEN(L502)))</f>
        <v>100</v>
      </c>
      <c r="N502" s="8">
        <f t="shared" si="97"/>
        <v>100</v>
      </c>
      <c r="O502">
        <v>2.1</v>
      </c>
      <c r="P502">
        <v>0</v>
      </c>
      <c r="Q502" t="s">
        <v>2072</v>
      </c>
      <c r="R502" s="1">
        <v>0.66</v>
      </c>
      <c r="S502" s="3">
        <f t="shared" si="106"/>
        <v>0.66</v>
      </c>
    </row>
    <row r="503" spans="1:19" x14ac:dyDescent="0.3">
      <c r="A503" t="s">
        <v>1076</v>
      </c>
      <c r="B503" t="s">
        <v>1077</v>
      </c>
      <c r="C503" t="str">
        <f t="shared" si="100"/>
        <v>Michael Nunez</v>
      </c>
      <c r="D503" t="s">
        <v>84</v>
      </c>
      <c r="E503" t="str">
        <f t="shared" si="96"/>
        <v>Male</v>
      </c>
      <c r="F503">
        <v>32</v>
      </c>
      <c r="G503" t="s">
        <v>171</v>
      </c>
      <c r="H503" t="s">
        <v>64</v>
      </c>
      <c r="I503" t="s">
        <v>81</v>
      </c>
      <c r="J503">
        <v>1</v>
      </c>
      <c r="K503" s="4" t="str" cm="1">
        <f t="array" ref="K503">_xlfn.IFS(J503&lt;=5,"0-5",J503&lt;=10,"6-10",J503&lt;=15,"11-15",J503&lt;=20,"16-20",J503&gt;20,"21+")</f>
        <v>0-5</v>
      </c>
      <c r="L503" t="s">
        <v>56</v>
      </c>
      <c r="M503" s="2" t="str">
        <f>SUBSTITUTE(L503,"$","")</f>
        <v>50</v>
      </c>
      <c r="N503" s="8">
        <f t="shared" si="97"/>
        <v>50</v>
      </c>
      <c r="P503" t="s">
        <v>60</v>
      </c>
      <c r="Q503" t="s">
        <v>2073</v>
      </c>
      <c r="R503" s="1">
        <v>0.7</v>
      </c>
      <c r="S503" s="3">
        <f t="shared" si="106"/>
        <v>0.7</v>
      </c>
    </row>
    <row r="504" spans="1:19" x14ac:dyDescent="0.3">
      <c r="A504" t="s">
        <v>1078</v>
      </c>
      <c r="B504" t="s">
        <v>1079</v>
      </c>
      <c r="C504" t="str">
        <f t="shared" si="100"/>
        <v>Isabel Brown</v>
      </c>
      <c r="D504" t="s">
        <v>12</v>
      </c>
      <c r="E504" t="str">
        <f t="shared" si="96"/>
        <v>Female</v>
      </c>
      <c r="F504">
        <v>21</v>
      </c>
      <c r="G504" t="s">
        <v>77</v>
      </c>
      <c r="H504" t="s">
        <v>78</v>
      </c>
      <c r="I504" t="s">
        <v>65</v>
      </c>
      <c r="J504">
        <v>0</v>
      </c>
      <c r="K504" s="4" t="str" cm="1">
        <f t="array" ref="K504">_xlfn.IFS(J504&lt;=5,"0-5",J504&lt;=10,"6-10",J504&lt;=15,"11-15",J504&lt;=20,"16-20",J504&gt;20,"21+")</f>
        <v>0-5</v>
      </c>
      <c r="L504" t="s">
        <v>101</v>
      </c>
      <c r="M504" s="2" t="str">
        <f>TRIM(MID(L504,FIND(" ",L504)+1,LEN(L504)))</f>
        <v>30</v>
      </c>
      <c r="N504" s="8">
        <f t="shared" si="97"/>
        <v>30</v>
      </c>
      <c r="O504">
        <v>4.2</v>
      </c>
      <c r="P504" t="s">
        <v>60</v>
      </c>
      <c r="Q504" t="s">
        <v>2073</v>
      </c>
      <c r="R504" s="1">
        <v>0.79</v>
      </c>
      <c r="S504" s="3">
        <f t="shared" si="106"/>
        <v>0.79</v>
      </c>
    </row>
    <row r="505" spans="1:19" x14ac:dyDescent="0.3">
      <c r="A505" t="s">
        <v>1080</v>
      </c>
      <c r="B505" t="s">
        <v>1081</v>
      </c>
      <c r="C505" t="str">
        <f t="shared" si="100"/>
        <v>Michael Stein</v>
      </c>
      <c r="D505" t="s">
        <v>84</v>
      </c>
      <c r="E505" t="str">
        <f t="shared" si="96"/>
        <v>Male</v>
      </c>
      <c r="F505">
        <v>23</v>
      </c>
      <c r="G505" t="s">
        <v>104</v>
      </c>
      <c r="H505" t="s">
        <v>105</v>
      </c>
      <c r="I505" t="s">
        <v>9</v>
      </c>
      <c r="J505">
        <v>1</v>
      </c>
      <c r="K505" s="4" t="str" cm="1">
        <f t="array" ref="K505">_xlfn.IFS(J505&lt;=5,"0-5",J505&lt;=10,"6-10",J505&lt;=15,"11-15",J505&lt;=20,"16-20",J505&gt;20,"21+")</f>
        <v>0-5</v>
      </c>
      <c r="L505">
        <v>40</v>
      </c>
      <c r="M505" s="2">
        <f>L505</f>
        <v>40</v>
      </c>
      <c r="N505" s="8">
        <f t="shared" si="97"/>
        <v>40</v>
      </c>
      <c r="O505">
        <v>0</v>
      </c>
      <c r="P505">
        <v>0</v>
      </c>
      <c r="Q505" t="s">
        <v>2072</v>
      </c>
      <c r="R505" s="1">
        <v>0.64</v>
      </c>
      <c r="S505" s="3">
        <f t="shared" si="106"/>
        <v>0.64</v>
      </c>
    </row>
    <row r="506" spans="1:19" x14ac:dyDescent="0.3">
      <c r="A506" t="s">
        <v>1082</v>
      </c>
      <c r="B506" t="s">
        <v>1083</v>
      </c>
      <c r="C506" t="str">
        <f t="shared" si="100"/>
        <v>Robert Stone</v>
      </c>
      <c r="D506" t="s">
        <v>89</v>
      </c>
      <c r="E506" t="str">
        <f t="shared" si="96"/>
        <v>Male</v>
      </c>
      <c r="F506">
        <v>21</v>
      </c>
      <c r="G506" t="s">
        <v>59</v>
      </c>
      <c r="H506" t="s">
        <v>14</v>
      </c>
      <c r="I506" t="s">
        <v>15</v>
      </c>
      <c r="J506">
        <v>1</v>
      </c>
      <c r="K506" s="4" t="str" cm="1">
        <f t="array" ref="K506">_xlfn.IFS(J506&lt;=5,"0-5",J506&lt;=10,"6-10",J506&lt;=15,"11-15",J506&lt;=20,"16-20",J506&gt;20,"21+")</f>
        <v>0-5</v>
      </c>
      <c r="L506" t="s">
        <v>101</v>
      </c>
      <c r="M506" s="2" t="str">
        <f>TRIM(MID(L506,FIND(" ",L506)+1,LEN(L506)))</f>
        <v>30</v>
      </c>
      <c r="N506" s="8">
        <f t="shared" si="97"/>
        <v>30</v>
      </c>
      <c r="O506">
        <v>1</v>
      </c>
      <c r="P506" t="s">
        <v>23</v>
      </c>
      <c r="Q506" t="s">
        <v>2072</v>
      </c>
      <c r="R506" s="1">
        <v>0.81</v>
      </c>
      <c r="S506" s="3">
        <f t="shared" si="106"/>
        <v>0.81</v>
      </c>
    </row>
    <row r="507" spans="1:19" x14ac:dyDescent="0.3">
      <c r="A507" t="s">
        <v>1084</v>
      </c>
      <c r="B507" t="s">
        <v>1085</v>
      </c>
      <c r="C507" t="str">
        <f t="shared" si="100"/>
        <v>Dillon Henry</v>
      </c>
      <c r="D507" t="s">
        <v>89</v>
      </c>
      <c r="E507" t="str">
        <f t="shared" si="96"/>
        <v>Male</v>
      </c>
      <c r="F507">
        <v>31</v>
      </c>
      <c r="G507" t="s">
        <v>63</v>
      </c>
      <c r="H507" t="s">
        <v>64</v>
      </c>
      <c r="I507" t="s">
        <v>36</v>
      </c>
      <c r="J507">
        <v>7</v>
      </c>
      <c r="K507" s="4" t="str" cm="1">
        <f t="array" ref="K507">_xlfn.IFS(J507&lt;=5,"0-5",J507&lt;=10,"6-10",J507&lt;=15,"11-15",J507&lt;=20,"16-20",J507&gt;20,"21+")</f>
        <v>6-10</v>
      </c>
      <c r="L507">
        <v>75</v>
      </c>
      <c r="M507" s="2">
        <f>L507</f>
        <v>75</v>
      </c>
      <c r="N507" s="8">
        <f t="shared" si="97"/>
        <v>75</v>
      </c>
      <c r="O507">
        <v>4.4000000000000004</v>
      </c>
      <c r="P507">
        <v>0</v>
      </c>
      <c r="Q507" t="s">
        <v>2072</v>
      </c>
      <c r="R507" s="1">
        <v>0.83</v>
      </c>
      <c r="S507" s="3">
        <f t="shared" si="106"/>
        <v>0.83</v>
      </c>
    </row>
    <row r="508" spans="1:19" x14ac:dyDescent="0.3">
      <c r="A508" t="s">
        <v>1086</v>
      </c>
      <c r="B508" t="s">
        <v>1087</v>
      </c>
      <c r="C508" t="str">
        <f t="shared" si="100"/>
        <v>James Todd</v>
      </c>
      <c r="D508" t="s">
        <v>84</v>
      </c>
      <c r="E508" t="str">
        <f t="shared" si="96"/>
        <v>Male</v>
      </c>
      <c r="F508">
        <v>21</v>
      </c>
      <c r="G508" t="s">
        <v>171</v>
      </c>
      <c r="H508" t="s">
        <v>64</v>
      </c>
      <c r="I508" t="s">
        <v>9</v>
      </c>
      <c r="K508" s="4" t="str" cm="1">
        <f t="array" ref="K508">_xlfn.IFS(J508&lt;=5,"0-5",J508&lt;=10,"6-10",J508&lt;=15,"11-15",J508&lt;=20,"16-20",J508&gt;20,"21+")</f>
        <v>0-5</v>
      </c>
      <c r="L508">
        <v>40</v>
      </c>
      <c r="M508" s="2">
        <f>L508</f>
        <v>40</v>
      </c>
      <c r="N508" s="8">
        <f t="shared" si="97"/>
        <v>40</v>
      </c>
      <c r="O508">
        <v>4</v>
      </c>
      <c r="P508">
        <v>0</v>
      </c>
      <c r="Q508" t="s">
        <v>2072</v>
      </c>
      <c r="R508" s="1">
        <v>0.91</v>
      </c>
      <c r="S508" s="3">
        <f t="shared" si="106"/>
        <v>0.91</v>
      </c>
    </row>
    <row r="509" spans="1:19" x14ac:dyDescent="0.3">
      <c r="A509" t="s">
        <v>1088</v>
      </c>
      <c r="B509" t="s">
        <v>1089</v>
      </c>
      <c r="C509" t="str">
        <f t="shared" si="100"/>
        <v>Clifford Moore MD</v>
      </c>
      <c r="D509" t="s">
        <v>19</v>
      </c>
      <c r="E509" t="str">
        <f t="shared" si="96"/>
        <v>Male</v>
      </c>
      <c r="F509">
        <v>33</v>
      </c>
      <c r="G509" t="s">
        <v>59</v>
      </c>
      <c r="H509" t="s">
        <v>14</v>
      </c>
      <c r="I509" t="s">
        <v>70</v>
      </c>
      <c r="J509">
        <v>6</v>
      </c>
      <c r="K509" s="4" t="str" cm="1">
        <f t="array" ref="K509">_xlfn.IFS(J509&lt;=5,"0-5",J509&lt;=10,"6-10",J509&lt;=15,"11-15",J509&lt;=20,"16-20",J509&gt;20,"21+")</f>
        <v>6-10</v>
      </c>
      <c r="L509" t="s">
        <v>90</v>
      </c>
      <c r="M509" s="2" t="str">
        <f>TRIM(MID(L509,FIND(" ",L509)+1,LEN(L509)))</f>
        <v>50</v>
      </c>
      <c r="N509" s="8">
        <f t="shared" si="97"/>
        <v>50</v>
      </c>
      <c r="O509">
        <v>3.1</v>
      </c>
      <c r="P509" t="s">
        <v>23</v>
      </c>
      <c r="Q509" t="s">
        <v>2072</v>
      </c>
    </row>
    <row r="510" spans="1:19" x14ac:dyDescent="0.3">
      <c r="A510" t="s">
        <v>1090</v>
      </c>
      <c r="B510" t="s">
        <v>1091</v>
      </c>
      <c r="C510" t="str">
        <f t="shared" si="100"/>
        <v>John Rios</v>
      </c>
      <c r="D510" t="s">
        <v>40</v>
      </c>
      <c r="E510" t="str">
        <f t="shared" si="96"/>
        <v>Male</v>
      </c>
      <c r="F510">
        <v>57</v>
      </c>
      <c r="G510" t="s">
        <v>99</v>
      </c>
      <c r="H510" t="s">
        <v>100</v>
      </c>
      <c r="I510" t="s">
        <v>27</v>
      </c>
      <c r="J510">
        <v>5</v>
      </c>
      <c r="K510" s="4" t="str" cm="1">
        <f t="array" ref="K510">_xlfn.IFS(J510&lt;=5,"0-5",J510&lt;=10,"6-10",J510&lt;=15,"11-15",J510&lt;=20,"16-20",J510&gt;20,"21+")</f>
        <v>0-5</v>
      </c>
      <c r="L510">
        <v>75</v>
      </c>
      <c r="M510" s="2">
        <f>L510</f>
        <v>75</v>
      </c>
      <c r="N510" s="8">
        <f t="shared" si="97"/>
        <v>75</v>
      </c>
      <c r="O510">
        <v>1.1000000000000001</v>
      </c>
      <c r="P510" t="b">
        <v>1</v>
      </c>
      <c r="Q510" t="s">
        <v>2073</v>
      </c>
      <c r="R510" s="1">
        <v>0.77</v>
      </c>
      <c r="S510" s="3">
        <f t="shared" ref="S510:S514" si="107">R510</f>
        <v>0.77</v>
      </c>
    </row>
    <row r="511" spans="1:19" x14ac:dyDescent="0.3">
      <c r="A511" t="s">
        <v>1092</v>
      </c>
      <c r="B511" t="s">
        <v>1093</v>
      </c>
      <c r="C511" t="str">
        <f t="shared" si="100"/>
        <v>Anthony Gaines</v>
      </c>
      <c r="D511" t="s">
        <v>40</v>
      </c>
      <c r="E511" t="str">
        <f t="shared" si="96"/>
        <v>Male</v>
      </c>
      <c r="F511">
        <v>52</v>
      </c>
      <c r="G511" t="s">
        <v>50</v>
      </c>
      <c r="H511" t="s">
        <v>14</v>
      </c>
      <c r="I511" t="s">
        <v>81</v>
      </c>
      <c r="J511">
        <v>17</v>
      </c>
      <c r="K511" s="4" t="str" cm="1">
        <f t="array" ref="K511">_xlfn.IFS(J511&lt;=5,"0-5",J511&lt;=10,"6-10",J511&lt;=15,"11-15",J511&lt;=20,"16-20",J511&gt;20,"21+")</f>
        <v>16-20</v>
      </c>
      <c r="L511" t="s">
        <v>44</v>
      </c>
      <c r="M511" s="2" t="str">
        <f>TRIM(MID(L511,FIND(" ",L511)+1,LEN(L511)))</f>
        <v>75</v>
      </c>
      <c r="N511" s="8">
        <f t="shared" si="97"/>
        <v>75</v>
      </c>
      <c r="O511">
        <v>0</v>
      </c>
      <c r="P511">
        <v>0</v>
      </c>
      <c r="Q511" t="s">
        <v>2072</v>
      </c>
      <c r="R511" s="1">
        <v>0.94</v>
      </c>
      <c r="S511" s="3">
        <f t="shared" si="107"/>
        <v>0.94</v>
      </c>
    </row>
    <row r="512" spans="1:19" x14ac:dyDescent="0.3">
      <c r="A512" t="s">
        <v>1094</v>
      </c>
      <c r="B512" t="s">
        <v>1095</v>
      </c>
      <c r="C512" t="str">
        <f t="shared" si="100"/>
        <v>Kristi Brown DVM</v>
      </c>
      <c r="D512" t="s">
        <v>69</v>
      </c>
      <c r="E512" t="str">
        <f t="shared" si="96"/>
        <v>Female</v>
      </c>
      <c r="F512">
        <v>21</v>
      </c>
      <c r="G512" t="s">
        <v>20</v>
      </c>
      <c r="H512" t="s">
        <v>21</v>
      </c>
      <c r="I512" t="s">
        <v>27</v>
      </c>
      <c r="J512">
        <v>0</v>
      </c>
      <c r="K512" s="4" t="str" cm="1">
        <f t="array" ref="K512">_xlfn.IFS(J512&lt;=5,"0-5",J512&lt;=10,"6-10",J512&lt;=15,"11-15",J512&lt;=20,"16-20",J512&gt;20,"21+")</f>
        <v>0-5</v>
      </c>
      <c r="L512" t="s">
        <v>113</v>
      </c>
      <c r="M512" s="2" t="str">
        <f>SUBSTITUTE(L512,"$","")</f>
        <v>20</v>
      </c>
      <c r="N512" s="8">
        <f t="shared" si="97"/>
        <v>20</v>
      </c>
      <c r="O512">
        <v>3.8</v>
      </c>
      <c r="P512">
        <v>1</v>
      </c>
      <c r="Q512" t="s">
        <v>2073</v>
      </c>
      <c r="R512" s="1">
        <v>0.61</v>
      </c>
      <c r="S512" s="3">
        <f t="shared" si="107"/>
        <v>0.61</v>
      </c>
    </row>
    <row r="513" spans="1:19" x14ac:dyDescent="0.3">
      <c r="A513" t="s">
        <v>1096</v>
      </c>
      <c r="B513" t="s">
        <v>1097</v>
      </c>
      <c r="C513" t="str">
        <f t="shared" si="100"/>
        <v>Ashley Odonnell</v>
      </c>
      <c r="D513" t="s">
        <v>12</v>
      </c>
      <c r="E513" t="str">
        <f t="shared" si="96"/>
        <v>Female</v>
      </c>
      <c r="F513">
        <v>36</v>
      </c>
      <c r="G513" t="s">
        <v>63</v>
      </c>
      <c r="H513" t="s">
        <v>64</v>
      </c>
      <c r="I513" t="s">
        <v>65</v>
      </c>
      <c r="J513">
        <v>8</v>
      </c>
      <c r="K513" s="4" t="str" cm="1">
        <f t="array" ref="K513">_xlfn.IFS(J513&lt;=5,"0-5",J513&lt;=10,"6-10",J513&lt;=15,"11-15",J513&lt;=20,"16-20",J513&gt;20,"21+")</f>
        <v>6-10</v>
      </c>
      <c r="L513">
        <v>100</v>
      </c>
      <c r="M513" s="2">
        <f>L513</f>
        <v>100</v>
      </c>
      <c r="N513" s="8">
        <f t="shared" si="97"/>
        <v>100</v>
      </c>
      <c r="O513">
        <v>1.7</v>
      </c>
      <c r="P513" t="s">
        <v>23</v>
      </c>
      <c r="Q513" t="s">
        <v>2072</v>
      </c>
      <c r="R513" s="1">
        <v>0.68</v>
      </c>
      <c r="S513" s="3">
        <f t="shared" si="107"/>
        <v>0.68</v>
      </c>
    </row>
    <row r="514" spans="1:19" x14ac:dyDescent="0.3">
      <c r="A514" t="s">
        <v>1098</v>
      </c>
      <c r="B514" t="s">
        <v>1099</v>
      </c>
      <c r="C514" t="str">
        <f t="shared" si="100"/>
        <v>Ronald Elliott</v>
      </c>
      <c r="D514" t="s">
        <v>19</v>
      </c>
      <c r="E514" t="str">
        <f t="shared" ref="E514:E577" si="108">IF(LOWER(LEFT(D514,1))="f","Female","Male")</f>
        <v>Male</v>
      </c>
      <c r="F514">
        <v>33</v>
      </c>
      <c r="G514" t="s">
        <v>182</v>
      </c>
      <c r="H514" t="s">
        <v>64</v>
      </c>
      <c r="I514" t="s">
        <v>106</v>
      </c>
      <c r="J514">
        <v>13</v>
      </c>
      <c r="K514" s="4" t="str" cm="1">
        <f t="array" ref="K514">_xlfn.IFS(J514&lt;=5,"0-5",J514&lt;=10,"6-10",J514&lt;=15,"11-15",J514&lt;=20,"16-20",J514&gt;20,"21+")</f>
        <v>11-15</v>
      </c>
      <c r="L514">
        <v>50</v>
      </c>
      <c r="M514" s="2">
        <f>L514</f>
        <v>50</v>
      </c>
      <c r="N514" s="8">
        <f t="shared" si="97"/>
        <v>50</v>
      </c>
      <c r="O514">
        <v>2.2000000000000002</v>
      </c>
      <c r="P514" t="s">
        <v>23</v>
      </c>
      <c r="Q514" t="s">
        <v>2072</v>
      </c>
      <c r="R514" s="1">
        <v>0.7</v>
      </c>
      <c r="S514" s="3">
        <f t="shared" si="107"/>
        <v>0.7</v>
      </c>
    </row>
    <row r="515" spans="1:19" x14ac:dyDescent="0.3">
      <c r="A515" t="s">
        <v>1100</v>
      </c>
      <c r="B515" t="s">
        <v>1101</v>
      </c>
      <c r="C515" t="str">
        <f t="shared" si="100"/>
        <v>Lorraine Lowery</v>
      </c>
      <c r="D515" t="s">
        <v>26</v>
      </c>
      <c r="E515" t="str">
        <f t="shared" si="108"/>
        <v>Female</v>
      </c>
      <c r="F515">
        <v>54</v>
      </c>
      <c r="G515" t="s">
        <v>59</v>
      </c>
      <c r="H515" t="s">
        <v>14</v>
      </c>
      <c r="I515" t="s">
        <v>43</v>
      </c>
      <c r="J515">
        <v>15</v>
      </c>
      <c r="K515" s="4" t="str" cm="1">
        <f t="array" ref="K515">_xlfn.IFS(J515&lt;=5,"0-5",J515&lt;=10,"6-10",J515&lt;=15,"11-15",J515&lt;=20,"16-20",J515&gt;20,"21+")</f>
        <v>11-15</v>
      </c>
      <c r="L515">
        <v>40</v>
      </c>
      <c r="M515" s="2">
        <f>L515</f>
        <v>40</v>
      </c>
      <c r="N515" s="8">
        <f t="shared" ref="N515:N578" si="109">IF(M515="", "", VALUE(M515))</f>
        <v>40</v>
      </c>
      <c r="O515">
        <v>4.0999999999999996</v>
      </c>
      <c r="P515" t="b">
        <v>1</v>
      </c>
      <c r="Q515" t="s">
        <v>2073</v>
      </c>
      <c r="R515">
        <v>71</v>
      </c>
      <c r="S515" s="3">
        <f>R515/100</f>
        <v>0.71</v>
      </c>
    </row>
    <row r="516" spans="1:19" x14ac:dyDescent="0.3">
      <c r="A516" t="s">
        <v>1102</v>
      </c>
      <c r="B516" t="s">
        <v>1103</v>
      </c>
      <c r="C516" t="str">
        <f t="shared" si="100"/>
        <v>Victoria Chapman</v>
      </c>
      <c r="D516" t="s">
        <v>31</v>
      </c>
      <c r="E516" t="str">
        <f t="shared" si="108"/>
        <v>Female</v>
      </c>
      <c r="F516">
        <v>33</v>
      </c>
      <c r="G516" t="s">
        <v>50</v>
      </c>
      <c r="H516" t="s">
        <v>14</v>
      </c>
      <c r="I516" t="s">
        <v>9</v>
      </c>
      <c r="J516">
        <v>2</v>
      </c>
      <c r="K516" s="4" t="str" cm="1">
        <f t="array" ref="K516">_xlfn.IFS(J516&lt;=5,"0-5",J516&lt;=10,"6-10",J516&lt;=15,"11-15",J516&lt;=20,"16-20",J516&gt;20,"21+")</f>
        <v>0-5</v>
      </c>
      <c r="L516" t="s">
        <v>16</v>
      </c>
      <c r="M516" s="2" t="str">
        <f>TRIM(MID(L516,FIND(" ",L516)+1,LEN(L516)))</f>
        <v>100</v>
      </c>
      <c r="N516" s="8">
        <f t="shared" si="109"/>
        <v>100</v>
      </c>
      <c r="O516">
        <v>3.8</v>
      </c>
      <c r="P516" t="b">
        <v>0</v>
      </c>
      <c r="Q516" t="s">
        <v>2072</v>
      </c>
    </row>
    <row r="517" spans="1:19" x14ac:dyDescent="0.3">
      <c r="A517" t="s">
        <v>1104</v>
      </c>
      <c r="B517" t="s">
        <v>1105</v>
      </c>
      <c r="C517" t="str">
        <f t="shared" si="100"/>
        <v>Heather Davis</v>
      </c>
      <c r="D517" t="s">
        <v>31</v>
      </c>
      <c r="E517" t="str">
        <f t="shared" si="108"/>
        <v>Female</v>
      </c>
      <c r="F517">
        <v>36</v>
      </c>
      <c r="G517" t="s">
        <v>77</v>
      </c>
      <c r="H517" t="s">
        <v>78</v>
      </c>
      <c r="I517" t="s">
        <v>106</v>
      </c>
      <c r="J517">
        <v>9</v>
      </c>
      <c r="K517" s="4" t="str" cm="1">
        <f t="array" ref="K517">_xlfn.IFS(J517&lt;=5,"0-5",J517&lt;=10,"6-10",J517&lt;=15,"11-15",J517&lt;=20,"16-20",J517&gt;20,"21+")</f>
        <v>6-10</v>
      </c>
      <c r="L517" t="s">
        <v>37</v>
      </c>
      <c r="M517" s="2" t="str">
        <f>SUBSTITUTE(L517,"$","")</f>
        <v>30</v>
      </c>
      <c r="N517" s="8">
        <f t="shared" si="109"/>
        <v>30</v>
      </c>
      <c r="O517">
        <v>0</v>
      </c>
      <c r="P517" t="s">
        <v>60</v>
      </c>
      <c r="Q517" t="s">
        <v>2073</v>
      </c>
      <c r="R517" s="1">
        <v>0.78</v>
      </c>
      <c r="S517" s="3">
        <f>R517</f>
        <v>0.78</v>
      </c>
    </row>
    <row r="518" spans="1:19" x14ac:dyDescent="0.3">
      <c r="A518" t="s">
        <v>1106</v>
      </c>
      <c r="B518" t="s">
        <v>1107</v>
      </c>
      <c r="C518" t="str">
        <f t="shared" si="100"/>
        <v>Diana Chase</v>
      </c>
      <c r="D518" t="s">
        <v>12</v>
      </c>
      <c r="E518" t="str">
        <f t="shared" si="108"/>
        <v>Female</v>
      </c>
      <c r="F518">
        <v>36</v>
      </c>
      <c r="G518" t="s">
        <v>54</v>
      </c>
      <c r="H518" t="s">
        <v>55</v>
      </c>
      <c r="I518" t="s">
        <v>36</v>
      </c>
      <c r="J518">
        <v>3</v>
      </c>
      <c r="K518" s="4" t="str" cm="1">
        <f t="array" ref="K518">_xlfn.IFS(J518&lt;=5,"0-5",J518&lt;=10,"6-10",J518&lt;=15,"11-15",J518&lt;=20,"16-20",J518&gt;20,"21+")</f>
        <v>0-5</v>
      </c>
      <c r="L518" t="s">
        <v>90</v>
      </c>
      <c r="M518" s="2" t="str">
        <f>TRIM(MID(L518,FIND(" ",L518)+1,LEN(L518)))</f>
        <v>50</v>
      </c>
      <c r="N518" s="8">
        <f t="shared" si="109"/>
        <v>50</v>
      </c>
      <c r="O518">
        <v>0</v>
      </c>
      <c r="P518" t="s">
        <v>151</v>
      </c>
      <c r="Q518" t="s">
        <v>2072</v>
      </c>
      <c r="R518">
        <v>75</v>
      </c>
      <c r="S518" s="3">
        <f>R518/100</f>
        <v>0.75</v>
      </c>
    </row>
    <row r="519" spans="1:19" x14ac:dyDescent="0.3">
      <c r="A519" t="s">
        <v>1108</v>
      </c>
      <c r="B519" t="s">
        <v>1109</v>
      </c>
      <c r="C519" t="str">
        <f t="shared" si="100"/>
        <v>Danielle Adkins</v>
      </c>
      <c r="D519" t="s">
        <v>26</v>
      </c>
      <c r="E519" t="str">
        <f t="shared" si="108"/>
        <v>Female</v>
      </c>
      <c r="F519">
        <v>43</v>
      </c>
      <c r="G519" t="s">
        <v>167</v>
      </c>
      <c r="H519" t="s">
        <v>168</v>
      </c>
      <c r="I519" t="s">
        <v>36</v>
      </c>
      <c r="J519">
        <v>15</v>
      </c>
      <c r="K519" s="4" t="str" cm="1">
        <f t="array" ref="K519">_xlfn.IFS(J519&lt;=5,"0-5",J519&lt;=10,"6-10",J519&lt;=15,"11-15",J519&lt;=20,"16-20",J519&gt;20,"21+")</f>
        <v>11-15</v>
      </c>
      <c r="L519" t="s">
        <v>113</v>
      </c>
      <c r="M519" s="2" t="str">
        <f>SUBSTITUTE(L519,"$","")</f>
        <v>20</v>
      </c>
      <c r="N519" s="8">
        <f t="shared" si="109"/>
        <v>20</v>
      </c>
      <c r="O519">
        <v>4.2</v>
      </c>
      <c r="P519" t="b">
        <v>1</v>
      </c>
      <c r="Q519" t="s">
        <v>2073</v>
      </c>
      <c r="R519" s="1">
        <v>0.91</v>
      </c>
      <c r="S519" s="3">
        <f t="shared" ref="S519:S521" si="110">R519</f>
        <v>0.91</v>
      </c>
    </row>
    <row r="520" spans="1:19" x14ac:dyDescent="0.3">
      <c r="A520" t="s">
        <v>1110</v>
      </c>
      <c r="B520" t="s">
        <v>1111</v>
      </c>
      <c r="C520" t="str">
        <f t="shared" si="100"/>
        <v>Kenneth Arias</v>
      </c>
      <c r="D520" t="s">
        <v>89</v>
      </c>
      <c r="E520" t="str">
        <f t="shared" si="108"/>
        <v>Male</v>
      </c>
      <c r="F520">
        <v>52</v>
      </c>
      <c r="G520" t="s">
        <v>59</v>
      </c>
      <c r="H520" t="s">
        <v>14</v>
      </c>
      <c r="I520" t="s">
        <v>43</v>
      </c>
      <c r="J520">
        <v>21</v>
      </c>
      <c r="K520" s="4" t="str" cm="1">
        <f t="array" ref="K520">_xlfn.IFS(J520&lt;=5,"0-5",J520&lt;=10,"6-10",J520&lt;=15,"11-15",J520&lt;=20,"16-20",J520&gt;20,"21+")</f>
        <v>21+</v>
      </c>
      <c r="L520" t="s">
        <v>44</v>
      </c>
      <c r="M520" s="2" t="str">
        <f>TRIM(MID(L520,FIND(" ",L520)+1,LEN(L520)))</f>
        <v>75</v>
      </c>
      <c r="N520" s="8">
        <f t="shared" si="109"/>
        <v>75</v>
      </c>
      <c r="O520">
        <v>2.2000000000000002</v>
      </c>
      <c r="P520">
        <v>1</v>
      </c>
      <c r="Q520" t="s">
        <v>2073</v>
      </c>
      <c r="R520" s="1">
        <v>0.66</v>
      </c>
      <c r="S520" s="3">
        <f t="shared" si="110"/>
        <v>0.66</v>
      </c>
    </row>
    <row r="521" spans="1:19" x14ac:dyDescent="0.3">
      <c r="A521" t="s">
        <v>1112</v>
      </c>
      <c r="B521" t="s">
        <v>1113</v>
      </c>
      <c r="C521" t="str">
        <f t="shared" si="100"/>
        <v>Victoria Owen</v>
      </c>
      <c r="D521" t="s">
        <v>26</v>
      </c>
      <c r="E521" t="str">
        <f t="shared" si="108"/>
        <v>Female</v>
      </c>
      <c r="F521">
        <v>28</v>
      </c>
      <c r="G521" t="s">
        <v>41</v>
      </c>
      <c r="H521" t="s">
        <v>42</v>
      </c>
      <c r="I521" t="s">
        <v>70</v>
      </c>
      <c r="J521">
        <v>2</v>
      </c>
      <c r="K521" s="4" t="str" cm="1">
        <f t="array" ref="K521">_xlfn.IFS(J521&lt;=5,"0-5",J521&lt;=10,"6-10",J521&lt;=15,"11-15",J521&lt;=20,"16-20",J521&gt;20,"21+")</f>
        <v>0-5</v>
      </c>
      <c r="L521" t="s">
        <v>44</v>
      </c>
      <c r="M521" s="2" t="str">
        <f>TRIM(MID(L521,FIND(" ",L521)+1,LEN(L521)))</f>
        <v>75</v>
      </c>
      <c r="N521" s="8">
        <f t="shared" si="109"/>
        <v>75</v>
      </c>
      <c r="O521">
        <v>1.5</v>
      </c>
      <c r="P521">
        <v>1</v>
      </c>
      <c r="Q521" t="s">
        <v>2073</v>
      </c>
      <c r="R521" s="1">
        <v>0.68</v>
      </c>
      <c r="S521" s="3">
        <f t="shared" si="110"/>
        <v>0.68</v>
      </c>
    </row>
    <row r="522" spans="1:19" x14ac:dyDescent="0.3">
      <c r="A522" t="s">
        <v>1114</v>
      </c>
      <c r="B522" t="s">
        <v>1115</v>
      </c>
      <c r="C522" t="str">
        <f t="shared" si="100"/>
        <v>Christina King</v>
      </c>
      <c r="D522" t="s">
        <v>69</v>
      </c>
      <c r="E522" t="str">
        <f t="shared" si="108"/>
        <v>Female</v>
      </c>
      <c r="F522">
        <v>47</v>
      </c>
      <c r="G522" t="s">
        <v>167</v>
      </c>
      <c r="H522" t="s">
        <v>168</v>
      </c>
      <c r="I522" t="s">
        <v>70</v>
      </c>
      <c r="J522">
        <v>21</v>
      </c>
      <c r="K522" s="4" t="str" cm="1">
        <f t="array" ref="K522">_xlfn.IFS(J522&lt;=5,"0-5",J522&lt;=10,"6-10",J522&lt;=15,"11-15",J522&lt;=20,"16-20",J522&gt;20,"21+")</f>
        <v>21+</v>
      </c>
      <c r="L522" t="s">
        <v>221</v>
      </c>
      <c r="M522" s="2" t="str">
        <f>SUBSTITUTE(L522,"$","")</f>
        <v>100</v>
      </c>
      <c r="N522" s="8">
        <f t="shared" si="109"/>
        <v>100</v>
      </c>
      <c r="O522">
        <v>0</v>
      </c>
      <c r="P522" t="s">
        <v>23</v>
      </c>
      <c r="Q522" t="s">
        <v>2072</v>
      </c>
    </row>
    <row r="523" spans="1:19" x14ac:dyDescent="0.3">
      <c r="A523" t="s">
        <v>1116</v>
      </c>
      <c r="B523" t="s">
        <v>1117</v>
      </c>
      <c r="C523" t="str">
        <f t="shared" si="100"/>
        <v>Samantha King</v>
      </c>
      <c r="D523" t="s">
        <v>31</v>
      </c>
      <c r="E523" t="str">
        <f t="shared" si="108"/>
        <v>Female</v>
      </c>
      <c r="F523">
        <v>30</v>
      </c>
      <c r="G523" t="s">
        <v>127</v>
      </c>
      <c r="H523" t="s">
        <v>128</v>
      </c>
      <c r="I523" t="s">
        <v>81</v>
      </c>
      <c r="J523">
        <v>0</v>
      </c>
      <c r="K523" s="4" t="str" cm="1">
        <f t="array" ref="K523">_xlfn.IFS(J523&lt;=5,"0-5",J523&lt;=10,"6-10",J523&lt;=15,"11-15",J523&lt;=20,"16-20",J523&gt;20,"21+")</f>
        <v>0-5</v>
      </c>
      <c r="L523" t="s">
        <v>16</v>
      </c>
      <c r="M523" s="2" t="str">
        <f>TRIM(MID(L523,FIND(" ",L523)+1,LEN(L523)))</f>
        <v>100</v>
      </c>
      <c r="N523" s="8">
        <f t="shared" si="109"/>
        <v>100</v>
      </c>
      <c r="O523">
        <v>4.0999999999999996</v>
      </c>
      <c r="P523">
        <v>0</v>
      </c>
      <c r="Q523" t="s">
        <v>2072</v>
      </c>
      <c r="R523" s="1">
        <v>0.62</v>
      </c>
      <c r="S523" s="3">
        <f t="shared" ref="S523:S528" si="111">R523</f>
        <v>0.62</v>
      </c>
    </row>
    <row r="524" spans="1:19" x14ac:dyDescent="0.3">
      <c r="A524" t="s">
        <v>1118</v>
      </c>
      <c r="B524" t="s">
        <v>1119</v>
      </c>
      <c r="C524" t="str">
        <f t="shared" si="100"/>
        <v>Scott Compton</v>
      </c>
      <c r="D524" t="s">
        <v>40</v>
      </c>
      <c r="E524" t="str">
        <f t="shared" si="108"/>
        <v>Male</v>
      </c>
      <c r="F524">
        <v>36</v>
      </c>
      <c r="G524" t="s">
        <v>131</v>
      </c>
      <c r="H524" t="s">
        <v>132</v>
      </c>
      <c r="I524" t="s">
        <v>9</v>
      </c>
      <c r="J524">
        <v>4</v>
      </c>
      <c r="K524" s="4" t="str" cm="1">
        <f t="array" ref="K524">_xlfn.IFS(J524&lt;=5,"0-5",J524&lt;=10,"6-10",J524&lt;=15,"11-15",J524&lt;=20,"16-20",J524&gt;20,"21+")</f>
        <v>0-5</v>
      </c>
      <c r="L524">
        <v>40</v>
      </c>
      <c r="M524" s="2">
        <f>L524</f>
        <v>40</v>
      </c>
      <c r="N524" s="8">
        <f t="shared" si="109"/>
        <v>40</v>
      </c>
      <c r="O524">
        <v>2.6</v>
      </c>
      <c r="P524" t="s">
        <v>151</v>
      </c>
      <c r="Q524" t="s">
        <v>2072</v>
      </c>
      <c r="R524" s="1">
        <v>0.9</v>
      </c>
      <c r="S524" s="3">
        <f t="shared" si="111"/>
        <v>0.9</v>
      </c>
    </row>
    <row r="525" spans="1:19" x14ac:dyDescent="0.3">
      <c r="A525" t="s">
        <v>1120</v>
      </c>
      <c r="B525" t="s">
        <v>1121</v>
      </c>
      <c r="C525" t="str">
        <f t="shared" si="100"/>
        <v>Monica West</v>
      </c>
      <c r="D525" t="s">
        <v>12</v>
      </c>
      <c r="E525" t="str">
        <f t="shared" si="108"/>
        <v>Female</v>
      </c>
      <c r="F525">
        <v>45</v>
      </c>
      <c r="G525" t="s">
        <v>50</v>
      </c>
      <c r="H525" t="s">
        <v>14</v>
      </c>
      <c r="I525" t="s">
        <v>65</v>
      </c>
      <c r="J525">
        <v>23</v>
      </c>
      <c r="K525" s="4" t="str" cm="1">
        <f t="array" ref="K525">_xlfn.IFS(J525&lt;=5,"0-5",J525&lt;=10,"6-10",J525&lt;=15,"11-15",J525&lt;=20,"16-20",J525&gt;20,"21+")</f>
        <v>21+</v>
      </c>
      <c r="L525">
        <v>100</v>
      </c>
      <c r="M525" s="2">
        <f>L525</f>
        <v>100</v>
      </c>
      <c r="N525" s="8">
        <f t="shared" si="109"/>
        <v>100</v>
      </c>
      <c r="O525">
        <v>2.4</v>
      </c>
      <c r="P525" t="b">
        <v>0</v>
      </c>
      <c r="Q525" t="s">
        <v>2072</v>
      </c>
      <c r="R525" s="1">
        <v>0.96</v>
      </c>
      <c r="S525" s="3">
        <f t="shared" si="111"/>
        <v>0.96</v>
      </c>
    </row>
    <row r="526" spans="1:19" x14ac:dyDescent="0.3">
      <c r="A526" t="s">
        <v>1122</v>
      </c>
      <c r="B526" t="s">
        <v>1123</v>
      </c>
      <c r="C526" t="str">
        <f t="shared" si="100"/>
        <v>Theresa Stewart</v>
      </c>
      <c r="D526" t="s">
        <v>26</v>
      </c>
      <c r="E526" t="str">
        <f t="shared" si="108"/>
        <v>Female</v>
      </c>
      <c r="F526">
        <v>51</v>
      </c>
      <c r="G526" t="s">
        <v>50</v>
      </c>
      <c r="H526" t="s">
        <v>14</v>
      </c>
      <c r="I526" t="s">
        <v>9</v>
      </c>
      <c r="J526">
        <v>25</v>
      </c>
      <c r="K526" s="4" t="str" cm="1">
        <f t="array" ref="K526">_xlfn.IFS(J526&lt;=5,"0-5",J526&lt;=10,"6-10",J526&lt;=15,"11-15",J526&lt;=20,"16-20",J526&gt;20,"21+")</f>
        <v>21+</v>
      </c>
      <c r="L526">
        <v>50</v>
      </c>
      <c r="M526" s="2">
        <f>L526</f>
        <v>50</v>
      </c>
      <c r="N526" s="8">
        <f t="shared" si="109"/>
        <v>50</v>
      </c>
      <c r="O526">
        <v>1.4</v>
      </c>
      <c r="P526" t="s">
        <v>66</v>
      </c>
      <c r="Q526" t="s">
        <v>2073</v>
      </c>
      <c r="R526" s="1">
        <v>0.6</v>
      </c>
      <c r="S526" s="3">
        <f t="shared" si="111"/>
        <v>0.6</v>
      </c>
    </row>
    <row r="527" spans="1:19" x14ac:dyDescent="0.3">
      <c r="A527" t="s">
        <v>1124</v>
      </c>
      <c r="B527" t="s">
        <v>1125</v>
      </c>
      <c r="C527" t="str">
        <f t="shared" si="100"/>
        <v>Steven Kim</v>
      </c>
      <c r="D527" t="s">
        <v>40</v>
      </c>
      <c r="E527" t="str">
        <f t="shared" si="108"/>
        <v>Male</v>
      </c>
      <c r="F527">
        <v>46</v>
      </c>
      <c r="G527" t="s">
        <v>54</v>
      </c>
      <c r="H527" t="s">
        <v>55</v>
      </c>
      <c r="I527" t="s">
        <v>15</v>
      </c>
      <c r="J527">
        <v>10</v>
      </c>
      <c r="K527" s="4" t="str" cm="1">
        <f t="array" ref="K527">_xlfn.IFS(J527&lt;=5,"0-5",J527&lt;=10,"6-10",J527&lt;=15,"11-15",J527&lt;=20,"16-20",J527&gt;20,"21+")</f>
        <v>6-10</v>
      </c>
      <c r="N527" s="8" t="str">
        <f t="shared" si="109"/>
        <v/>
      </c>
      <c r="O527">
        <v>4.5999999999999996</v>
      </c>
      <c r="P527" t="s">
        <v>66</v>
      </c>
      <c r="Q527" t="s">
        <v>2073</v>
      </c>
      <c r="R527" s="1">
        <v>0.62</v>
      </c>
      <c r="S527" s="3">
        <f t="shared" si="111"/>
        <v>0.62</v>
      </c>
    </row>
    <row r="528" spans="1:19" x14ac:dyDescent="0.3">
      <c r="A528" t="s">
        <v>1126</v>
      </c>
      <c r="B528" t="s">
        <v>1127</v>
      </c>
      <c r="C528" t="str">
        <f t="shared" ref="C528:C591" si="112">B528</f>
        <v>Kristi Knight</v>
      </c>
      <c r="D528" t="s">
        <v>12</v>
      </c>
      <c r="E528" t="str">
        <f t="shared" si="108"/>
        <v>Female</v>
      </c>
      <c r="F528">
        <v>38</v>
      </c>
      <c r="G528" t="s">
        <v>7</v>
      </c>
      <c r="H528" t="s">
        <v>8</v>
      </c>
      <c r="I528" t="s">
        <v>43</v>
      </c>
      <c r="J528">
        <v>18</v>
      </c>
      <c r="K528" s="4" t="str" cm="1">
        <f t="array" ref="K528">_xlfn.IFS(J528&lt;=5,"0-5",J528&lt;=10,"6-10",J528&lt;=15,"11-15",J528&lt;=20,"16-20",J528&gt;20,"21+")</f>
        <v>16-20</v>
      </c>
      <c r="L528" t="s">
        <v>47</v>
      </c>
      <c r="M528" s="2" t="str">
        <f>TRIM(MID(L528,FIND(" ",L528)+1,LEN(L528)))</f>
        <v>40</v>
      </c>
      <c r="N528" s="8">
        <f t="shared" si="109"/>
        <v>40</v>
      </c>
      <c r="O528">
        <v>4.9000000000000004</v>
      </c>
      <c r="P528" t="b">
        <v>0</v>
      </c>
      <c r="Q528" t="s">
        <v>2072</v>
      </c>
      <c r="R528" s="1">
        <v>0.74</v>
      </c>
      <c r="S528" s="3">
        <f t="shared" si="111"/>
        <v>0.74</v>
      </c>
    </row>
    <row r="529" spans="1:19" x14ac:dyDescent="0.3">
      <c r="A529" t="s">
        <v>1128</v>
      </c>
      <c r="B529" t="s">
        <v>1129</v>
      </c>
      <c r="C529" t="str">
        <f t="shared" si="112"/>
        <v>Jason Bryant</v>
      </c>
      <c r="D529" t="s">
        <v>89</v>
      </c>
      <c r="E529" t="str">
        <f t="shared" si="108"/>
        <v>Male</v>
      </c>
      <c r="F529">
        <v>26</v>
      </c>
      <c r="G529" t="s">
        <v>182</v>
      </c>
      <c r="H529" t="s">
        <v>64</v>
      </c>
      <c r="I529" t="s">
        <v>9</v>
      </c>
      <c r="J529">
        <v>1</v>
      </c>
      <c r="K529" s="4" t="str" cm="1">
        <f t="array" ref="K529">_xlfn.IFS(J529&lt;=5,"0-5",J529&lt;=10,"6-10",J529&lt;=15,"11-15",J529&lt;=20,"16-20",J529&gt;20,"21+")</f>
        <v>0-5</v>
      </c>
      <c r="L529" t="s">
        <v>113</v>
      </c>
      <c r="M529" s="2" t="str">
        <f>SUBSTITUTE(L529,"$","")</f>
        <v>20</v>
      </c>
      <c r="N529" s="8">
        <f t="shared" si="109"/>
        <v>20</v>
      </c>
      <c r="O529">
        <v>0</v>
      </c>
      <c r="P529">
        <v>1</v>
      </c>
      <c r="Q529" t="s">
        <v>2073</v>
      </c>
    </row>
    <row r="530" spans="1:19" x14ac:dyDescent="0.3">
      <c r="A530" t="s">
        <v>1130</v>
      </c>
      <c r="B530" t="s">
        <v>1131</v>
      </c>
      <c r="C530" t="str">
        <f t="shared" si="112"/>
        <v>Maureen Keith</v>
      </c>
      <c r="D530" t="s">
        <v>69</v>
      </c>
      <c r="E530" t="str">
        <f t="shared" si="108"/>
        <v>Female</v>
      </c>
      <c r="F530">
        <v>40</v>
      </c>
      <c r="G530" t="s">
        <v>59</v>
      </c>
      <c r="H530" t="s">
        <v>14</v>
      </c>
      <c r="I530" t="s">
        <v>81</v>
      </c>
      <c r="J530">
        <v>12</v>
      </c>
      <c r="K530" s="4" t="str" cm="1">
        <f t="array" ref="K530">_xlfn.IFS(J530&lt;=5,"0-5",J530&lt;=10,"6-10",J530&lt;=15,"11-15",J530&lt;=20,"16-20",J530&gt;20,"21+")</f>
        <v>11-15</v>
      </c>
      <c r="L530">
        <v>30</v>
      </c>
      <c r="M530" s="2">
        <f>L530</f>
        <v>30</v>
      </c>
      <c r="N530" s="8">
        <f t="shared" si="109"/>
        <v>30</v>
      </c>
      <c r="O530">
        <v>3.5</v>
      </c>
      <c r="R530" s="1">
        <v>0.98</v>
      </c>
      <c r="S530" s="3">
        <f t="shared" ref="S530:S531" si="113">R530</f>
        <v>0.98</v>
      </c>
    </row>
    <row r="531" spans="1:19" x14ac:dyDescent="0.3">
      <c r="A531" t="s">
        <v>1132</v>
      </c>
      <c r="B531" t="s">
        <v>1133</v>
      </c>
      <c r="C531" t="str">
        <f t="shared" si="112"/>
        <v>Shawn Hogan</v>
      </c>
      <c r="D531" t="s">
        <v>89</v>
      </c>
      <c r="E531" t="str">
        <f t="shared" si="108"/>
        <v>Male</v>
      </c>
      <c r="F531">
        <v>37</v>
      </c>
      <c r="G531" t="s">
        <v>20</v>
      </c>
      <c r="H531" t="s">
        <v>21</v>
      </c>
      <c r="I531" t="s">
        <v>106</v>
      </c>
      <c r="K531" s="4" t="str" cm="1">
        <f t="array" ref="K531">_xlfn.IFS(J531&lt;=5,"0-5",J531&lt;=10,"6-10",J531&lt;=15,"11-15",J531&lt;=20,"16-20",J531&gt;20,"21+")</f>
        <v>0-5</v>
      </c>
      <c r="N531" s="8" t="str">
        <f t="shared" si="109"/>
        <v/>
      </c>
      <c r="O531">
        <v>1.7</v>
      </c>
      <c r="P531" t="s">
        <v>60</v>
      </c>
      <c r="Q531" t="s">
        <v>2073</v>
      </c>
      <c r="R531" s="1">
        <v>0.63</v>
      </c>
      <c r="S531" s="3">
        <f t="shared" si="113"/>
        <v>0.63</v>
      </c>
    </row>
    <row r="532" spans="1:19" x14ac:dyDescent="0.3">
      <c r="A532" t="s">
        <v>1134</v>
      </c>
      <c r="B532" t="s">
        <v>1135</v>
      </c>
      <c r="C532" t="str">
        <f t="shared" si="112"/>
        <v>William Davis</v>
      </c>
      <c r="D532" t="s">
        <v>84</v>
      </c>
      <c r="E532" t="str">
        <f t="shared" si="108"/>
        <v>Male</v>
      </c>
      <c r="F532">
        <v>28</v>
      </c>
      <c r="G532" t="s">
        <v>120</v>
      </c>
      <c r="H532" t="s">
        <v>14</v>
      </c>
      <c r="I532" t="s">
        <v>9</v>
      </c>
      <c r="J532">
        <v>5</v>
      </c>
      <c r="K532" s="4" t="str" cm="1">
        <f t="array" ref="K532">_xlfn.IFS(J532&lt;=5,"0-5",J532&lt;=10,"6-10",J532&lt;=15,"11-15",J532&lt;=20,"16-20",J532&gt;20,"21+")</f>
        <v>0-5</v>
      </c>
      <c r="L532" t="s">
        <v>56</v>
      </c>
      <c r="M532" s="2" t="str">
        <f>SUBSTITUTE(L532,"$","")</f>
        <v>50</v>
      </c>
      <c r="N532" s="8">
        <f t="shared" si="109"/>
        <v>50</v>
      </c>
      <c r="O532">
        <v>0</v>
      </c>
      <c r="P532" t="s">
        <v>60</v>
      </c>
      <c r="Q532" t="s">
        <v>2073</v>
      </c>
      <c r="R532">
        <v>96</v>
      </c>
      <c r="S532" s="3">
        <f>R532/100</f>
        <v>0.96</v>
      </c>
    </row>
    <row r="533" spans="1:19" x14ac:dyDescent="0.3">
      <c r="A533" t="s">
        <v>1136</v>
      </c>
      <c r="B533" t="s">
        <v>1137</v>
      </c>
      <c r="C533" t="str">
        <f t="shared" si="112"/>
        <v>Stacy Bailey</v>
      </c>
      <c r="D533" t="s">
        <v>31</v>
      </c>
      <c r="E533" t="str">
        <f t="shared" si="108"/>
        <v>Female</v>
      </c>
      <c r="F533">
        <v>48</v>
      </c>
      <c r="G533" t="s">
        <v>85</v>
      </c>
      <c r="H533" t="s">
        <v>86</v>
      </c>
      <c r="I533" t="s">
        <v>15</v>
      </c>
      <c r="J533">
        <v>28</v>
      </c>
      <c r="K533" s="4" t="str" cm="1">
        <f t="array" ref="K533">_xlfn.IFS(J533&lt;=5,"0-5",J533&lt;=10,"6-10",J533&lt;=15,"11-15",J533&lt;=20,"16-20",J533&gt;20,"21+")</f>
        <v>21+</v>
      </c>
      <c r="L533" t="s">
        <v>306</v>
      </c>
      <c r="M533" s="2" t="str">
        <f>TRIM(MID(L533,FIND(" ",L533)+1,LEN(L533)))</f>
        <v>20</v>
      </c>
      <c r="N533" s="8">
        <f t="shared" si="109"/>
        <v>20</v>
      </c>
      <c r="O533">
        <v>0</v>
      </c>
      <c r="P533">
        <v>0</v>
      </c>
      <c r="Q533" t="s">
        <v>2072</v>
      </c>
      <c r="R533" s="1">
        <v>0.88</v>
      </c>
      <c r="S533" s="3">
        <f>R533</f>
        <v>0.88</v>
      </c>
    </row>
    <row r="534" spans="1:19" x14ac:dyDescent="0.3">
      <c r="A534" t="s">
        <v>1138</v>
      </c>
      <c r="B534" t="s">
        <v>1139</v>
      </c>
      <c r="C534" t="str">
        <f t="shared" si="112"/>
        <v>Thomas Dixon</v>
      </c>
      <c r="D534" t="s">
        <v>53</v>
      </c>
      <c r="E534" t="str">
        <f t="shared" si="108"/>
        <v>Male</v>
      </c>
      <c r="F534">
        <v>22</v>
      </c>
      <c r="G534" t="s">
        <v>85</v>
      </c>
      <c r="H534" t="s">
        <v>86</v>
      </c>
      <c r="I534" t="s">
        <v>36</v>
      </c>
      <c r="J534">
        <v>0</v>
      </c>
      <c r="K534" s="4" t="str" cm="1">
        <f t="array" ref="K534">_xlfn.IFS(J534&lt;=5,"0-5",J534&lt;=10,"6-10",J534&lt;=15,"11-15",J534&lt;=20,"16-20",J534&gt;20,"21+")</f>
        <v>0-5</v>
      </c>
      <c r="N534" s="8" t="str">
        <f t="shared" si="109"/>
        <v/>
      </c>
      <c r="O534">
        <v>4.5999999999999996</v>
      </c>
      <c r="P534" t="b">
        <v>0</v>
      </c>
      <c r="Q534" t="s">
        <v>2072</v>
      </c>
    </row>
    <row r="535" spans="1:19" x14ac:dyDescent="0.3">
      <c r="A535" t="s">
        <v>1140</v>
      </c>
      <c r="B535" t="s">
        <v>1141</v>
      </c>
      <c r="C535" t="str">
        <f t="shared" si="112"/>
        <v>Maria Hall</v>
      </c>
      <c r="D535" t="s">
        <v>31</v>
      </c>
      <c r="E535" t="str">
        <f t="shared" si="108"/>
        <v>Female</v>
      </c>
      <c r="F535">
        <v>41</v>
      </c>
      <c r="G535" t="s">
        <v>20</v>
      </c>
      <c r="H535" t="s">
        <v>21</v>
      </c>
      <c r="I535" t="s">
        <v>27</v>
      </c>
      <c r="J535">
        <v>14</v>
      </c>
      <c r="K535" s="4" t="str" cm="1">
        <f t="array" ref="K535">_xlfn.IFS(J535&lt;=5,"0-5",J535&lt;=10,"6-10",J535&lt;=15,"11-15",J535&lt;=20,"16-20",J535&gt;20,"21+")</f>
        <v>11-15</v>
      </c>
      <c r="L535">
        <v>40</v>
      </c>
      <c r="M535" s="2">
        <f>L535</f>
        <v>40</v>
      </c>
      <c r="N535" s="8">
        <f t="shared" si="109"/>
        <v>40</v>
      </c>
      <c r="O535">
        <v>1.1000000000000001</v>
      </c>
      <c r="P535" t="b">
        <v>1</v>
      </c>
      <c r="Q535" t="s">
        <v>2073</v>
      </c>
      <c r="R535" s="1">
        <v>0.73</v>
      </c>
      <c r="S535" s="3">
        <f t="shared" ref="S535:S538" si="114">R535</f>
        <v>0.73</v>
      </c>
    </row>
    <row r="536" spans="1:19" x14ac:dyDescent="0.3">
      <c r="A536" t="s">
        <v>1142</v>
      </c>
      <c r="B536" t="s">
        <v>1143</v>
      </c>
      <c r="C536" t="str">
        <f t="shared" si="112"/>
        <v>Tony Lee</v>
      </c>
      <c r="D536" t="s">
        <v>53</v>
      </c>
      <c r="E536" t="str">
        <f t="shared" si="108"/>
        <v>Male</v>
      </c>
      <c r="F536">
        <v>38</v>
      </c>
      <c r="G536" t="s">
        <v>50</v>
      </c>
      <c r="H536" t="s">
        <v>14</v>
      </c>
      <c r="I536" t="s">
        <v>22</v>
      </c>
      <c r="J536">
        <v>15</v>
      </c>
      <c r="K536" s="4" t="str" cm="1">
        <f t="array" ref="K536">_xlfn.IFS(J536&lt;=5,"0-5",J536&lt;=10,"6-10",J536&lt;=15,"11-15",J536&lt;=20,"16-20",J536&gt;20,"21+")</f>
        <v>11-15</v>
      </c>
      <c r="N536" s="8" t="str">
        <f t="shared" si="109"/>
        <v/>
      </c>
      <c r="O536">
        <v>4.2</v>
      </c>
      <c r="P536">
        <v>0</v>
      </c>
      <c r="Q536" t="s">
        <v>2072</v>
      </c>
      <c r="R536" s="1">
        <v>0.88</v>
      </c>
      <c r="S536" s="3">
        <f t="shared" si="114"/>
        <v>0.88</v>
      </c>
    </row>
    <row r="537" spans="1:19" x14ac:dyDescent="0.3">
      <c r="A537" t="s">
        <v>1144</v>
      </c>
      <c r="B537" t="s">
        <v>1145</v>
      </c>
      <c r="C537" t="str">
        <f t="shared" si="112"/>
        <v>Catherine Mccoy MD</v>
      </c>
      <c r="D537" t="s">
        <v>12</v>
      </c>
      <c r="E537" t="str">
        <f t="shared" si="108"/>
        <v>Female</v>
      </c>
      <c r="F537">
        <v>31</v>
      </c>
      <c r="G537" t="s">
        <v>145</v>
      </c>
      <c r="H537" t="s">
        <v>146</v>
      </c>
      <c r="I537" t="s">
        <v>65</v>
      </c>
      <c r="J537">
        <v>9</v>
      </c>
      <c r="K537" s="4" t="str" cm="1">
        <f t="array" ref="K537">_xlfn.IFS(J537&lt;=5,"0-5",J537&lt;=10,"6-10",J537&lt;=15,"11-15",J537&lt;=20,"16-20",J537&gt;20,"21+")</f>
        <v>6-10</v>
      </c>
      <c r="N537" s="8" t="str">
        <f t="shared" si="109"/>
        <v/>
      </c>
      <c r="O537">
        <v>0</v>
      </c>
      <c r="P537" t="b">
        <v>0</v>
      </c>
      <c r="Q537" t="s">
        <v>2072</v>
      </c>
      <c r="R537" s="1">
        <v>0.91</v>
      </c>
      <c r="S537" s="3">
        <f t="shared" si="114"/>
        <v>0.91</v>
      </c>
    </row>
    <row r="538" spans="1:19" x14ac:dyDescent="0.3">
      <c r="A538" t="s">
        <v>1146</v>
      </c>
      <c r="B538" t="s">
        <v>1147</v>
      </c>
      <c r="C538" t="str">
        <f t="shared" si="112"/>
        <v>Maria Benitez</v>
      </c>
      <c r="D538" t="s">
        <v>26</v>
      </c>
      <c r="E538" t="str">
        <f t="shared" si="108"/>
        <v>Female</v>
      </c>
      <c r="F538">
        <v>30</v>
      </c>
      <c r="G538" t="s">
        <v>167</v>
      </c>
      <c r="H538" t="s">
        <v>168</v>
      </c>
      <c r="I538" t="s">
        <v>15</v>
      </c>
      <c r="J538">
        <v>9</v>
      </c>
      <c r="K538" s="4" t="str" cm="1">
        <f t="array" ref="K538">_xlfn.IFS(J538&lt;=5,"0-5",J538&lt;=10,"6-10",J538&lt;=15,"11-15",J538&lt;=20,"16-20",J538&gt;20,"21+")</f>
        <v>6-10</v>
      </c>
      <c r="L538" t="s">
        <v>37</v>
      </c>
      <c r="M538" s="2" t="str">
        <f>SUBSTITUTE(L538,"$","")</f>
        <v>30</v>
      </c>
      <c r="N538" s="8">
        <f t="shared" si="109"/>
        <v>30</v>
      </c>
      <c r="O538">
        <v>3.9</v>
      </c>
      <c r="P538" t="s">
        <v>151</v>
      </c>
      <c r="Q538" t="s">
        <v>2072</v>
      </c>
      <c r="R538" s="1">
        <v>0.65</v>
      </c>
      <c r="S538" s="3">
        <f t="shared" si="114"/>
        <v>0.65</v>
      </c>
    </row>
    <row r="539" spans="1:19" x14ac:dyDescent="0.3">
      <c r="A539" t="s">
        <v>1148</v>
      </c>
      <c r="B539" t="s">
        <v>1149</v>
      </c>
      <c r="C539" t="str">
        <f t="shared" si="112"/>
        <v>Joshua Chambers</v>
      </c>
      <c r="D539" t="s">
        <v>53</v>
      </c>
      <c r="E539" t="str">
        <f t="shared" si="108"/>
        <v>Male</v>
      </c>
      <c r="F539">
        <v>51</v>
      </c>
      <c r="G539" t="s">
        <v>171</v>
      </c>
      <c r="H539" t="s">
        <v>64</v>
      </c>
      <c r="I539" t="s">
        <v>65</v>
      </c>
      <c r="J539">
        <v>22</v>
      </c>
      <c r="K539" s="4" t="str" cm="1">
        <f t="array" ref="K539">_xlfn.IFS(J539&lt;=5,"0-5",J539&lt;=10,"6-10",J539&lt;=15,"11-15",J539&lt;=20,"16-20",J539&gt;20,"21+")</f>
        <v>21+</v>
      </c>
      <c r="L539">
        <v>20</v>
      </c>
      <c r="M539" s="2">
        <f>L539</f>
        <v>20</v>
      </c>
      <c r="N539" s="8">
        <f t="shared" si="109"/>
        <v>20</v>
      </c>
      <c r="O539">
        <v>3.4</v>
      </c>
      <c r="P539" t="b">
        <v>1</v>
      </c>
      <c r="Q539" t="s">
        <v>2073</v>
      </c>
      <c r="R539">
        <v>90</v>
      </c>
      <c r="S539" s="3">
        <f>R539/100</f>
        <v>0.9</v>
      </c>
    </row>
    <row r="540" spans="1:19" x14ac:dyDescent="0.3">
      <c r="A540" t="s">
        <v>1150</v>
      </c>
      <c r="B540" t="s">
        <v>1151</v>
      </c>
      <c r="C540" t="str">
        <f t="shared" si="112"/>
        <v>Janice Daniels</v>
      </c>
      <c r="D540" t="s">
        <v>6</v>
      </c>
      <c r="E540" t="str">
        <f t="shared" si="108"/>
        <v>Female</v>
      </c>
      <c r="F540">
        <v>21</v>
      </c>
      <c r="G540" t="s">
        <v>20</v>
      </c>
      <c r="H540" t="s">
        <v>21</v>
      </c>
      <c r="I540" t="s">
        <v>81</v>
      </c>
      <c r="J540">
        <v>0</v>
      </c>
      <c r="K540" s="4" t="str" cm="1">
        <f t="array" ref="K540">_xlfn.IFS(J540&lt;=5,"0-5",J540&lt;=10,"6-10",J540&lt;=15,"11-15",J540&lt;=20,"16-20",J540&gt;20,"21+")</f>
        <v>0-5</v>
      </c>
      <c r="L540" t="s">
        <v>113</v>
      </c>
      <c r="M540" s="2" t="str">
        <f>SUBSTITUTE(L540,"$","")</f>
        <v>20</v>
      </c>
      <c r="N540" s="8">
        <f t="shared" si="109"/>
        <v>20</v>
      </c>
      <c r="O540">
        <v>2.6</v>
      </c>
      <c r="P540" t="s">
        <v>23</v>
      </c>
      <c r="Q540" t="s">
        <v>2072</v>
      </c>
      <c r="R540" s="1">
        <v>0.72</v>
      </c>
      <c r="S540" s="3">
        <f t="shared" ref="S540:S541" si="115">R540</f>
        <v>0.72</v>
      </c>
    </row>
    <row r="541" spans="1:19" x14ac:dyDescent="0.3">
      <c r="A541" t="s">
        <v>1152</v>
      </c>
      <c r="B541" t="s">
        <v>1153</v>
      </c>
      <c r="C541" t="str">
        <f t="shared" si="112"/>
        <v>Carla Wood</v>
      </c>
      <c r="D541" t="s">
        <v>12</v>
      </c>
      <c r="E541" t="str">
        <f t="shared" si="108"/>
        <v>Female</v>
      </c>
      <c r="F541">
        <v>20</v>
      </c>
      <c r="G541" t="s">
        <v>7</v>
      </c>
      <c r="H541" t="s">
        <v>8</v>
      </c>
      <c r="I541" t="s">
        <v>81</v>
      </c>
      <c r="J541">
        <v>1</v>
      </c>
      <c r="K541" s="4" t="str" cm="1">
        <f t="array" ref="K541">_xlfn.IFS(J541&lt;=5,"0-5",J541&lt;=10,"6-10",J541&lt;=15,"11-15",J541&lt;=20,"16-20",J541&gt;20,"21+")</f>
        <v>0-5</v>
      </c>
      <c r="L541" t="s">
        <v>47</v>
      </c>
      <c r="M541" s="2" t="str">
        <f>TRIM(MID(L541,FIND(" ",L541)+1,LEN(L541)))</f>
        <v>40</v>
      </c>
      <c r="N541" s="8">
        <f t="shared" si="109"/>
        <v>40</v>
      </c>
      <c r="O541">
        <v>2.2999999999999998</v>
      </c>
      <c r="P541">
        <v>1</v>
      </c>
      <c r="Q541" t="s">
        <v>2073</v>
      </c>
      <c r="R541" s="1">
        <v>0.72</v>
      </c>
      <c r="S541" s="3">
        <f t="shared" si="115"/>
        <v>0.72</v>
      </c>
    </row>
    <row r="542" spans="1:19" x14ac:dyDescent="0.3">
      <c r="A542" t="s">
        <v>1154</v>
      </c>
      <c r="B542" t="s">
        <v>1155</v>
      </c>
      <c r="C542" t="str">
        <f t="shared" si="112"/>
        <v>Kenneth Vasquez</v>
      </c>
      <c r="D542" t="s">
        <v>89</v>
      </c>
      <c r="E542" t="str">
        <f t="shared" si="108"/>
        <v>Male</v>
      </c>
      <c r="F542">
        <v>30</v>
      </c>
      <c r="G542" t="s">
        <v>77</v>
      </c>
      <c r="H542" t="s">
        <v>78</v>
      </c>
      <c r="I542" t="s">
        <v>9</v>
      </c>
      <c r="J542">
        <v>5</v>
      </c>
      <c r="K542" s="4" t="str" cm="1">
        <f t="array" ref="K542">_xlfn.IFS(J542&lt;=5,"0-5",J542&lt;=10,"6-10",J542&lt;=15,"11-15",J542&lt;=20,"16-20",J542&gt;20,"21+")</f>
        <v>0-5</v>
      </c>
      <c r="L542" t="s">
        <v>37</v>
      </c>
      <c r="M542" s="2" t="str">
        <f>SUBSTITUTE(L542,"$","")</f>
        <v>30</v>
      </c>
      <c r="N542" s="8">
        <f t="shared" si="109"/>
        <v>30</v>
      </c>
      <c r="O542">
        <v>4.8</v>
      </c>
      <c r="P542" t="s">
        <v>23</v>
      </c>
      <c r="Q542" t="s">
        <v>2072</v>
      </c>
    </row>
    <row r="543" spans="1:19" x14ac:dyDescent="0.3">
      <c r="A543" t="s">
        <v>1156</v>
      </c>
      <c r="B543" t="s">
        <v>1157</v>
      </c>
      <c r="C543" t="str">
        <f t="shared" si="112"/>
        <v>Kevin Smith</v>
      </c>
      <c r="D543" t="s">
        <v>53</v>
      </c>
      <c r="E543" t="str">
        <f t="shared" si="108"/>
        <v>Male</v>
      </c>
      <c r="F543">
        <v>41</v>
      </c>
      <c r="G543" t="s">
        <v>167</v>
      </c>
      <c r="H543" t="s">
        <v>168</v>
      </c>
      <c r="I543" t="s">
        <v>43</v>
      </c>
      <c r="J543">
        <v>0</v>
      </c>
      <c r="K543" s="4" t="str" cm="1">
        <f t="array" ref="K543">_xlfn.IFS(J543&lt;=5,"0-5",J543&lt;=10,"6-10",J543&lt;=15,"11-15",J543&lt;=20,"16-20",J543&gt;20,"21+")</f>
        <v>0-5</v>
      </c>
      <c r="L543" t="s">
        <v>47</v>
      </c>
      <c r="M543" s="2" t="str">
        <f>TRIM(MID(L543,FIND(" ",L543)+1,LEN(L543)))</f>
        <v>40</v>
      </c>
      <c r="N543" s="8">
        <f t="shared" si="109"/>
        <v>40</v>
      </c>
      <c r="O543">
        <v>4.5</v>
      </c>
      <c r="P543" t="s">
        <v>23</v>
      </c>
      <c r="Q543" t="s">
        <v>2072</v>
      </c>
      <c r="R543" s="1">
        <v>0.68</v>
      </c>
      <c r="S543" s="3">
        <f t="shared" ref="S543:S546" si="116">R543</f>
        <v>0.68</v>
      </c>
    </row>
    <row r="544" spans="1:19" x14ac:dyDescent="0.3">
      <c r="A544" t="s">
        <v>1158</v>
      </c>
      <c r="B544" t="s">
        <v>1159</v>
      </c>
      <c r="C544" t="str">
        <f t="shared" si="112"/>
        <v>Thomas Kim</v>
      </c>
      <c r="D544" t="s">
        <v>89</v>
      </c>
      <c r="E544" t="str">
        <f t="shared" si="108"/>
        <v>Male</v>
      </c>
      <c r="F544">
        <v>22</v>
      </c>
      <c r="G544" t="s">
        <v>182</v>
      </c>
      <c r="H544" t="s">
        <v>64</v>
      </c>
      <c r="I544" t="s">
        <v>9</v>
      </c>
      <c r="J544">
        <v>0</v>
      </c>
      <c r="K544" s="4" t="str" cm="1">
        <f t="array" ref="K544">_xlfn.IFS(J544&lt;=5,"0-5",J544&lt;=10,"6-10",J544&lt;=15,"11-15",J544&lt;=20,"16-20",J544&gt;20,"21+")</f>
        <v>0-5</v>
      </c>
      <c r="L544" t="s">
        <v>37</v>
      </c>
      <c r="M544" s="2" t="str">
        <f>SUBSTITUTE(L544,"$","")</f>
        <v>30</v>
      </c>
      <c r="N544" s="8">
        <f t="shared" si="109"/>
        <v>30</v>
      </c>
      <c r="O544">
        <v>0</v>
      </c>
      <c r="P544">
        <v>0</v>
      </c>
      <c r="Q544" t="s">
        <v>2072</v>
      </c>
      <c r="R544" s="1">
        <v>0.87</v>
      </c>
      <c r="S544" s="3">
        <f t="shared" si="116"/>
        <v>0.87</v>
      </c>
    </row>
    <row r="545" spans="1:19" x14ac:dyDescent="0.3">
      <c r="A545" t="s">
        <v>1160</v>
      </c>
      <c r="B545" t="s">
        <v>1161</v>
      </c>
      <c r="C545" t="str">
        <f t="shared" si="112"/>
        <v>Sean Park</v>
      </c>
      <c r="D545" t="s">
        <v>53</v>
      </c>
      <c r="E545" t="str">
        <f t="shared" si="108"/>
        <v>Male</v>
      </c>
      <c r="F545">
        <v>45</v>
      </c>
      <c r="G545" t="s">
        <v>171</v>
      </c>
      <c r="H545" t="s">
        <v>64</v>
      </c>
      <c r="I545" t="s">
        <v>70</v>
      </c>
      <c r="J545">
        <v>19</v>
      </c>
      <c r="K545" s="4" t="str" cm="1">
        <f t="array" ref="K545">_xlfn.IFS(J545&lt;=5,"0-5",J545&lt;=10,"6-10",J545&lt;=15,"11-15",J545&lt;=20,"16-20",J545&gt;20,"21+")</f>
        <v>16-20</v>
      </c>
      <c r="L545">
        <v>75</v>
      </c>
      <c r="M545" s="2">
        <f t="shared" ref="M545:M550" si="117">L545</f>
        <v>75</v>
      </c>
      <c r="N545" s="8">
        <f t="shared" si="109"/>
        <v>75</v>
      </c>
      <c r="O545">
        <v>0</v>
      </c>
      <c r="P545" t="s">
        <v>151</v>
      </c>
      <c r="Q545" t="s">
        <v>2072</v>
      </c>
      <c r="R545" s="1">
        <v>0.72</v>
      </c>
      <c r="S545" s="3">
        <f t="shared" si="116"/>
        <v>0.72</v>
      </c>
    </row>
    <row r="546" spans="1:19" x14ac:dyDescent="0.3">
      <c r="A546" t="s">
        <v>1162</v>
      </c>
      <c r="B546" t="s">
        <v>1163</v>
      </c>
      <c r="C546" t="str">
        <f t="shared" si="112"/>
        <v>Judith Poole</v>
      </c>
      <c r="D546" t="s">
        <v>69</v>
      </c>
      <c r="E546" t="str">
        <f t="shared" si="108"/>
        <v>Female</v>
      </c>
      <c r="F546">
        <v>22</v>
      </c>
      <c r="G546" t="s">
        <v>13</v>
      </c>
      <c r="H546" t="s">
        <v>14</v>
      </c>
      <c r="I546" t="s">
        <v>43</v>
      </c>
      <c r="J546">
        <v>2</v>
      </c>
      <c r="K546" s="4" t="str" cm="1">
        <f t="array" ref="K546">_xlfn.IFS(J546&lt;=5,"0-5",J546&lt;=10,"6-10",J546&lt;=15,"11-15",J546&lt;=20,"16-20",J546&gt;20,"21+")</f>
        <v>0-5</v>
      </c>
      <c r="L546">
        <v>40</v>
      </c>
      <c r="M546" s="2">
        <f t="shared" si="117"/>
        <v>40</v>
      </c>
      <c r="N546" s="8">
        <f t="shared" si="109"/>
        <v>40</v>
      </c>
      <c r="O546">
        <v>1.1000000000000001</v>
      </c>
      <c r="P546" t="s">
        <v>151</v>
      </c>
      <c r="Q546" t="s">
        <v>2072</v>
      </c>
      <c r="R546" s="1">
        <v>0.76</v>
      </c>
      <c r="S546" s="3">
        <f t="shared" si="116"/>
        <v>0.76</v>
      </c>
    </row>
    <row r="547" spans="1:19" x14ac:dyDescent="0.3">
      <c r="A547" t="s">
        <v>1164</v>
      </c>
      <c r="B547" t="s">
        <v>1165</v>
      </c>
      <c r="C547" t="str">
        <f t="shared" si="112"/>
        <v>Melanie Baird</v>
      </c>
      <c r="D547" t="s">
        <v>6</v>
      </c>
      <c r="E547" t="str">
        <f t="shared" si="108"/>
        <v>Female</v>
      </c>
      <c r="F547">
        <v>20</v>
      </c>
      <c r="G547" t="s">
        <v>54</v>
      </c>
      <c r="H547" t="s">
        <v>55</v>
      </c>
      <c r="I547" t="s">
        <v>15</v>
      </c>
      <c r="J547">
        <v>0</v>
      </c>
      <c r="K547" s="4" t="str" cm="1">
        <f t="array" ref="K547">_xlfn.IFS(J547&lt;=5,"0-5",J547&lt;=10,"6-10",J547&lt;=15,"11-15",J547&lt;=20,"16-20",J547&gt;20,"21+")</f>
        <v>0-5</v>
      </c>
      <c r="L547">
        <v>100</v>
      </c>
      <c r="M547" s="2">
        <f t="shared" si="117"/>
        <v>100</v>
      </c>
      <c r="N547" s="8">
        <f t="shared" si="109"/>
        <v>100</v>
      </c>
      <c r="O547">
        <v>0</v>
      </c>
      <c r="P547">
        <v>0</v>
      </c>
      <c r="Q547" t="s">
        <v>2072</v>
      </c>
      <c r="R547">
        <v>63</v>
      </c>
      <c r="S547" s="3">
        <f>R547/100</f>
        <v>0.63</v>
      </c>
    </row>
    <row r="548" spans="1:19" x14ac:dyDescent="0.3">
      <c r="A548" t="s">
        <v>1166</v>
      </c>
      <c r="B548" t="s">
        <v>1167</v>
      </c>
      <c r="C548" t="str">
        <f t="shared" si="112"/>
        <v>Erika Mitchell</v>
      </c>
      <c r="D548" t="s">
        <v>12</v>
      </c>
      <c r="E548" t="str">
        <f t="shared" si="108"/>
        <v>Female</v>
      </c>
      <c r="F548">
        <v>20</v>
      </c>
      <c r="G548" t="s">
        <v>120</v>
      </c>
      <c r="H548" t="s">
        <v>14</v>
      </c>
      <c r="I548" t="s">
        <v>43</v>
      </c>
      <c r="J548">
        <v>2</v>
      </c>
      <c r="K548" s="4" t="str" cm="1">
        <f t="array" ref="K548">_xlfn.IFS(J548&lt;=5,"0-5",J548&lt;=10,"6-10",J548&lt;=15,"11-15",J548&lt;=20,"16-20",J548&gt;20,"21+")</f>
        <v>0-5</v>
      </c>
      <c r="L548">
        <v>40</v>
      </c>
      <c r="M548" s="2">
        <f t="shared" si="117"/>
        <v>40</v>
      </c>
      <c r="N548" s="8">
        <f t="shared" si="109"/>
        <v>40</v>
      </c>
      <c r="P548">
        <v>1</v>
      </c>
      <c r="Q548" t="s">
        <v>2073</v>
      </c>
      <c r="R548" s="1">
        <v>0.91</v>
      </c>
      <c r="S548" s="3">
        <f t="shared" ref="S548:S551" si="118">R548</f>
        <v>0.91</v>
      </c>
    </row>
    <row r="549" spans="1:19" x14ac:dyDescent="0.3">
      <c r="A549" t="s">
        <v>1168</v>
      </c>
      <c r="B549" t="s">
        <v>1169</v>
      </c>
      <c r="C549" t="str">
        <f t="shared" si="112"/>
        <v>Ricky Martinez</v>
      </c>
      <c r="D549" t="s">
        <v>84</v>
      </c>
      <c r="E549" t="str">
        <f t="shared" si="108"/>
        <v>Male</v>
      </c>
      <c r="F549">
        <v>21</v>
      </c>
      <c r="G549" t="s">
        <v>59</v>
      </c>
      <c r="H549" t="s">
        <v>14</v>
      </c>
      <c r="I549" t="s">
        <v>36</v>
      </c>
      <c r="J549">
        <v>0</v>
      </c>
      <c r="K549" s="4" t="str" cm="1">
        <f t="array" ref="K549">_xlfn.IFS(J549&lt;=5,"0-5",J549&lt;=10,"6-10",J549&lt;=15,"11-15",J549&lt;=20,"16-20",J549&gt;20,"21+")</f>
        <v>0-5</v>
      </c>
      <c r="L549">
        <v>100</v>
      </c>
      <c r="M549" s="2">
        <f t="shared" si="117"/>
        <v>100</v>
      </c>
      <c r="N549" s="8">
        <f t="shared" si="109"/>
        <v>100</v>
      </c>
      <c r="P549">
        <v>0</v>
      </c>
      <c r="Q549" t="s">
        <v>2072</v>
      </c>
      <c r="R549" s="1">
        <v>0.73</v>
      </c>
      <c r="S549" s="3">
        <f t="shared" si="118"/>
        <v>0.73</v>
      </c>
    </row>
    <row r="550" spans="1:19" x14ac:dyDescent="0.3">
      <c r="A550" t="s">
        <v>1170</v>
      </c>
      <c r="B550" t="s">
        <v>1171</v>
      </c>
      <c r="C550" t="str">
        <f t="shared" si="112"/>
        <v>John Christian</v>
      </c>
      <c r="D550" t="s">
        <v>89</v>
      </c>
      <c r="E550" t="str">
        <f t="shared" si="108"/>
        <v>Male</v>
      </c>
      <c r="F550">
        <v>22</v>
      </c>
      <c r="G550" t="s">
        <v>34</v>
      </c>
      <c r="H550" t="s">
        <v>35</v>
      </c>
      <c r="I550" t="s">
        <v>70</v>
      </c>
      <c r="J550">
        <v>1</v>
      </c>
      <c r="K550" s="4" t="str" cm="1">
        <f t="array" ref="K550">_xlfn.IFS(J550&lt;=5,"0-5",J550&lt;=10,"6-10",J550&lt;=15,"11-15",J550&lt;=20,"16-20",J550&gt;20,"21+")</f>
        <v>0-5</v>
      </c>
      <c r="L550">
        <v>40</v>
      </c>
      <c r="M550" s="2">
        <f t="shared" si="117"/>
        <v>40</v>
      </c>
      <c r="N550" s="8">
        <f t="shared" si="109"/>
        <v>40</v>
      </c>
      <c r="O550">
        <v>0</v>
      </c>
      <c r="P550">
        <v>0</v>
      </c>
      <c r="Q550" t="s">
        <v>2072</v>
      </c>
      <c r="R550" s="1">
        <v>0.63</v>
      </c>
      <c r="S550" s="3">
        <f t="shared" si="118"/>
        <v>0.63</v>
      </c>
    </row>
    <row r="551" spans="1:19" x14ac:dyDescent="0.3">
      <c r="A551" t="s">
        <v>1172</v>
      </c>
      <c r="B551" t="s">
        <v>1173</v>
      </c>
      <c r="C551" t="str">
        <f t="shared" si="112"/>
        <v>Nancy Smith</v>
      </c>
      <c r="D551" t="s">
        <v>26</v>
      </c>
      <c r="E551" t="str">
        <f t="shared" si="108"/>
        <v>Female</v>
      </c>
      <c r="F551">
        <v>28</v>
      </c>
      <c r="G551" t="s">
        <v>59</v>
      </c>
      <c r="H551" t="s">
        <v>14</v>
      </c>
      <c r="I551" t="s">
        <v>81</v>
      </c>
      <c r="J551">
        <v>3</v>
      </c>
      <c r="K551" s="4" t="str" cm="1">
        <f t="array" ref="K551">_xlfn.IFS(J551&lt;=5,"0-5",J551&lt;=10,"6-10",J551&lt;=15,"11-15",J551&lt;=20,"16-20",J551&gt;20,"21+")</f>
        <v>0-5</v>
      </c>
      <c r="L551" t="s">
        <v>306</v>
      </c>
      <c r="M551" s="2" t="str">
        <f>TRIM(MID(L551,FIND(" ",L551)+1,LEN(L551)))</f>
        <v>20</v>
      </c>
      <c r="N551" s="8">
        <f t="shared" si="109"/>
        <v>20</v>
      </c>
      <c r="P551">
        <v>1</v>
      </c>
      <c r="Q551" t="s">
        <v>2073</v>
      </c>
      <c r="R551" s="1">
        <v>0.79</v>
      </c>
      <c r="S551" s="3">
        <f t="shared" si="118"/>
        <v>0.79</v>
      </c>
    </row>
    <row r="552" spans="1:19" x14ac:dyDescent="0.3">
      <c r="A552" t="s">
        <v>1174</v>
      </c>
      <c r="B552" t="s">
        <v>1175</v>
      </c>
      <c r="C552" t="str">
        <f t="shared" si="112"/>
        <v>Cassandra Stephens</v>
      </c>
      <c r="D552" t="s">
        <v>26</v>
      </c>
      <c r="E552" t="str">
        <f t="shared" si="108"/>
        <v>Female</v>
      </c>
      <c r="F552">
        <v>59</v>
      </c>
      <c r="G552" t="s">
        <v>63</v>
      </c>
      <c r="H552" t="s">
        <v>64</v>
      </c>
      <c r="I552" t="s">
        <v>36</v>
      </c>
      <c r="K552" s="4" t="str" cm="1">
        <f t="array" ref="K552">_xlfn.IFS(J552&lt;=5,"0-5",J552&lt;=10,"6-10",J552&lt;=15,"11-15",J552&lt;=20,"16-20",J552&gt;20,"21+")</f>
        <v>0-5</v>
      </c>
      <c r="L552">
        <v>20</v>
      </c>
      <c r="M552" s="2">
        <f>L552</f>
        <v>20</v>
      </c>
      <c r="N552" s="8">
        <f t="shared" si="109"/>
        <v>20</v>
      </c>
      <c r="O552">
        <v>4.0999999999999996</v>
      </c>
      <c r="P552">
        <v>0</v>
      </c>
      <c r="Q552" t="s">
        <v>2072</v>
      </c>
      <c r="R552">
        <v>75</v>
      </c>
      <c r="S552" s="3">
        <f>R552/100</f>
        <v>0.75</v>
      </c>
    </row>
    <row r="553" spans="1:19" x14ac:dyDescent="0.3">
      <c r="A553" t="s">
        <v>1176</v>
      </c>
      <c r="B553" t="s">
        <v>1177</v>
      </c>
      <c r="C553" t="str">
        <f t="shared" si="112"/>
        <v>Miss Janet Donovan MD</v>
      </c>
      <c r="D553" t="s">
        <v>31</v>
      </c>
      <c r="E553" t="str">
        <f t="shared" si="108"/>
        <v>Female</v>
      </c>
      <c r="F553">
        <v>28</v>
      </c>
      <c r="G553" t="s">
        <v>127</v>
      </c>
      <c r="H553" t="s">
        <v>128</v>
      </c>
      <c r="I553" t="s">
        <v>27</v>
      </c>
      <c r="J553">
        <v>1</v>
      </c>
      <c r="K553" s="4" t="str" cm="1">
        <f t="array" ref="K553">_xlfn.IFS(J553&lt;=5,"0-5",J553&lt;=10,"6-10",J553&lt;=15,"11-15",J553&lt;=20,"16-20",J553&gt;20,"21+")</f>
        <v>0-5</v>
      </c>
      <c r="N553" s="8" t="str">
        <f t="shared" si="109"/>
        <v/>
      </c>
      <c r="O553">
        <v>0</v>
      </c>
      <c r="P553">
        <v>0</v>
      </c>
      <c r="Q553" t="s">
        <v>2072</v>
      </c>
      <c r="R553" s="1">
        <v>0.7</v>
      </c>
      <c r="S553" s="3">
        <f t="shared" ref="S553:S554" si="119">R553</f>
        <v>0.7</v>
      </c>
    </row>
    <row r="554" spans="1:19" x14ac:dyDescent="0.3">
      <c r="A554" t="s">
        <v>1178</v>
      </c>
      <c r="B554" t="s">
        <v>1179</v>
      </c>
      <c r="C554" t="str">
        <f t="shared" si="112"/>
        <v>Kristina Williams</v>
      </c>
      <c r="D554" t="s">
        <v>26</v>
      </c>
      <c r="E554" t="str">
        <f t="shared" si="108"/>
        <v>Female</v>
      </c>
      <c r="F554">
        <v>40</v>
      </c>
      <c r="G554" t="s">
        <v>13</v>
      </c>
      <c r="H554" t="s">
        <v>14</v>
      </c>
      <c r="I554" t="s">
        <v>81</v>
      </c>
      <c r="J554">
        <v>0</v>
      </c>
      <c r="K554" s="4" t="str" cm="1">
        <f t="array" ref="K554">_xlfn.IFS(J554&lt;=5,"0-5",J554&lt;=10,"6-10",J554&lt;=15,"11-15",J554&lt;=20,"16-20",J554&gt;20,"21+")</f>
        <v>0-5</v>
      </c>
      <c r="L554" t="s">
        <v>221</v>
      </c>
      <c r="M554" s="2" t="str">
        <f>SUBSTITUTE(L554,"$","")</f>
        <v>100</v>
      </c>
      <c r="N554" s="8">
        <f t="shared" si="109"/>
        <v>100</v>
      </c>
      <c r="O554">
        <v>1.2</v>
      </c>
      <c r="R554" s="1">
        <v>0.87</v>
      </c>
      <c r="S554" s="3">
        <f t="shared" si="119"/>
        <v>0.87</v>
      </c>
    </row>
    <row r="555" spans="1:19" x14ac:dyDescent="0.3">
      <c r="A555" t="s">
        <v>1180</v>
      </c>
      <c r="B555" t="s">
        <v>1181</v>
      </c>
      <c r="C555" t="str">
        <f t="shared" si="112"/>
        <v>Wayne Barnes</v>
      </c>
      <c r="D555" t="s">
        <v>84</v>
      </c>
      <c r="E555" t="str">
        <f t="shared" si="108"/>
        <v>Male</v>
      </c>
      <c r="F555">
        <v>57</v>
      </c>
      <c r="G555" t="s">
        <v>7</v>
      </c>
      <c r="H555" t="s">
        <v>8</v>
      </c>
      <c r="I555" t="s">
        <v>9</v>
      </c>
      <c r="J555">
        <v>7</v>
      </c>
      <c r="K555" s="4" t="str" cm="1">
        <f t="array" ref="K555">_xlfn.IFS(J555&lt;=5,"0-5",J555&lt;=10,"6-10",J555&lt;=15,"11-15",J555&lt;=20,"16-20",J555&gt;20,"21+")</f>
        <v>6-10</v>
      </c>
      <c r="L555">
        <v>30</v>
      </c>
      <c r="M555" s="2">
        <f>L555</f>
        <v>30</v>
      </c>
      <c r="N555" s="8">
        <f t="shared" si="109"/>
        <v>30</v>
      </c>
      <c r="O555">
        <v>1.6</v>
      </c>
      <c r="P555" t="s">
        <v>151</v>
      </c>
      <c r="Q555" t="s">
        <v>2072</v>
      </c>
    </row>
    <row r="556" spans="1:19" x14ac:dyDescent="0.3">
      <c r="A556" t="s">
        <v>1182</v>
      </c>
      <c r="B556" t="s">
        <v>1183</v>
      </c>
      <c r="C556" t="str">
        <f t="shared" si="112"/>
        <v>James Hinton</v>
      </c>
      <c r="D556" t="s">
        <v>53</v>
      </c>
      <c r="E556" t="str">
        <f t="shared" si="108"/>
        <v>Male</v>
      </c>
      <c r="F556">
        <v>47</v>
      </c>
      <c r="G556" t="s">
        <v>54</v>
      </c>
      <c r="H556" t="s">
        <v>55</v>
      </c>
      <c r="I556" t="s">
        <v>81</v>
      </c>
      <c r="J556">
        <v>1</v>
      </c>
      <c r="K556" s="4" t="str" cm="1">
        <f t="array" ref="K556">_xlfn.IFS(J556&lt;=5,"0-5",J556&lt;=10,"6-10",J556&lt;=15,"11-15",J556&lt;=20,"16-20",J556&gt;20,"21+")</f>
        <v>0-5</v>
      </c>
      <c r="L556">
        <v>50</v>
      </c>
      <c r="M556" s="2">
        <f>L556</f>
        <v>50</v>
      </c>
      <c r="N556" s="8">
        <f t="shared" si="109"/>
        <v>50</v>
      </c>
      <c r="O556">
        <v>3.9</v>
      </c>
      <c r="P556" t="s">
        <v>66</v>
      </c>
      <c r="Q556" t="s">
        <v>2073</v>
      </c>
      <c r="R556" s="1">
        <v>0.88</v>
      </c>
      <c r="S556" s="3">
        <f>R556</f>
        <v>0.88</v>
      </c>
    </row>
    <row r="557" spans="1:19" x14ac:dyDescent="0.3">
      <c r="A557" t="s">
        <v>1184</v>
      </c>
      <c r="B557" t="s">
        <v>1185</v>
      </c>
      <c r="C557" t="str">
        <f t="shared" si="112"/>
        <v>David Spence</v>
      </c>
      <c r="D557" t="s">
        <v>19</v>
      </c>
      <c r="E557" t="str">
        <f t="shared" si="108"/>
        <v>Male</v>
      </c>
      <c r="F557">
        <v>48</v>
      </c>
      <c r="G557" t="s">
        <v>104</v>
      </c>
      <c r="H557" t="s">
        <v>105</v>
      </c>
      <c r="I557" t="s">
        <v>70</v>
      </c>
      <c r="J557">
        <v>21</v>
      </c>
      <c r="K557" s="4" t="str" cm="1">
        <f t="array" ref="K557">_xlfn.IFS(J557&lt;=5,"0-5",J557&lt;=10,"6-10",J557&lt;=15,"11-15",J557&lt;=20,"16-20",J557&gt;20,"21+")</f>
        <v>21+</v>
      </c>
      <c r="L557">
        <v>40</v>
      </c>
      <c r="M557" s="2">
        <f>L557</f>
        <v>40</v>
      </c>
      <c r="N557" s="8">
        <f t="shared" si="109"/>
        <v>40</v>
      </c>
      <c r="O557">
        <v>0</v>
      </c>
      <c r="P557">
        <v>1</v>
      </c>
      <c r="Q557" t="s">
        <v>2073</v>
      </c>
    </row>
    <row r="558" spans="1:19" x14ac:dyDescent="0.3">
      <c r="A558" t="s">
        <v>1186</v>
      </c>
      <c r="B558" t="s">
        <v>1187</v>
      </c>
      <c r="C558" t="str">
        <f t="shared" si="112"/>
        <v>Tyler Cooper</v>
      </c>
      <c r="D558" t="s">
        <v>89</v>
      </c>
      <c r="E558" t="str">
        <f t="shared" si="108"/>
        <v>Male</v>
      </c>
      <c r="F558">
        <v>28</v>
      </c>
      <c r="G558" t="s">
        <v>50</v>
      </c>
      <c r="H558" t="s">
        <v>14</v>
      </c>
      <c r="I558" t="s">
        <v>65</v>
      </c>
      <c r="J558">
        <v>1</v>
      </c>
      <c r="K558" s="4" t="str" cm="1">
        <f t="array" ref="K558">_xlfn.IFS(J558&lt;=5,"0-5",J558&lt;=10,"6-10",J558&lt;=15,"11-15",J558&lt;=20,"16-20",J558&gt;20,"21+")</f>
        <v>0-5</v>
      </c>
      <c r="L558" t="s">
        <v>306</v>
      </c>
      <c r="M558" s="2" t="str">
        <f>TRIM(MID(L558,FIND(" ",L558)+1,LEN(L558)))</f>
        <v>20</v>
      </c>
      <c r="N558" s="8">
        <f t="shared" si="109"/>
        <v>20</v>
      </c>
      <c r="O558">
        <v>4.7</v>
      </c>
      <c r="P558" t="b">
        <v>0</v>
      </c>
      <c r="Q558" t="s">
        <v>2072</v>
      </c>
      <c r="R558" s="1">
        <v>0.93</v>
      </c>
      <c r="S558" s="3">
        <f>R558</f>
        <v>0.93</v>
      </c>
    </row>
    <row r="559" spans="1:19" x14ac:dyDescent="0.3">
      <c r="A559" t="s">
        <v>1188</v>
      </c>
      <c r="B559" t="s">
        <v>1189</v>
      </c>
      <c r="C559" t="str">
        <f t="shared" si="112"/>
        <v>Sean Martinez</v>
      </c>
      <c r="D559" t="s">
        <v>84</v>
      </c>
      <c r="E559" t="str">
        <f t="shared" si="108"/>
        <v>Male</v>
      </c>
      <c r="F559">
        <v>41</v>
      </c>
      <c r="G559" t="s">
        <v>54</v>
      </c>
      <c r="H559" t="s">
        <v>55</v>
      </c>
      <c r="I559" t="s">
        <v>22</v>
      </c>
      <c r="J559">
        <v>15</v>
      </c>
      <c r="K559" s="4" t="str" cm="1">
        <f t="array" ref="K559">_xlfn.IFS(J559&lt;=5,"0-5",J559&lt;=10,"6-10",J559&lt;=15,"11-15",J559&lt;=20,"16-20",J559&gt;20,"21+")</f>
        <v>11-15</v>
      </c>
      <c r="N559" s="8" t="str">
        <f t="shared" si="109"/>
        <v/>
      </c>
      <c r="O559">
        <v>3.8</v>
      </c>
      <c r="P559">
        <v>1</v>
      </c>
      <c r="Q559" t="s">
        <v>2073</v>
      </c>
    </row>
    <row r="560" spans="1:19" x14ac:dyDescent="0.3">
      <c r="A560" t="s">
        <v>1190</v>
      </c>
      <c r="B560" t="s">
        <v>1191</v>
      </c>
      <c r="C560" t="str">
        <f t="shared" si="112"/>
        <v>Janet Barron</v>
      </c>
      <c r="D560" t="s">
        <v>6</v>
      </c>
      <c r="E560" t="str">
        <f t="shared" si="108"/>
        <v>Female</v>
      </c>
      <c r="F560">
        <v>57</v>
      </c>
      <c r="G560" t="s">
        <v>145</v>
      </c>
      <c r="H560" t="s">
        <v>146</v>
      </c>
      <c r="I560" t="s">
        <v>70</v>
      </c>
      <c r="J560">
        <v>33</v>
      </c>
      <c r="K560" s="4" t="str" cm="1">
        <f t="array" ref="K560">_xlfn.IFS(J560&lt;=5,"0-5",J560&lt;=10,"6-10",J560&lt;=15,"11-15",J560&lt;=20,"16-20",J560&gt;20,"21+")</f>
        <v>21+</v>
      </c>
      <c r="L560">
        <v>100</v>
      </c>
      <c r="M560" s="2">
        <f>L560</f>
        <v>100</v>
      </c>
      <c r="N560" s="8">
        <f t="shared" si="109"/>
        <v>100</v>
      </c>
      <c r="O560">
        <v>3.5</v>
      </c>
      <c r="P560" t="s">
        <v>151</v>
      </c>
      <c r="Q560" t="s">
        <v>2072</v>
      </c>
      <c r="R560" s="1">
        <v>0.74</v>
      </c>
      <c r="S560" s="3">
        <f t="shared" ref="S560:S565" si="120">R560</f>
        <v>0.74</v>
      </c>
    </row>
    <row r="561" spans="1:19" x14ac:dyDescent="0.3">
      <c r="A561" t="s">
        <v>1192</v>
      </c>
      <c r="B561" t="s">
        <v>1193</v>
      </c>
      <c r="C561" t="str">
        <f t="shared" si="112"/>
        <v>Rodney Wilson</v>
      </c>
      <c r="D561" t="s">
        <v>19</v>
      </c>
      <c r="E561" t="str">
        <f t="shared" si="108"/>
        <v>Male</v>
      </c>
      <c r="F561">
        <v>60</v>
      </c>
      <c r="G561" t="s">
        <v>63</v>
      </c>
      <c r="H561" t="s">
        <v>64</v>
      </c>
      <c r="I561" t="s">
        <v>22</v>
      </c>
      <c r="J561">
        <v>39</v>
      </c>
      <c r="K561" s="4" t="str" cm="1">
        <f t="array" ref="K561">_xlfn.IFS(J561&lt;=5,"0-5",J561&lt;=10,"6-10",J561&lt;=15,"11-15",J561&lt;=20,"16-20",J561&gt;20,"21+")</f>
        <v>21+</v>
      </c>
      <c r="L561" t="s">
        <v>44</v>
      </c>
      <c r="M561" s="2" t="str">
        <f>TRIM(MID(L561,FIND(" ",L561)+1,LEN(L561)))</f>
        <v>75</v>
      </c>
      <c r="N561" s="8">
        <f t="shared" si="109"/>
        <v>75</v>
      </c>
      <c r="O561">
        <v>4</v>
      </c>
      <c r="R561" s="1">
        <v>0.7</v>
      </c>
      <c r="S561" s="3">
        <f t="shared" si="120"/>
        <v>0.7</v>
      </c>
    </row>
    <row r="562" spans="1:19" x14ac:dyDescent="0.3">
      <c r="A562" t="s">
        <v>1194</v>
      </c>
      <c r="B562" t="s">
        <v>1195</v>
      </c>
      <c r="C562" t="str">
        <f t="shared" si="112"/>
        <v>Kimberly Fitzgerald</v>
      </c>
      <c r="D562" t="s">
        <v>31</v>
      </c>
      <c r="E562" t="str">
        <f t="shared" si="108"/>
        <v>Female</v>
      </c>
      <c r="F562">
        <v>48</v>
      </c>
      <c r="G562" t="s">
        <v>131</v>
      </c>
      <c r="H562" t="s">
        <v>132</v>
      </c>
      <c r="I562" t="s">
        <v>22</v>
      </c>
      <c r="J562">
        <v>21</v>
      </c>
      <c r="K562" s="4" t="str" cm="1">
        <f t="array" ref="K562">_xlfn.IFS(J562&lt;=5,"0-5",J562&lt;=10,"6-10",J562&lt;=15,"11-15",J562&lt;=20,"16-20",J562&gt;20,"21+")</f>
        <v>21+</v>
      </c>
      <c r="L562">
        <v>30</v>
      </c>
      <c r="M562" s="2">
        <f>L562</f>
        <v>30</v>
      </c>
      <c r="N562" s="8">
        <f t="shared" si="109"/>
        <v>30</v>
      </c>
      <c r="O562">
        <v>1.6</v>
      </c>
      <c r="P562" t="s">
        <v>66</v>
      </c>
      <c r="Q562" t="s">
        <v>2073</v>
      </c>
      <c r="R562" s="1">
        <v>0.67</v>
      </c>
      <c r="S562" s="3">
        <f t="shared" si="120"/>
        <v>0.67</v>
      </c>
    </row>
    <row r="563" spans="1:19" x14ac:dyDescent="0.3">
      <c r="A563" t="s">
        <v>1196</v>
      </c>
      <c r="B563" t="s">
        <v>1197</v>
      </c>
      <c r="C563" t="str">
        <f t="shared" si="112"/>
        <v>Nicole Davis</v>
      </c>
      <c r="D563" t="s">
        <v>69</v>
      </c>
      <c r="E563" t="str">
        <f t="shared" si="108"/>
        <v>Female</v>
      </c>
      <c r="F563">
        <v>24</v>
      </c>
      <c r="G563" t="s">
        <v>127</v>
      </c>
      <c r="H563" t="s">
        <v>128</v>
      </c>
      <c r="I563" t="s">
        <v>70</v>
      </c>
      <c r="J563">
        <v>5</v>
      </c>
      <c r="K563" s="4" t="str" cm="1">
        <f t="array" ref="K563">_xlfn.IFS(J563&lt;=5,"0-5",J563&lt;=10,"6-10",J563&lt;=15,"11-15",J563&lt;=20,"16-20",J563&gt;20,"21+")</f>
        <v>0-5</v>
      </c>
      <c r="L563">
        <v>40</v>
      </c>
      <c r="M563" s="2">
        <f>L563</f>
        <v>40</v>
      </c>
      <c r="N563" s="8">
        <f t="shared" si="109"/>
        <v>40</v>
      </c>
      <c r="O563">
        <v>3</v>
      </c>
      <c r="P563" t="s">
        <v>151</v>
      </c>
      <c r="Q563" t="s">
        <v>2072</v>
      </c>
      <c r="R563" s="1">
        <v>0.86</v>
      </c>
      <c r="S563" s="3">
        <f t="shared" si="120"/>
        <v>0.86</v>
      </c>
    </row>
    <row r="564" spans="1:19" x14ac:dyDescent="0.3">
      <c r="A564" t="s">
        <v>1198</v>
      </c>
      <c r="B564" t="s">
        <v>1199</v>
      </c>
      <c r="C564" t="str">
        <f t="shared" si="112"/>
        <v>Elizabeth Hayes</v>
      </c>
      <c r="D564" t="s">
        <v>12</v>
      </c>
      <c r="E564" t="str">
        <f t="shared" si="108"/>
        <v>Female</v>
      </c>
      <c r="F564">
        <v>33</v>
      </c>
      <c r="G564" t="s">
        <v>171</v>
      </c>
      <c r="H564" t="s">
        <v>64</v>
      </c>
      <c r="I564" t="s">
        <v>81</v>
      </c>
      <c r="J564">
        <v>11</v>
      </c>
      <c r="K564" s="4" t="str" cm="1">
        <f t="array" ref="K564">_xlfn.IFS(J564&lt;=5,"0-5",J564&lt;=10,"6-10",J564&lt;=15,"11-15",J564&lt;=20,"16-20",J564&gt;20,"21+")</f>
        <v>11-15</v>
      </c>
      <c r="L564">
        <v>50</v>
      </c>
      <c r="M564" s="2">
        <f>L564</f>
        <v>50</v>
      </c>
      <c r="N564" s="8">
        <f t="shared" si="109"/>
        <v>50</v>
      </c>
      <c r="O564">
        <v>5</v>
      </c>
      <c r="P564" t="s">
        <v>60</v>
      </c>
      <c r="Q564" t="s">
        <v>2073</v>
      </c>
      <c r="R564" s="1">
        <v>0.69</v>
      </c>
      <c r="S564" s="3">
        <f t="shared" si="120"/>
        <v>0.69</v>
      </c>
    </row>
    <row r="565" spans="1:19" x14ac:dyDescent="0.3">
      <c r="A565" t="s">
        <v>1200</v>
      </c>
      <c r="B565" t="s">
        <v>1201</v>
      </c>
      <c r="C565" t="str">
        <f t="shared" si="112"/>
        <v>Kathy Faulkner</v>
      </c>
      <c r="D565" t="s">
        <v>12</v>
      </c>
      <c r="E565" t="str">
        <f t="shared" si="108"/>
        <v>Female</v>
      </c>
      <c r="F565">
        <v>20</v>
      </c>
      <c r="G565" t="s">
        <v>54</v>
      </c>
      <c r="H565" t="s">
        <v>55</v>
      </c>
      <c r="I565" t="s">
        <v>22</v>
      </c>
      <c r="J565">
        <v>0</v>
      </c>
      <c r="K565" s="4" t="str" cm="1">
        <f t="array" ref="K565">_xlfn.IFS(J565&lt;=5,"0-5",J565&lt;=10,"6-10",J565&lt;=15,"11-15",J565&lt;=20,"16-20",J565&gt;20,"21+")</f>
        <v>0-5</v>
      </c>
      <c r="L565">
        <v>30</v>
      </c>
      <c r="M565" s="2">
        <f>L565</f>
        <v>30</v>
      </c>
      <c r="N565" s="8">
        <f t="shared" si="109"/>
        <v>30</v>
      </c>
      <c r="O565">
        <v>4.8</v>
      </c>
      <c r="P565" t="s">
        <v>60</v>
      </c>
      <c r="Q565" t="s">
        <v>2073</v>
      </c>
      <c r="R565" s="1">
        <v>0.68</v>
      </c>
      <c r="S565" s="3">
        <f t="shared" si="120"/>
        <v>0.68</v>
      </c>
    </row>
    <row r="566" spans="1:19" x14ac:dyDescent="0.3">
      <c r="A566" t="s">
        <v>1202</v>
      </c>
      <c r="B566" t="s">
        <v>1203</v>
      </c>
      <c r="C566" t="str">
        <f t="shared" si="112"/>
        <v>John Gonzales</v>
      </c>
      <c r="D566" t="s">
        <v>53</v>
      </c>
      <c r="E566" t="str">
        <f t="shared" si="108"/>
        <v>Male</v>
      </c>
      <c r="F566">
        <v>59</v>
      </c>
      <c r="G566" t="s">
        <v>59</v>
      </c>
      <c r="H566" t="s">
        <v>14</v>
      </c>
      <c r="I566" t="s">
        <v>81</v>
      </c>
      <c r="J566">
        <v>15</v>
      </c>
      <c r="K566" s="4" t="str" cm="1">
        <f t="array" ref="K566">_xlfn.IFS(J566&lt;=5,"0-5",J566&lt;=10,"6-10",J566&lt;=15,"11-15",J566&lt;=20,"16-20",J566&gt;20,"21+")</f>
        <v>11-15</v>
      </c>
      <c r="L566" t="s">
        <v>56</v>
      </c>
      <c r="M566" s="2" t="str">
        <f>SUBSTITUTE(L566,"$","")</f>
        <v>50</v>
      </c>
      <c r="N566" s="8">
        <f t="shared" si="109"/>
        <v>50</v>
      </c>
      <c r="P566" t="s">
        <v>151</v>
      </c>
      <c r="Q566" t="s">
        <v>2072</v>
      </c>
    </row>
    <row r="567" spans="1:19" x14ac:dyDescent="0.3">
      <c r="A567" t="s">
        <v>1204</v>
      </c>
      <c r="B567" t="s">
        <v>1205</v>
      </c>
      <c r="C567" t="str">
        <f t="shared" si="112"/>
        <v>Shannon Luna</v>
      </c>
      <c r="D567" t="s">
        <v>31</v>
      </c>
      <c r="E567" t="str">
        <f t="shared" si="108"/>
        <v>Female</v>
      </c>
      <c r="F567">
        <v>42</v>
      </c>
      <c r="G567" t="s">
        <v>167</v>
      </c>
      <c r="H567" t="s">
        <v>168</v>
      </c>
      <c r="I567" t="s">
        <v>81</v>
      </c>
      <c r="J567">
        <v>22</v>
      </c>
      <c r="K567" s="4" t="str" cm="1">
        <f t="array" ref="K567">_xlfn.IFS(J567&lt;=5,"0-5",J567&lt;=10,"6-10",J567&lt;=15,"11-15",J567&lt;=20,"16-20",J567&gt;20,"21+")</f>
        <v>21+</v>
      </c>
      <c r="N567" s="8" t="str">
        <f t="shared" si="109"/>
        <v/>
      </c>
      <c r="O567">
        <v>2.9</v>
      </c>
      <c r="P567">
        <v>0</v>
      </c>
      <c r="Q567" t="s">
        <v>2072</v>
      </c>
      <c r="R567" s="1">
        <v>0.61</v>
      </c>
      <c r="S567" s="3">
        <f t="shared" ref="S567:S572" si="121">R567</f>
        <v>0.61</v>
      </c>
    </row>
    <row r="568" spans="1:19" x14ac:dyDescent="0.3">
      <c r="A568" t="s">
        <v>1206</v>
      </c>
      <c r="B568" t="s">
        <v>1207</v>
      </c>
      <c r="C568" t="str">
        <f t="shared" si="112"/>
        <v>Stephanie Burton</v>
      </c>
      <c r="D568" t="s">
        <v>12</v>
      </c>
      <c r="E568" t="str">
        <f t="shared" si="108"/>
        <v>Female</v>
      </c>
      <c r="F568">
        <v>22</v>
      </c>
      <c r="G568" t="s">
        <v>54</v>
      </c>
      <c r="H568" t="s">
        <v>55</v>
      </c>
      <c r="I568" t="s">
        <v>65</v>
      </c>
      <c r="J568">
        <v>3</v>
      </c>
      <c r="K568" s="4" t="str" cm="1">
        <f t="array" ref="K568">_xlfn.IFS(J568&lt;=5,"0-5",J568&lt;=10,"6-10",J568&lt;=15,"11-15",J568&lt;=20,"16-20",J568&gt;20,"21+")</f>
        <v>0-5</v>
      </c>
      <c r="N568" s="8" t="str">
        <f t="shared" si="109"/>
        <v/>
      </c>
      <c r="O568">
        <v>3</v>
      </c>
      <c r="P568" t="b">
        <v>1</v>
      </c>
      <c r="Q568" t="s">
        <v>2073</v>
      </c>
      <c r="R568" s="1">
        <v>0.96</v>
      </c>
      <c r="S568" s="3">
        <f t="shared" si="121"/>
        <v>0.96</v>
      </c>
    </row>
    <row r="569" spans="1:19" x14ac:dyDescent="0.3">
      <c r="A569" t="s">
        <v>1208</v>
      </c>
      <c r="B569" t="s">
        <v>1209</v>
      </c>
      <c r="C569" t="str">
        <f t="shared" si="112"/>
        <v>Kevin Gonzales</v>
      </c>
      <c r="D569" t="s">
        <v>84</v>
      </c>
      <c r="E569" t="str">
        <f t="shared" si="108"/>
        <v>Male</v>
      </c>
      <c r="F569">
        <v>41</v>
      </c>
      <c r="G569" t="s">
        <v>120</v>
      </c>
      <c r="H569" t="s">
        <v>14</v>
      </c>
      <c r="I569" t="s">
        <v>70</v>
      </c>
      <c r="J569">
        <v>11</v>
      </c>
      <c r="K569" s="4" t="str" cm="1">
        <f t="array" ref="K569">_xlfn.IFS(J569&lt;=5,"0-5",J569&lt;=10,"6-10",J569&lt;=15,"11-15",J569&lt;=20,"16-20",J569&gt;20,"21+")</f>
        <v>11-15</v>
      </c>
      <c r="L569">
        <v>50</v>
      </c>
      <c r="M569" s="2">
        <f>L569</f>
        <v>50</v>
      </c>
      <c r="N569" s="8">
        <f t="shared" si="109"/>
        <v>50</v>
      </c>
      <c r="O569">
        <v>3.5</v>
      </c>
      <c r="P569">
        <v>1</v>
      </c>
      <c r="Q569" t="s">
        <v>2073</v>
      </c>
      <c r="R569" s="1">
        <v>0.68</v>
      </c>
      <c r="S569" s="3">
        <f t="shared" si="121"/>
        <v>0.68</v>
      </c>
    </row>
    <row r="570" spans="1:19" x14ac:dyDescent="0.3">
      <c r="A570" t="s">
        <v>1210</v>
      </c>
      <c r="B570" t="s">
        <v>1211</v>
      </c>
      <c r="C570" t="str">
        <f t="shared" si="112"/>
        <v>Dawn Hardy</v>
      </c>
      <c r="D570" t="s">
        <v>69</v>
      </c>
      <c r="E570" t="str">
        <f t="shared" si="108"/>
        <v>Female</v>
      </c>
      <c r="F570">
        <v>25</v>
      </c>
      <c r="G570" t="s">
        <v>63</v>
      </c>
      <c r="H570" t="s">
        <v>64</v>
      </c>
      <c r="I570" t="s">
        <v>27</v>
      </c>
      <c r="J570">
        <v>5</v>
      </c>
      <c r="K570" s="4" t="str" cm="1">
        <f t="array" ref="K570">_xlfn.IFS(J570&lt;=5,"0-5",J570&lt;=10,"6-10",J570&lt;=15,"11-15",J570&lt;=20,"16-20",J570&gt;20,"21+")</f>
        <v>0-5</v>
      </c>
      <c r="L570">
        <v>40</v>
      </c>
      <c r="M570" s="2">
        <f>L570</f>
        <v>40</v>
      </c>
      <c r="N570" s="8">
        <f t="shared" si="109"/>
        <v>40</v>
      </c>
      <c r="P570" t="b">
        <v>1</v>
      </c>
      <c r="Q570" t="s">
        <v>2073</v>
      </c>
      <c r="R570" s="1">
        <v>0.75</v>
      </c>
      <c r="S570" s="3">
        <f t="shared" si="121"/>
        <v>0.75</v>
      </c>
    </row>
    <row r="571" spans="1:19" x14ac:dyDescent="0.3">
      <c r="A571" t="s">
        <v>1212</v>
      </c>
      <c r="B571" t="s">
        <v>1213</v>
      </c>
      <c r="C571" t="str">
        <f t="shared" si="112"/>
        <v>Margaret Perkins</v>
      </c>
      <c r="D571" t="s">
        <v>6</v>
      </c>
      <c r="E571" t="str">
        <f t="shared" si="108"/>
        <v>Female</v>
      </c>
      <c r="F571">
        <v>38</v>
      </c>
      <c r="G571" t="s">
        <v>120</v>
      </c>
      <c r="H571" t="s">
        <v>14</v>
      </c>
      <c r="I571" t="s">
        <v>65</v>
      </c>
      <c r="J571">
        <v>3</v>
      </c>
      <c r="K571" s="4" t="str" cm="1">
        <f t="array" ref="K571">_xlfn.IFS(J571&lt;=5,"0-5",J571&lt;=10,"6-10",J571&lt;=15,"11-15",J571&lt;=20,"16-20",J571&gt;20,"21+")</f>
        <v>0-5</v>
      </c>
      <c r="L571">
        <v>40</v>
      </c>
      <c r="M571" s="2">
        <f>L571</f>
        <v>40</v>
      </c>
      <c r="N571" s="8">
        <f t="shared" si="109"/>
        <v>40</v>
      </c>
      <c r="O571">
        <v>4.7</v>
      </c>
      <c r="P571">
        <v>0</v>
      </c>
      <c r="Q571" t="s">
        <v>2072</v>
      </c>
      <c r="R571" s="1">
        <v>0.69</v>
      </c>
      <c r="S571" s="3">
        <f t="shared" si="121"/>
        <v>0.69</v>
      </c>
    </row>
    <row r="572" spans="1:19" x14ac:dyDescent="0.3">
      <c r="A572" t="s">
        <v>1214</v>
      </c>
      <c r="B572" t="s">
        <v>1215</v>
      </c>
      <c r="C572" t="str">
        <f t="shared" si="112"/>
        <v>Amanda Vargas</v>
      </c>
      <c r="D572" t="s">
        <v>31</v>
      </c>
      <c r="E572" t="str">
        <f t="shared" si="108"/>
        <v>Female</v>
      </c>
      <c r="F572">
        <v>43</v>
      </c>
      <c r="G572" t="s">
        <v>50</v>
      </c>
      <c r="H572" t="s">
        <v>14</v>
      </c>
      <c r="I572" t="s">
        <v>81</v>
      </c>
      <c r="J572">
        <v>1</v>
      </c>
      <c r="K572" s="4" t="str" cm="1">
        <f t="array" ref="K572">_xlfn.IFS(J572&lt;=5,"0-5",J572&lt;=10,"6-10",J572&lt;=15,"11-15",J572&lt;=20,"16-20",J572&gt;20,"21+")</f>
        <v>0-5</v>
      </c>
      <c r="N572" s="8" t="str">
        <f t="shared" si="109"/>
        <v/>
      </c>
      <c r="O572">
        <v>2.9</v>
      </c>
      <c r="P572" t="s">
        <v>151</v>
      </c>
      <c r="Q572" t="s">
        <v>2072</v>
      </c>
      <c r="R572" s="1">
        <v>0.78</v>
      </c>
      <c r="S572" s="3">
        <f t="shared" si="121"/>
        <v>0.78</v>
      </c>
    </row>
    <row r="573" spans="1:19" x14ac:dyDescent="0.3">
      <c r="A573" t="s">
        <v>1216</v>
      </c>
      <c r="B573" t="s">
        <v>1217</v>
      </c>
      <c r="C573" t="str">
        <f t="shared" si="112"/>
        <v>Tonya Gonzalez</v>
      </c>
      <c r="D573" t="s">
        <v>26</v>
      </c>
      <c r="E573" t="str">
        <f t="shared" si="108"/>
        <v>Female</v>
      </c>
      <c r="F573">
        <v>54</v>
      </c>
      <c r="G573" t="s">
        <v>171</v>
      </c>
      <c r="H573" t="s">
        <v>64</v>
      </c>
      <c r="I573" t="s">
        <v>36</v>
      </c>
      <c r="J573">
        <v>1</v>
      </c>
      <c r="K573" s="4" t="str" cm="1">
        <f t="array" ref="K573">_xlfn.IFS(J573&lt;=5,"0-5",J573&lt;=10,"6-10",J573&lt;=15,"11-15",J573&lt;=20,"16-20",J573&gt;20,"21+")</f>
        <v>0-5</v>
      </c>
      <c r="L573">
        <v>75</v>
      </c>
      <c r="M573" s="2">
        <f>L573</f>
        <v>75</v>
      </c>
      <c r="N573" s="8">
        <f t="shared" si="109"/>
        <v>75</v>
      </c>
      <c r="O573">
        <v>4.4000000000000004</v>
      </c>
      <c r="P573" t="s">
        <v>66</v>
      </c>
      <c r="Q573" t="s">
        <v>2073</v>
      </c>
    </row>
    <row r="574" spans="1:19" x14ac:dyDescent="0.3">
      <c r="A574" t="s">
        <v>1218</v>
      </c>
      <c r="B574" t="s">
        <v>1219</v>
      </c>
      <c r="C574" t="str">
        <f t="shared" si="112"/>
        <v>Elizabeth Bowman</v>
      </c>
      <c r="D574" t="s">
        <v>26</v>
      </c>
      <c r="E574" t="str">
        <f t="shared" si="108"/>
        <v>Female</v>
      </c>
      <c r="F574">
        <v>31</v>
      </c>
      <c r="G574" t="s">
        <v>41</v>
      </c>
      <c r="H574" t="s">
        <v>42</v>
      </c>
      <c r="I574" t="s">
        <v>15</v>
      </c>
      <c r="J574">
        <v>2</v>
      </c>
      <c r="K574" s="4" t="str" cm="1">
        <f t="array" ref="K574">_xlfn.IFS(J574&lt;=5,"0-5",J574&lt;=10,"6-10",J574&lt;=15,"11-15",J574&lt;=20,"16-20",J574&gt;20,"21+")</f>
        <v>0-5</v>
      </c>
      <c r="L574">
        <v>40</v>
      </c>
      <c r="M574" s="2">
        <f>L574</f>
        <v>40</v>
      </c>
      <c r="N574" s="8">
        <f t="shared" si="109"/>
        <v>40</v>
      </c>
      <c r="O574">
        <v>2.2999999999999998</v>
      </c>
      <c r="P574" t="s">
        <v>23</v>
      </c>
      <c r="Q574" t="s">
        <v>2072</v>
      </c>
      <c r="R574" s="1">
        <v>0.98</v>
      </c>
      <c r="S574" s="3">
        <f t="shared" ref="S574:S580" si="122">R574</f>
        <v>0.98</v>
      </c>
    </row>
    <row r="575" spans="1:19" x14ac:dyDescent="0.3">
      <c r="A575" t="s">
        <v>1220</v>
      </c>
      <c r="B575" t="s">
        <v>1221</v>
      </c>
      <c r="C575" t="str">
        <f t="shared" si="112"/>
        <v>Ariana Pittman</v>
      </c>
      <c r="D575" t="s">
        <v>6</v>
      </c>
      <c r="E575" t="str">
        <f t="shared" si="108"/>
        <v>Female</v>
      </c>
      <c r="F575">
        <v>56</v>
      </c>
      <c r="G575" t="s">
        <v>171</v>
      </c>
      <c r="H575" t="s">
        <v>64</v>
      </c>
      <c r="I575" t="s">
        <v>36</v>
      </c>
      <c r="J575">
        <v>3</v>
      </c>
      <c r="K575" s="4" t="str" cm="1">
        <f t="array" ref="K575">_xlfn.IFS(J575&lt;=5,"0-5",J575&lt;=10,"6-10",J575&lt;=15,"11-15",J575&lt;=20,"16-20",J575&gt;20,"21+")</f>
        <v>0-5</v>
      </c>
      <c r="L575" t="s">
        <v>37</v>
      </c>
      <c r="M575" s="2" t="str">
        <f>SUBSTITUTE(L575,"$","")</f>
        <v>30</v>
      </c>
      <c r="N575" s="8">
        <f t="shared" si="109"/>
        <v>30</v>
      </c>
      <c r="O575">
        <v>3.7</v>
      </c>
      <c r="R575" s="1">
        <v>0.83</v>
      </c>
      <c r="S575" s="3">
        <f t="shared" si="122"/>
        <v>0.83</v>
      </c>
    </row>
    <row r="576" spans="1:19" x14ac:dyDescent="0.3">
      <c r="A576" t="s">
        <v>1222</v>
      </c>
      <c r="B576" t="s">
        <v>1223</v>
      </c>
      <c r="C576" t="str">
        <f t="shared" si="112"/>
        <v>Antonio Johnson</v>
      </c>
      <c r="D576" t="s">
        <v>53</v>
      </c>
      <c r="E576" t="str">
        <f t="shared" si="108"/>
        <v>Male</v>
      </c>
      <c r="F576">
        <v>46</v>
      </c>
      <c r="G576" t="s">
        <v>171</v>
      </c>
      <c r="H576" t="s">
        <v>64</v>
      </c>
      <c r="I576" t="s">
        <v>22</v>
      </c>
      <c r="J576">
        <v>11</v>
      </c>
      <c r="K576" s="4" t="str" cm="1">
        <f t="array" ref="K576">_xlfn.IFS(J576&lt;=5,"0-5",J576&lt;=10,"6-10",J576&lt;=15,"11-15",J576&lt;=20,"16-20",J576&gt;20,"21+")</f>
        <v>11-15</v>
      </c>
      <c r="N576" s="8" t="str">
        <f t="shared" si="109"/>
        <v/>
      </c>
      <c r="O576">
        <v>1.8</v>
      </c>
      <c r="P576">
        <v>1</v>
      </c>
      <c r="Q576" t="s">
        <v>2073</v>
      </c>
      <c r="R576" s="1">
        <v>0.91</v>
      </c>
      <c r="S576" s="3">
        <f t="shared" si="122"/>
        <v>0.91</v>
      </c>
    </row>
    <row r="577" spans="1:19" x14ac:dyDescent="0.3">
      <c r="A577" t="s">
        <v>1224</v>
      </c>
      <c r="B577" t="s">
        <v>1225</v>
      </c>
      <c r="C577" t="str">
        <f t="shared" si="112"/>
        <v>Justin Lang</v>
      </c>
      <c r="D577" t="s">
        <v>89</v>
      </c>
      <c r="E577" t="str">
        <f t="shared" si="108"/>
        <v>Male</v>
      </c>
      <c r="F577">
        <v>60</v>
      </c>
      <c r="G577" t="s">
        <v>131</v>
      </c>
      <c r="H577" t="s">
        <v>132</v>
      </c>
      <c r="I577" t="s">
        <v>36</v>
      </c>
      <c r="K577" s="4" t="str" cm="1">
        <f t="array" ref="K577">_xlfn.IFS(J577&lt;=5,"0-5",J577&lt;=10,"6-10",J577&lt;=15,"11-15",J577&lt;=20,"16-20",J577&gt;20,"21+")</f>
        <v>0-5</v>
      </c>
      <c r="L577">
        <v>100</v>
      </c>
      <c r="M577" s="2">
        <f>L577</f>
        <v>100</v>
      </c>
      <c r="N577" s="8">
        <f t="shared" si="109"/>
        <v>100</v>
      </c>
      <c r="O577">
        <v>0</v>
      </c>
      <c r="P577">
        <v>1</v>
      </c>
      <c r="Q577" t="s">
        <v>2073</v>
      </c>
      <c r="R577" s="1">
        <v>0.96</v>
      </c>
      <c r="S577" s="3">
        <f t="shared" si="122"/>
        <v>0.96</v>
      </c>
    </row>
    <row r="578" spans="1:19" x14ac:dyDescent="0.3">
      <c r="A578" t="s">
        <v>1226</v>
      </c>
      <c r="B578" t="s">
        <v>1227</v>
      </c>
      <c r="C578" t="str">
        <f t="shared" si="112"/>
        <v>Kelli Ramirez</v>
      </c>
      <c r="D578" t="s">
        <v>26</v>
      </c>
      <c r="E578" t="str">
        <f t="shared" ref="E578:E641" si="123">IF(LOWER(LEFT(D578,1))="f","Female","Male")</f>
        <v>Female</v>
      </c>
      <c r="F578">
        <v>28</v>
      </c>
      <c r="G578" t="s">
        <v>104</v>
      </c>
      <c r="H578" t="s">
        <v>105</v>
      </c>
      <c r="I578" t="s">
        <v>22</v>
      </c>
      <c r="J578">
        <v>2</v>
      </c>
      <c r="K578" s="4" t="str" cm="1">
        <f t="array" ref="K578">_xlfn.IFS(J578&lt;=5,"0-5",J578&lt;=10,"6-10",J578&lt;=15,"11-15",J578&lt;=20,"16-20",J578&gt;20,"21+")</f>
        <v>0-5</v>
      </c>
      <c r="L578" t="s">
        <v>90</v>
      </c>
      <c r="M578" s="2" t="str">
        <f>TRIM(MID(L578,FIND(" ",L578)+1,LEN(L578)))</f>
        <v>50</v>
      </c>
      <c r="N578" s="8">
        <f t="shared" si="109"/>
        <v>50</v>
      </c>
      <c r="P578">
        <v>1</v>
      </c>
      <c r="Q578" t="s">
        <v>2073</v>
      </c>
      <c r="R578" s="1">
        <v>0.85</v>
      </c>
      <c r="S578" s="3">
        <f t="shared" si="122"/>
        <v>0.85</v>
      </c>
    </row>
    <row r="579" spans="1:19" x14ac:dyDescent="0.3">
      <c r="A579" t="s">
        <v>1228</v>
      </c>
      <c r="B579" t="s">
        <v>1229</v>
      </c>
      <c r="C579" t="str">
        <f t="shared" si="112"/>
        <v>Deborah Torres</v>
      </c>
      <c r="D579" t="s">
        <v>26</v>
      </c>
      <c r="E579" t="str">
        <f t="shared" si="123"/>
        <v>Female</v>
      </c>
      <c r="F579">
        <v>43</v>
      </c>
      <c r="G579" t="s">
        <v>41</v>
      </c>
      <c r="H579" t="s">
        <v>42</v>
      </c>
      <c r="I579" t="s">
        <v>27</v>
      </c>
      <c r="J579">
        <v>20</v>
      </c>
      <c r="K579" s="4" t="str" cm="1">
        <f t="array" ref="K579">_xlfn.IFS(J579&lt;=5,"0-5",J579&lt;=10,"6-10",J579&lt;=15,"11-15",J579&lt;=20,"16-20",J579&gt;20,"21+")</f>
        <v>16-20</v>
      </c>
      <c r="L579" t="s">
        <v>101</v>
      </c>
      <c r="M579" s="2" t="str">
        <f>TRIM(MID(L579,FIND(" ",L579)+1,LEN(L579)))</f>
        <v>30</v>
      </c>
      <c r="N579" s="8">
        <f t="shared" ref="N579:N642" si="124">IF(M579="", "", VALUE(M579))</f>
        <v>30</v>
      </c>
      <c r="O579">
        <v>2.7</v>
      </c>
      <c r="P579" t="b">
        <v>0</v>
      </c>
      <c r="Q579" t="s">
        <v>2072</v>
      </c>
      <c r="R579" s="1">
        <v>0.72</v>
      </c>
      <c r="S579" s="3">
        <f t="shared" si="122"/>
        <v>0.72</v>
      </c>
    </row>
    <row r="580" spans="1:19" x14ac:dyDescent="0.3">
      <c r="A580" t="s">
        <v>1230</v>
      </c>
      <c r="B580" t="s">
        <v>1231</v>
      </c>
      <c r="C580" t="str">
        <f t="shared" si="112"/>
        <v>Joseph Horn</v>
      </c>
      <c r="D580" t="s">
        <v>53</v>
      </c>
      <c r="E580" t="str">
        <f t="shared" si="123"/>
        <v>Male</v>
      </c>
      <c r="F580">
        <v>41</v>
      </c>
      <c r="G580" t="s">
        <v>127</v>
      </c>
      <c r="H580" t="s">
        <v>128</v>
      </c>
      <c r="I580" t="s">
        <v>27</v>
      </c>
      <c r="J580">
        <v>11</v>
      </c>
      <c r="K580" s="4" t="str" cm="1">
        <f t="array" ref="K580">_xlfn.IFS(J580&lt;=5,"0-5",J580&lt;=10,"6-10",J580&lt;=15,"11-15",J580&lt;=20,"16-20",J580&gt;20,"21+")</f>
        <v>11-15</v>
      </c>
      <c r="L580" t="s">
        <v>113</v>
      </c>
      <c r="M580" s="2" t="str">
        <f>SUBSTITUTE(L580,"$","")</f>
        <v>20</v>
      </c>
      <c r="N580" s="8">
        <f t="shared" si="124"/>
        <v>20</v>
      </c>
      <c r="O580">
        <v>4.7</v>
      </c>
      <c r="R580" s="1">
        <v>0.69</v>
      </c>
      <c r="S580" s="3">
        <f t="shared" si="122"/>
        <v>0.69</v>
      </c>
    </row>
    <row r="581" spans="1:19" x14ac:dyDescent="0.3">
      <c r="A581" t="s">
        <v>1232</v>
      </c>
      <c r="B581" t="s">
        <v>1233</v>
      </c>
      <c r="C581" t="str">
        <f t="shared" si="112"/>
        <v>Christopher Robinson</v>
      </c>
      <c r="D581" t="s">
        <v>19</v>
      </c>
      <c r="E581" t="str">
        <f t="shared" si="123"/>
        <v>Male</v>
      </c>
      <c r="F581">
        <v>41</v>
      </c>
      <c r="G581" t="s">
        <v>59</v>
      </c>
      <c r="H581" t="s">
        <v>14</v>
      </c>
      <c r="I581" t="s">
        <v>81</v>
      </c>
      <c r="J581">
        <v>0</v>
      </c>
      <c r="K581" s="4" t="str" cm="1">
        <f t="array" ref="K581">_xlfn.IFS(J581&lt;=5,"0-5",J581&lt;=10,"6-10",J581&lt;=15,"11-15",J581&lt;=20,"16-20",J581&gt;20,"21+")</f>
        <v>0-5</v>
      </c>
      <c r="L581" t="s">
        <v>113</v>
      </c>
      <c r="M581" s="2" t="str">
        <f>SUBSTITUTE(L581,"$","")</f>
        <v>20</v>
      </c>
      <c r="N581" s="8">
        <f t="shared" si="124"/>
        <v>20</v>
      </c>
      <c r="O581">
        <v>3.1</v>
      </c>
      <c r="P581">
        <v>0</v>
      </c>
      <c r="Q581" t="s">
        <v>2072</v>
      </c>
      <c r="R581">
        <v>90</v>
      </c>
      <c r="S581" s="3">
        <f>R581/100</f>
        <v>0.9</v>
      </c>
    </row>
    <row r="582" spans="1:19" x14ac:dyDescent="0.3">
      <c r="A582" t="s">
        <v>1234</v>
      </c>
      <c r="B582" t="s">
        <v>1235</v>
      </c>
      <c r="C582" t="str">
        <f t="shared" si="112"/>
        <v>Sandra Mccormick</v>
      </c>
      <c r="D582" t="s">
        <v>26</v>
      </c>
      <c r="E582" t="str">
        <f t="shared" si="123"/>
        <v>Female</v>
      </c>
      <c r="F582">
        <v>40</v>
      </c>
      <c r="G582" t="s">
        <v>59</v>
      </c>
      <c r="H582" t="s">
        <v>14</v>
      </c>
      <c r="I582" t="s">
        <v>15</v>
      </c>
      <c r="J582">
        <v>20</v>
      </c>
      <c r="K582" s="4" t="str" cm="1">
        <f t="array" ref="K582">_xlfn.IFS(J582&lt;=5,"0-5",J582&lt;=10,"6-10",J582&lt;=15,"11-15",J582&lt;=20,"16-20",J582&gt;20,"21+")</f>
        <v>16-20</v>
      </c>
      <c r="L582">
        <v>20</v>
      </c>
      <c r="M582" s="2">
        <f>L582</f>
        <v>20</v>
      </c>
      <c r="N582" s="8">
        <f t="shared" si="124"/>
        <v>20</v>
      </c>
      <c r="O582">
        <v>2.2999999999999998</v>
      </c>
      <c r="P582">
        <v>0</v>
      </c>
      <c r="Q582" t="s">
        <v>2072</v>
      </c>
      <c r="R582" s="1">
        <v>0.92</v>
      </c>
      <c r="S582" s="3">
        <f t="shared" ref="S582:S583" si="125">R582</f>
        <v>0.92</v>
      </c>
    </row>
    <row r="583" spans="1:19" x14ac:dyDescent="0.3">
      <c r="A583" t="s">
        <v>1236</v>
      </c>
      <c r="B583" t="s">
        <v>1237</v>
      </c>
      <c r="C583" t="str">
        <f t="shared" si="112"/>
        <v>Michael Holland</v>
      </c>
      <c r="D583" t="s">
        <v>89</v>
      </c>
      <c r="E583" t="str">
        <f t="shared" si="123"/>
        <v>Male</v>
      </c>
      <c r="F583">
        <v>45</v>
      </c>
      <c r="G583" t="s">
        <v>20</v>
      </c>
      <c r="H583" t="s">
        <v>21</v>
      </c>
      <c r="I583" t="s">
        <v>81</v>
      </c>
      <c r="J583">
        <v>3</v>
      </c>
      <c r="K583" s="4" t="str" cm="1">
        <f t="array" ref="K583">_xlfn.IFS(J583&lt;=5,"0-5",J583&lt;=10,"6-10",J583&lt;=15,"11-15",J583&lt;=20,"16-20",J583&gt;20,"21+")</f>
        <v>0-5</v>
      </c>
      <c r="L583" t="s">
        <v>306</v>
      </c>
      <c r="M583" s="2" t="str">
        <f>TRIM(MID(L583,FIND(" ",L583)+1,LEN(L583)))</f>
        <v>20</v>
      </c>
      <c r="N583" s="8">
        <f t="shared" si="124"/>
        <v>20</v>
      </c>
      <c r="O583">
        <v>1.3</v>
      </c>
      <c r="P583" t="s">
        <v>66</v>
      </c>
      <c r="Q583" t="s">
        <v>2073</v>
      </c>
      <c r="R583" s="1">
        <v>0.91</v>
      </c>
      <c r="S583" s="3">
        <f t="shared" si="125"/>
        <v>0.91</v>
      </c>
    </row>
    <row r="584" spans="1:19" x14ac:dyDescent="0.3">
      <c r="A584" t="s">
        <v>1238</v>
      </c>
      <c r="B584" t="s">
        <v>1239</v>
      </c>
      <c r="C584" t="str">
        <f t="shared" si="112"/>
        <v>Kenneth Stevenson</v>
      </c>
      <c r="D584" t="s">
        <v>53</v>
      </c>
      <c r="E584" t="str">
        <f t="shared" si="123"/>
        <v>Male</v>
      </c>
      <c r="F584">
        <v>47</v>
      </c>
      <c r="G584" t="s">
        <v>131</v>
      </c>
      <c r="H584" t="s">
        <v>132</v>
      </c>
      <c r="I584" t="s">
        <v>81</v>
      </c>
      <c r="J584">
        <v>28</v>
      </c>
      <c r="K584" s="4" t="str" cm="1">
        <f t="array" ref="K584">_xlfn.IFS(J584&lt;=5,"0-5",J584&lt;=10,"6-10",J584&lt;=15,"11-15",J584&lt;=20,"16-20",J584&gt;20,"21+")</f>
        <v>21+</v>
      </c>
      <c r="L584" t="s">
        <v>90</v>
      </c>
      <c r="M584" s="2" t="str">
        <f>TRIM(MID(L584,FIND(" ",L584)+1,LEN(L584)))</f>
        <v>50</v>
      </c>
      <c r="N584" s="8">
        <f t="shared" si="124"/>
        <v>50</v>
      </c>
      <c r="O584">
        <v>2.9</v>
      </c>
      <c r="P584" t="b">
        <v>1</v>
      </c>
      <c r="Q584" t="s">
        <v>2073</v>
      </c>
    </row>
    <row r="585" spans="1:19" x14ac:dyDescent="0.3">
      <c r="A585" t="s">
        <v>1240</v>
      </c>
      <c r="B585" t="s">
        <v>1241</v>
      </c>
      <c r="C585" t="str">
        <f t="shared" si="112"/>
        <v>Timothy Bennett</v>
      </c>
      <c r="D585" t="s">
        <v>40</v>
      </c>
      <c r="E585" t="str">
        <f t="shared" si="123"/>
        <v>Male</v>
      </c>
      <c r="F585">
        <v>34</v>
      </c>
      <c r="G585" t="s">
        <v>85</v>
      </c>
      <c r="H585" t="s">
        <v>86</v>
      </c>
      <c r="I585" t="s">
        <v>43</v>
      </c>
      <c r="J585">
        <v>0</v>
      </c>
      <c r="K585" s="4" t="str" cm="1">
        <f t="array" ref="K585">_xlfn.IFS(J585&lt;=5,"0-5",J585&lt;=10,"6-10",J585&lt;=15,"11-15",J585&lt;=20,"16-20",J585&gt;20,"21+")</f>
        <v>0-5</v>
      </c>
      <c r="L585">
        <v>40</v>
      </c>
      <c r="M585" s="2">
        <f>L585</f>
        <v>40</v>
      </c>
      <c r="N585" s="8">
        <f t="shared" si="124"/>
        <v>40</v>
      </c>
      <c r="O585">
        <v>3.3</v>
      </c>
      <c r="P585">
        <v>0</v>
      </c>
      <c r="Q585" t="s">
        <v>2072</v>
      </c>
      <c r="R585" s="1">
        <v>0.98</v>
      </c>
      <c r="S585" s="3">
        <f t="shared" ref="S585:S587" si="126">R585</f>
        <v>0.98</v>
      </c>
    </row>
    <row r="586" spans="1:19" x14ac:dyDescent="0.3">
      <c r="A586" t="s">
        <v>1242</v>
      </c>
      <c r="B586" t="s">
        <v>1243</v>
      </c>
      <c r="C586" t="str">
        <f t="shared" si="112"/>
        <v>Gregory Randall</v>
      </c>
      <c r="D586" t="s">
        <v>84</v>
      </c>
      <c r="E586" t="str">
        <f t="shared" si="123"/>
        <v>Male</v>
      </c>
      <c r="F586">
        <v>47</v>
      </c>
      <c r="G586" t="s">
        <v>50</v>
      </c>
      <c r="H586" t="s">
        <v>14</v>
      </c>
      <c r="I586" t="s">
        <v>65</v>
      </c>
      <c r="J586">
        <v>4</v>
      </c>
      <c r="K586" s="4" t="str" cm="1">
        <f t="array" ref="K586">_xlfn.IFS(J586&lt;=5,"0-5",J586&lt;=10,"6-10",J586&lt;=15,"11-15",J586&lt;=20,"16-20",J586&gt;20,"21+")</f>
        <v>0-5</v>
      </c>
      <c r="L586" t="s">
        <v>306</v>
      </c>
      <c r="M586" s="2" t="str">
        <f>TRIM(MID(L586,FIND(" ",L586)+1,LEN(L586)))</f>
        <v>20</v>
      </c>
      <c r="N586" s="8">
        <f t="shared" si="124"/>
        <v>20</v>
      </c>
      <c r="O586">
        <v>4.2</v>
      </c>
      <c r="R586" s="1">
        <v>0.82</v>
      </c>
      <c r="S586" s="3">
        <f t="shared" si="126"/>
        <v>0.82</v>
      </c>
    </row>
    <row r="587" spans="1:19" x14ac:dyDescent="0.3">
      <c r="A587" t="s">
        <v>1244</v>
      </c>
      <c r="B587" t="s">
        <v>1245</v>
      </c>
      <c r="C587" t="str">
        <f t="shared" si="112"/>
        <v>Charles Martinez</v>
      </c>
      <c r="D587" t="s">
        <v>84</v>
      </c>
      <c r="E587" t="str">
        <f t="shared" si="123"/>
        <v>Male</v>
      </c>
      <c r="F587">
        <v>32</v>
      </c>
      <c r="G587" t="s">
        <v>171</v>
      </c>
      <c r="H587" t="s">
        <v>64</v>
      </c>
      <c r="I587" t="s">
        <v>65</v>
      </c>
      <c r="J587">
        <v>9</v>
      </c>
      <c r="K587" s="4" t="str" cm="1">
        <f t="array" ref="K587">_xlfn.IFS(J587&lt;=5,"0-5",J587&lt;=10,"6-10",J587&lt;=15,"11-15",J587&lt;=20,"16-20",J587&gt;20,"21+")</f>
        <v>6-10</v>
      </c>
      <c r="L587" t="s">
        <v>47</v>
      </c>
      <c r="M587" s="2" t="str">
        <f>TRIM(MID(L587,FIND(" ",L587)+1,LEN(L587)))</f>
        <v>40</v>
      </c>
      <c r="N587" s="8">
        <f t="shared" si="124"/>
        <v>40</v>
      </c>
      <c r="O587">
        <v>1.3</v>
      </c>
      <c r="P587" t="b">
        <v>1</v>
      </c>
      <c r="Q587" t="s">
        <v>2073</v>
      </c>
      <c r="R587" s="1">
        <v>0.83</v>
      </c>
      <c r="S587" s="3">
        <f t="shared" si="126"/>
        <v>0.83</v>
      </c>
    </row>
    <row r="588" spans="1:19" x14ac:dyDescent="0.3">
      <c r="A588" t="s">
        <v>1246</v>
      </c>
      <c r="B588" t="s">
        <v>1247</v>
      </c>
      <c r="C588" t="str">
        <f t="shared" si="112"/>
        <v>James Hall</v>
      </c>
      <c r="D588" t="s">
        <v>84</v>
      </c>
      <c r="E588" t="str">
        <f t="shared" si="123"/>
        <v>Male</v>
      </c>
      <c r="F588">
        <v>28</v>
      </c>
      <c r="G588" t="s">
        <v>59</v>
      </c>
      <c r="H588" t="s">
        <v>14</v>
      </c>
      <c r="I588" t="s">
        <v>15</v>
      </c>
      <c r="J588">
        <v>2</v>
      </c>
      <c r="K588" s="4" t="str" cm="1">
        <f t="array" ref="K588">_xlfn.IFS(J588&lt;=5,"0-5",J588&lt;=10,"6-10",J588&lt;=15,"11-15",J588&lt;=20,"16-20",J588&gt;20,"21+")</f>
        <v>0-5</v>
      </c>
      <c r="L588" t="s">
        <v>221</v>
      </c>
      <c r="M588" s="2" t="str">
        <f>SUBSTITUTE(L588,"$","")</f>
        <v>100</v>
      </c>
      <c r="N588" s="8">
        <f t="shared" si="124"/>
        <v>100</v>
      </c>
      <c r="O588">
        <v>4.4000000000000004</v>
      </c>
      <c r="P588" t="b">
        <v>1</v>
      </c>
      <c r="Q588" t="s">
        <v>2073</v>
      </c>
    </row>
    <row r="589" spans="1:19" x14ac:dyDescent="0.3">
      <c r="A589" t="s">
        <v>1248</v>
      </c>
      <c r="B589" t="s">
        <v>1249</v>
      </c>
      <c r="C589" t="str">
        <f t="shared" si="112"/>
        <v>Michael Garcia</v>
      </c>
      <c r="D589" t="s">
        <v>40</v>
      </c>
      <c r="E589" t="str">
        <f t="shared" si="123"/>
        <v>Male</v>
      </c>
      <c r="F589">
        <v>32</v>
      </c>
      <c r="G589" t="s">
        <v>13</v>
      </c>
      <c r="H589" t="s">
        <v>14</v>
      </c>
      <c r="I589" t="s">
        <v>81</v>
      </c>
      <c r="J589">
        <v>1</v>
      </c>
      <c r="K589" s="4" t="str" cm="1">
        <f t="array" ref="K589">_xlfn.IFS(J589&lt;=5,"0-5",J589&lt;=10,"6-10",J589&lt;=15,"11-15",J589&lt;=20,"16-20",J589&gt;20,"21+")</f>
        <v>0-5</v>
      </c>
      <c r="L589">
        <v>100</v>
      </c>
      <c r="M589" s="2">
        <f>L589</f>
        <v>100</v>
      </c>
      <c r="N589" s="8">
        <f t="shared" si="124"/>
        <v>100</v>
      </c>
      <c r="O589">
        <v>3.4</v>
      </c>
      <c r="P589" t="b">
        <v>1</v>
      </c>
      <c r="Q589" t="s">
        <v>2073</v>
      </c>
    </row>
    <row r="590" spans="1:19" x14ac:dyDescent="0.3">
      <c r="A590" t="s">
        <v>1250</v>
      </c>
      <c r="B590" t="s">
        <v>1251</v>
      </c>
      <c r="C590" t="str">
        <f t="shared" si="112"/>
        <v>Michele Duran</v>
      </c>
      <c r="D590" t="s">
        <v>26</v>
      </c>
      <c r="E590" t="str">
        <f t="shared" si="123"/>
        <v>Female</v>
      </c>
      <c r="F590">
        <v>49</v>
      </c>
      <c r="G590" t="s">
        <v>34</v>
      </c>
      <c r="H590" t="s">
        <v>35</v>
      </c>
      <c r="I590" t="s">
        <v>36</v>
      </c>
      <c r="J590">
        <v>2</v>
      </c>
      <c r="K590" s="4" t="str" cm="1">
        <f t="array" ref="K590">_xlfn.IFS(J590&lt;=5,"0-5",J590&lt;=10,"6-10",J590&lt;=15,"11-15",J590&lt;=20,"16-20",J590&gt;20,"21+")</f>
        <v>0-5</v>
      </c>
      <c r="L590" t="s">
        <v>221</v>
      </c>
      <c r="M590" s="2" t="str">
        <f>SUBSTITUTE(L590,"$","")</f>
        <v>100</v>
      </c>
      <c r="N590" s="8">
        <f t="shared" si="124"/>
        <v>100</v>
      </c>
      <c r="O590">
        <v>3.4</v>
      </c>
      <c r="P590">
        <v>1</v>
      </c>
      <c r="Q590" t="s">
        <v>2073</v>
      </c>
      <c r="R590" s="1">
        <v>0.85</v>
      </c>
      <c r="S590" s="3">
        <f>R590</f>
        <v>0.85</v>
      </c>
    </row>
    <row r="591" spans="1:19" x14ac:dyDescent="0.3">
      <c r="A591" t="s">
        <v>1252</v>
      </c>
      <c r="B591" t="s">
        <v>1253</v>
      </c>
      <c r="C591" t="str">
        <f t="shared" si="112"/>
        <v>Jessica Gray</v>
      </c>
      <c r="D591" t="s">
        <v>6</v>
      </c>
      <c r="E591" t="str">
        <f t="shared" si="123"/>
        <v>Female</v>
      </c>
      <c r="F591">
        <v>36</v>
      </c>
      <c r="G591" t="s">
        <v>63</v>
      </c>
      <c r="H591" t="s">
        <v>64</v>
      </c>
      <c r="I591" t="s">
        <v>15</v>
      </c>
      <c r="J591">
        <v>16</v>
      </c>
      <c r="K591" s="4" t="str" cm="1">
        <f t="array" ref="K591">_xlfn.IFS(J591&lt;=5,"0-5",J591&lt;=10,"6-10",J591&lt;=15,"11-15",J591&lt;=20,"16-20",J591&gt;20,"21+")</f>
        <v>16-20</v>
      </c>
      <c r="L591" t="s">
        <v>306</v>
      </c>
      <c r="M591" s="2" t="str">
        <f>TRIM(MID(L591,FIND(" ",L591)+1,LEN(L591)))</f>
        <v>20</v>
      </c>
      <c r="N591" s="8">
        <f t="shared" si="124"/>
        <v>20</v>
      </c>
      <c r="O591">
        <v>3.2</v>
      </c>
    </row>
    <row r="592" spans="1:19" x14ac:dyDescent="0.3">
      <c r="A592" t="s">
        <v>1254</v>
      </c>
      <c r="B592" t="s">
        <v>1255</v>
      </c>
      <c r="C592" t="str">
        <f t="shared" ref="C592:C601" si="127">B592</f>
        <v>Keith Shaffer</v>
      </c>
      <c r="D592" t="s">
        <v>84</v>
      </c>
      <c r="E592" t="str">
        <f t="shared" si="123"/>
        <v>Male</v>
      </c>
      <c r="F592">
        <v>59</v>
      </c>
      <c r="G592" t="s">
        <v>171</v>
      </c>
      <c r="H592" t="s">
        <v>64</v>
      </c>
      <c r="I592" t="s">
        <v>9</v>
      </c>
      <c r="J592">
        <v>22</v>
      </c>
      <c r="K592" s="4" t="str" cm="1">
        <f t="array" ref="K592">_xlfn.IFS(J592&lt;=5,"0-5",J592&lt;=10,"6-10",J592&lt;=15,"11-15",J592&lt;=20,"16-20",J592&gt;20,"21+")</f>
        <v>21+</v>
      </c>
      <c r="L592" t="s">
        <v>306</v>
      </c>
      <c r="M592" s="2" t="str">
        <f>TRIM(MID(L592,FIND(" ",L592)+1,LEN(L592)))</f>
        <v>20</v>
      </c>
      <c r="N592" s="8">
        <f t="shared" si="124"/>
        <v>20</v>
      </c>
      <c r="O592">
        <v>3.6</v>
      </c>
      <c r="P592" t="s">
        <v>23</v>
      </c>
      <c r="Q592" t="s">
        <v>2072</v>
      </c>
      <c r="R592" s="1">
        <v>0.63</v>
      </c>
      <c r="S592" s="3">
        <f>R592</f>
        <v>0.63</v>
      </c>
    </row>
    <row r="593" spans="1:19" x14ac:dyDescent="0.3">
      <c r="A593" t="s">
        <v>1256</v>
      </c>
      <c r="B593" t="s">
        <v>1257</v>
      </c>
      <c r="C593" t="str">
        <f t="shared" si="127"/>
        <v>Jessica Decker</v>
      </c>
      <c r="D593" t="s">
        <v>31</v>
      </c>
      <c r="E593" t="str">
        <f t="shared" si="123"/>
        <v>Female</v>
      </c>
      <c r="F593">
        <v>52</v>
      </c>
      <c r="G593" t="s">
        <v>120</v>
      </c>
      <c r="H593" t="s">
        <v>14</v>
      </c>
      <c r="I593" t="s">
        <v>70</v>
      </c>
      <c r="J593">
        <v>22</v>
      </c>
      <c r="K593" s="4" t="str" cm="1">
        <f t="array" ref="K593">_xlfn.IFS(J593&lt;=5,"0-5",J593&lt;=10,"6-10",J593&lt;=15,"11-15",J593&lt;=20,"16-20",J593&gt;20,"21+")</f>
        <v>21+</v>
      </c>
      <c r="L593" t="s">
        <v>113</v>
      </c>
      <c r="M593" s="2" t="str">
        <f>SUBSTITUTE(L593,"$","")</f>
        <v>20</v>
      </c>
      <c r="N593" s="8">
        <f t="shared" si="124"/>
        <v>20</v>
      </c>
      <c r="O593">
        <v>0</v>
      </c>
      <c r="P593">
        <v>0</v>
      </c>
      <c r="Q593" t="s">
        <v>2072</v>
      </c>
    </row>
    <row r="594" spans="1:19" x14ac:dyDescent="0.3">
      <c r="A594" t="s">
        <v>1258</v>
      </c>
      <c r="B594" t="s">
        <v>1259</v>
      </c>
      <c r="C594" t="str">
        <f t="shared" si="127"/>
        <v>Brianna Pittman</v>
      </c>
      <c r="D594" t="s">
        <v>31</v>
      </c>
      <c r="E594" t="str">
        <f t="shared" si="123"/>
        <v>Female</v>
      </c>
      <c r="F594">
        <v>24</v>
      </c>
      <c r="G594" t="s">
        <v>167</v>
      </c>
      <c r="H594" t="s">
        <v>168</v>
      </c>
      <c r="I594" t="s">
        <v>9</v>
      </c>
      <c r="J594">
        <v>5</v>
      </c>
      <c r="K594" s="4" t="str" cm="1">
        <f t="array" ref="K594">_xlfn.IFS(J594&lt;=5,"0-5",J594&lt;=10,"6-10",J594&lt;=15,"11-15",J594&lt;=20,"16-20",J594&gt;20,"21+")</f>
        <v>0-5</v>
      </c>
      <c r="L594">
        <v>40</v>
      </c>
      <c r="M594" s="2">
        <f>L594</f>
        <v>40</v>
      </c>
      <c r="N594" s="8">
        <f t="shared" si="124"/>
        <v>40</v>
      </c>
      <c r="O594">
        <v>1.8</v>
      </c>
      <c r="P594">
        <v>1</v>
      </c>
      <c r="Q594" t="s">
        <v>2073</v>
      </c>
      <c r="R594" s="1">
        <v>0.86</v>
      </c>
      <c r="S594" s="3">
        <f>R594</f>
        <v>0.86</v>
      </c>
    </row>
    <row r="595" spans="1:19" x14ac:dyDescent="0.3">
      <c r="A595" t="s">
        <v>1260</v>
      </c>
      <c r="B595" t="s">
        <v>1261</v>
      </c>
      <c r="C595" t="str">
        <f t="shared" si="127"/>
        <v>Kimberly Hunter</v>
      </c>
      <c r="D595" t="s">
        <v>12</v>
      </c>
      <c r="E595" t="str">
        <f t="shared" si="123"/>
        <v>Female</v>
      </c>
      <c r="F595">
        <v>26</v>
      </c>
      <c r="G595" t="s">
        <v>13</v>
      </c>
      <c r="H595" t="s">
        <v>14</v>
      </c>
      <c r="I595" t="s">
        <v>22</v>
      </c>
      <c r="J595">
        <v>2</v>
      </c>
      <c r="K595" s="4" t="str" cm="1">
        <f t="array" ref="K595">_xlfn.IFS(J595&lt;=5,"0-5",J595&lt;=10,"6-10",J595&lt;=15,"11-15",J595&lt;=20,"16-20",J595&gt;20,"21+")</f>
        <v>0-5</v>
      </c>
      <c r="L595" t="s">
        <v>44</v>
      </c>
      <c r="M595" s="2" t="str">
        <f>TRIM(MID(L595,FIND(" ",L595)+1,LEN(L595)))</f>
        <v>75</v>
      </c>
      <c r="N595" s="8">
        <f t="shared" si="124"/>
        <v>75</v>
      </c>
      <c r="O595">
        <v>2.5</v>
      </c>
      <c r="P595" t="s">
        <v>60</v>
      </c>
      <c r="Q595" t="s">
        <v>2073</v>
      </c>
      <c r="R595">
        <v>60</v>
      </c>
      <c r="S595" s="3">
        <f t="shared" ref="S595:S596" si="128">R595/100</f>
        <v>0.6</v>
      </c>
    </row>
    <row r="596" spans="1:19" x14ac:dyDescent="0.3">
      <c r="A596" t="s">
        <v>1262</v>
      </c>
      <c r="B596" t="s">
        <v>1263</v>
      </c>
      <c r="C596" t="str">
        <f t="shared" si="127"/>
        <v>Daniel Martin</v>
      </c>
      <c r="D596" t="s">
        <v>84</v>
      </c>
      <c r="E596" t="str">
        <f t="shared" si="123"/>
        <v>Male</v>
      </c>
      <c r="F596">
        <v>55</v>
      </c>
      <c r="G596" t="s">
        <v>120</v>
      </c>
      <c r="H596" t="s">
        <v>14</v>
      </c>
      <c r="I596" t="s">
        <v>70</v>
      </c>
      <c r="J596">
        <v>24</v>
      </c>
      <c r="K596" s="4" t="str" cm="1">
        <f t="array" ref="K596">_xlfn.IFS(J596&lt;=5,"0-5",J596&lt;=10,"6-10",J596&lt;=15,"11-15",J596&lt;=20,"16-20",J596&gt;20,"21+")</f>
        <v>21+</v>
      </c>
      <c r="L596">
        <v>40</v>
      </c>
      <c r="M596" s="2">
        <f>L596</f>
        <v>40</v>
      </c>
      <c r="N596" s="8">
        <f t="shared" si="124"/>
        <v>40</v>
      </c>
      <c r="O596">
        <v>2</v>
      </c>
      <c r="P596">
        <v>1</v>
      </c>
      <c r="Q596" t="s">
        <v>2073</v>
      </c>
      <c r="R596">
        <v>88</v>
      </c>
      <c r="S596" s="3">
        <f t="shared" si="128"/>
        <v>0.88</v>
      </c>
    </row>
    <row r="597" spans="1:19" x14ac:dyDescent="0.3">
      <c r="A597" t="s">
        <v>1264</v>
      </c>
      <c r="B597" t="s">
        <v>1265</v>
      </c>
      <c r="C597" t="str">
        <f t="shared" si="127"/>
        <v>Rachel Smith</v>
      </c>
      <c r="D597" t="s">
        <v>12</v>
      </c>
      <c r="E597" t="str">
        <f t="shared" si="123"/>
        <v>Female</v>
      </c>
      <c r="F597">
        <v>56</v>
      </c>
      <c r="G597" t="s">
        <v>7</v>
      </c>
      <c r="H597" t="s">
        <v>8</v>
      </c>
      <c r="I597" t="s">
        <v>15</v>
      </c>
      <c r="J597">
        <v>37</v>
      </c>
      <c r="K597" s="4" t="str" cm="1">
        <f t="array" ref="K597">_xlfn.IFS(J597&lt;=5,"0-5",J597&lt;=10,"6-10",J597&lt;=15,"11-15",J597&lt;=20,"16-20",J597&gt;20,"21+")</f>
        <v>21+</v>
      </c>
      <c r="L597">
        <v>40</v>
      </c>
      <c r="M597" s="2">
        <f>L597</f>
        <v>40</v>
      </c>
      <c r="N597" s="8">
        <f t="shared" si="124"/>
        <v>40</v>
      </c>
      <c r="O597">
        <v>0</v>
      </c>
      <c r="P597" t="s">
        <v>23</v>
      </c>
      <c r="Q597" t="s">
        <v>2072</v>
      </c>
      <c r="R597" s="1">
        <v>0.7</v>
      </c>
      <c r="S597" s="3">
        <f t="shared" ref="S597:S599" si="129">R597</f>
        <v>0.7</v>
      </c>
    </row>
    <row r="598" spans="1:19" x14ac:dyDescent="0.3">
      <c r="A598" t="s">
        <v>1266</v>
      </c>
      <c r="B598" t="s">
        <v>1267</v>
      </c>
      <c r="C598" t="str">
        <f t="shared" si="127"/>
        <v>Michael Miller</v>
      </c>
      <c r="D598" t="s">
        <v>40</v>
      </c>
      <c r="E598" t="str">
        <f t="shared" si="123"/>
        <v>Male</v>
      </c>
      <c r="F598">
        <v>36</v>
      </c>
      <c r="G598" t="s">
        <v>127</v>
      </c>
      <c r="H598" t="s">
        <v>128</v>
      </c>
      <c r="I598" t="s">
        <v>22</v>
      </c>
      <c r="J598">
        <v>3</v>
      </c>
      <c r="K598" s="4" t="str" cm="1">
        <f t="array" ref="K598">_xlfn.IFS(J598&lt;=5,"0-5",J598&lt;=10,"6-10",J598&lt;=15,"11-15",J598&lt;=20,"16-20",J598&gt;20,"21+")</f>
        <v>0-5</v>
      </c>
      <c r="L598" t="s">
        <v>90</v>
      </c>
      <c r="M598" s="2" t="str">
        <f>TRIM(MID(L598,FIND(" ",L598)+1,LEN(L598)))</f>
        <v>50</v>
      </c>
      <c r="N598" s="8">
        <f t="shared" si="124"/>
        <v>50</v>
      </c>
      <c r="O598">
        <v>1.3</v>
      </c>
      <c r="P598">
        <v>1</v>
      </c>
      <c r="Q598" t="s">
        <v>2073</v>
      </c>
      <c r="R598" s="1">
        <v>0.77</v>
      </c>
      <c r="S598" s="3">
        <f t="shared" si="129"/>
        <v>0.77</v>
      </c>
    </row>
    <row r="599" spans="1:19" x14ac:dyDescent="0.3">
      <c r="A599" t="s">
        <v>1268</v>
      </c>
      <c r="B599" t="s">
        <v>1269</v>
      </c>
      <c r="C599" t="str">
        <f t="shared" si="127"/>
        <v>Willie Clark</v>
      </c>
      <c r="D599" t="s">
        <v>84</v>
      </c>
      <c r="E599" t="str">
        <f t="shared" si="123"/>
        <v>Male</v>
      </c>
      <c r="F599">
        <v>48</v>
      </c>
      <c r="G599" t="s">
        <v>63</v>
      </c>
      <c r="H599" t="s">
        <v>64</v>
      </c>
      <c r="I599" t="s">
        <v>27</v>
      </c>
      <c r="J599">
        <v>18</v>
      </c>
      <c r="K599" s="4" t="str" cm="1">
        <f t="array" ref="K599">_xlfn.IFS(J599&lt;=5,"0-5",J599&lt;=10,"6-10",J599&lt;=15,"11-15",J599&lt;=20,"16-20",J599&gt;20,"21+")</f>
        <v>16-20</v>
      </c>
      <c r="L599">
        <v>75</v>
      </c>
      <c r="M599" s="2">
        <f>L599</f>
        <v>75</v>
      </c>
      <c r="N599" s="8">
        <f t="shared" si="124"/>
        <v>75</v>
      </c>
      <c r="O599">
        <v>0</v>
      </c>
      <c r="P599">
        <v>0</v>
      </c>
      <c r="Q599" t="s">
        <v>2072</v>
      </c>
      <c r="R599" s="1">
        <v>0.8</v>
      </c>
      <c r="S599" s="3">
        <f t="shared" si="129"/>
        <v>0.8</v>
      </c>
    </row>
    <row r="600" spans="1:19" x14ac:dyDescent="0.3">
      <c r="A600" t="s">
        <v>1270</v>
      </c>
      <c r="B600" t="s">
        <v>1271</v>
      </c>
      <c r="C600" t="str">
        <f t="shared" si="127"/>
        <v>Jeremy Hernandez</v>
      </c>
      <c r="D600" t="s">
        <v>89</v>
      </c>
      <c r="E600" t="str">
        <f t="shared" si="123"/>
        <v>Male</v>
      </c>
      <c r="F600">
        <v>55</v>
      </c>
      <c r="G600" t="s">
        <v>131</v>
      </c>
      <c r="H600" t="s">
        <v>132</v>
      </c>
      <c r="I600" t="s">
        <v>106</v>
      </c>
      <c r="J600">
        <v>6</v>
      </c>
      <c r="K600" s="4" t="str" cm="1">
        <f t="array" ref="K600">_xlfn.IFS(J600&lt;=5,"0-5",J600&lt;=10,"6-10",J600&lt;=15,"11-15",J600&lt;=20,"16-20",J600&gt;20,"21+")</f>
        <v>6-10</v>
      </c>
      <c r="L600" t="s">
        <v>28</v>
      </c>
      <c r="M600" s="2" t="str">
        <f>SUBSTITUTE(L600,"$","")</f>
        <v>40</v>
      </c>
      <c r="N600" s="8">
        <f t="shared" si="124"/>
        <v>40</v>
      </c>
      <c r="O600">
        <v>3.6</v>
      </c>
      <c r="P600" t="s">
        <v>66</v>
      </c>
      <c r="Q600" t="s">
        <v>2073</v>
      </c>
    </row>
    <row r="601" spans="1:19" x14ac:dyDescent="0.3">
      <c r="A601" t="s">
        <v>1272</v>
      </c>
      <c r="B601" t="s">
        <v>1273</v>
      </c>
      <c r="C601" t="str">
        <f t="shared" si="127"/>
        <v>Tina Shelton</v>
      </c>
      <c r="D601" t="s">
        <v>31</v>
      </c>
      <c r="E601" t="str">
        <f t="shared" si="123"/>
        <v>Female</v>
      </c>
      <c r="F601">
        <v>56</v>
      </c>
      <c r="G601" t="s">
        <v>182</v>
      </c>
      <c r="H601" t="s">
        <v>64</v>
      </c>
      <c r="I601" t="s">
        <v>81</v>
      </c>
      <c r="J601">
        <v>17</v>
      </c>
      <c r="K601" s="4" t="str" cm="1">
        <f t="array" ref="K601">_xlfn.IFS(J601&lt;=5,"0-5",J601&lt;=10,"6-10",J601&lt;=15,"11-15",J601&lt;=20,"16-20",J601&gt;20,"21+")</f>
        <v>16-20</v>
      </c>
      <c r="N601" s="8" t="str">
        <f t="shared" si="124"/>
        <v/>
      </c>
      <c r="O601">
        <v>1.3</v>
      </c>
      <c r="R601" s="1">
        <v>0.87</v>
      </c>
      <c r="S601" s="3">
        <f t="shared" ref="S601:S602" si="130">R601</f>
        <v>0.87</v>
      </c>
    </row>
    <row r="602" spans="1:19" x14ac:dyDescent="0.3">
      <c r="A602" t="s">
        <v>1274</v>
      </c>
      <c r="B602" t="s">
        <v>1275</v>
      </c>
      <c r="C602" t="str">
        <f>TRIM(MID(B602,FIND(" ",B602)+1,LEN(B602)))</f>
        <v>Pamela Larson</v>
      </c>
      <c r="D602" t="s">
        <v>69</v>
      </c>
      <c r="E602" t="str">
        <f t="shared" si="123"/>
        <v>Female</v>
      </c>
      <c r="F602">
        <v>28</v>
      </c>
      <c r="G602" t="s">
        <v>120</v>
      </c>
      <c r="H602" t="s">
        <v>14</v>
      </c>
      <c r="I602" t="s">
        <v>9</v>
      </c>
      <c r="J602">
        <v>1</v>
      </c>
      <c r="K602" s="4" t="str" cm="1">
        <f t="array" ref="K602">_xlfn.IFS(J602&lt;=5,"0-5",J602&lt;=10,"6-10",J602&lt;=15,"11-15",J602&lt;=20,"16-20",J602&gt;20,"21+")</f>
        <v>0-5</v>
      </c>
      <c r="L602">
        <v>75</v>
      </c>
      <c r="M602" s="2">
        <f>L602</f>
        <v>75</v>
      </c>
      <c r="N602" s="8">
        <f t="shared" si="124"/>
        <v>75</v>
      </c>
      <c r="O602">
        <v>2.7</v>
      </c>
      <c r="P602" t="b">
        <v>1</v>
      </c>
      <c r="Q602" t="s">
        <v>2073</v>
      </c>
      <c r="R602" s="1">
        <v>0.93</v>
      </c>
      <c r="S602" s="3">
        <f t="shared" si="130"/>
        <v>0.93</v>
      </c>
    </row>
    <row r="603" spans="1:19" x14ac:dyDescent="0.3">
      <c r="A603" t="s">
        <v>1276</v>
      </c>
      <c r="B603" t="s">
        <v>1277</v>
      </c>
      <c r="C603" t="str">
        <f t="shared" ref="C603:C666" si="131">B603</f>
        <v>Ryan Ewing</v>
      </c>
      <c r="D603" t="s">
        <v>19</v>
      </c>
      <c r="E603" t="str">
        <f t="shared" si="123"/>
        <v>Male</v>
      </c>
      <c r="F603">
        <v>60</v>
      </c>
      <c r="G603" t="s">
        <v>50</v>
      </c>
      <c r="H603" t="s">
        <v>14</v>
      </c>
      <c r="I603" t="s">
        <v>36</v>
      </c>
      <c r="J603">
        <v>39</v>
      </c>
      <c r="K603" s="4" t="str" cm="1">
        <f t="array" ref="K603">_xlfn.IFS(J603&lt;=5,"0-5",J603&lt;=10,"6-10",J603&lt;=15,"11-15",J603&lt;=20,"16-20",J603&gt;20,"21+")</f>
        <v>21+</v>
      </c>
      <c r="L603" t="s">
        <v>16</v>
      </c>
      <c r="M603" s="2" t="str">
        <f>TRIM(MID(L603,FIND(" ",L603)+1,LEN(L603)))</f>
        <v>100</v>
      </c>
      <c r="N603" s="8">
        <f t="shared" si="124"/>
        <v>100</v>
      </c>
      <c r="O603">
        <v>1.5</v>
      </c>
      <c r="R603">
        <v>88</v>
      </c>
      <c r="S603" s="3">
        <f>R603/100</f>
        <v>0.88</v>
      </c>
    </row>
    <row r="604" spans="1:19" x14ac:dyDescent="0.3">
      <c r="A604" t="s">
        <v>1278</v>
      </c>
      <c r="B604" t="s">
        <v>1279</v>
      </c>
      <c r="C604" t="str">
        <f t="shared" si="131"/>
        <v>Mark Cochran</v>
      </c>
      <c r="D604" t="s">
        <v>19</v>
      </c>
      <c r="E604" t="str">
        <f t="shared" si="123"/>
        <v>Male</v>
      </c>
      <c r="F604">
        <v>34</v>
      </c>
      <c r="G604" t="s">
        <v>104</v>
      </c>
      <c r="H604" t="s">
        <v>105</v>
      </c>
      <c r="I604" t="s">
        <v>9</v>
      </c>
      <c r="J604">
        <v>15</v>
      </c>
      <c r="K604" s="4" t="str" cm="1">
        <f t="array" ref="K604">_xlfn.IFS(J604&lt;=5,"0-5",J604&lt;=10,"6-10",J604&lt;=15,"11-15",J604&lt;=20,"16-20",J604&gt;20,"21+")</f>
        <v>11-15</v>
      </c>
      <c r="L604">
        <v>20</v>
      </c>
      <c r="M604" s="2">
        <f>L604</f>
        <v>20</v>
      </c>
      <c r="N604" s="8">
        <f t="shared" si="124"/>
        <v>20</v>
      </c>
      <c r="O604">
        <v>0</v>
      </c>
      <c r="P604">
        <v>0</v>
      </c>
      <c r="Q604" t="s">
        <v>2072</v>
      </c>
      <c r="R604" s="1">
        <v>1</v>
      </c>
      <c r="S604" s="3">
        <f>R604</f>
        <v>1</v>
      </c>
    </row>
    <row r="605" spans="1:19" x14ac:dyDescent="0.3">
      <c r="A605" t="s">
        <v>1280</v>
      </c>
      <c r="B605" t="s">
        <v>1281</v>
      </c>
      <c r="C605" t="str">
        <f t="shared" si="131"/>
        <v>Martha Carson</v>
      </c>
      <c r="D605" t="s">
        <v>31</v>
      </c>
      <c r="E605" t="str">
        <f t="shared" si="123"/>
        <v>Female</v>
      </c>
      <c r="F605">
        <v>38</v>
      </c>
      <c r="G605" t="s">
        <v>41</v>
      </c>
      <c r="H605" t="s">
        <v>42</v>
      </c>
      <c r="I605" t="s">
        <v>36</v>
      </c>
      <c r="J605">
        <v>13</v>
      </c>
      <c r="K605" s="4" t="str" cm="1">
        <f t="array" ref="K605">_xlfn.IFS(J605&lt;=5,"0-5",J605&lt;=10,"6-10",J605&lt;=15,"11-15",J605&lt;=20,"16-20",J605&gt;20,"21+")</f>
        <v>11-15</v>
      </c>
      <c r="L605" t="s">
        <v>28</v>
      </c>
      <c r="M605" s="2" t="str">
        <f>SUBSTITUTE(L605,"$","")</f>
        <v>40</v>
      </c>
      <c r="N605" s="8">
        <f t="shared" si="124"/>
        <v>40</v>
      </c>
      <c r="O605">
        <v>0</v>
      </c>
      <c r="P605">
        <v>1</v>
      </c>
      <c r="Q605" t="s">
        <v>2073</v>
      </c>
      <c r="R605">
        <v>61</v>
      </c>
      <c r="S605" s="3">
        <f>R605/100</f>
        <v>0.61</v>
      </c>
    </row>
    <row r="606" spans="1:19" x14ac:dyDescent="0.3">
      <c r="A606" t="s">
        <v>1282</v>
      </c>
      <c r="B606" t="s">
        <v>1283</v>
      </c>
      <c r="C606" t="str">
        <f t="shared" si="131"/>
        <v>Heather Jackson</v>
      </c>
      <c r="D606" t="s">
        <v>12</v>
      </c>
      <c r="E606" t="str">
        <f t="shared" si="123"/>
        <v>Female</v>
      </c>
      <c r="F606">
        <v>51</v>
      </c>
      <c r="G606" t="s">
        <v>104</v>
      </c>
      <c r="H606" t="s">
        <v>105</v>
      </c>
      <c r="I606" t="s">
        <v>27</v>
      </c>
      <c r="J606">
        <v>17</v>
      </c>
      <c r="K606" s="4" t="str" cm="1">
        <f t="array" ref="K606">_xlfn.IFS(J606&lt;=5,"0-5",J606&lt;=10,"6-10",J606&lt;=15,"11-15",J606&lt;=20,"16-20",J606&gt;20,"21+")</f>
        <v>16-20</v>
      </c>
      <c r="L606">
        <v>100</v>
      </c>
      <c r="M606" s="2">
        <f>L606</f>
        <v>100</v>
      </c>
      <c r="N606" s="8">
        <f t="shared" si="124"/>
        <v>100</v>
      </c>
      <c r="O606">
        <v>3</v>
      </c>
      <c r="P606" t="b">
        <v>0</v>
      </c>
      <c r="Q606" t="s">
        <v>2072</v>
      </c>
      <c r="R606" s="1">
        <v>0.79</v>
      </c>
      <c r="S606" s="3">
        <f t="shared" ref="S606:S608" si="132">R606</f>
        <v>0.79</v>
      </c>
    </row>
    <row r="607" spans="1:19" x14ac:dyDescent="0.3">
      <c r="A607" t="s">
        <v>1284</v>
      </c>
      <c r="B607" t="s">
        <v>1285</v>
      </c>
      <c r="C607" t="str">
        <f t="shared" si="131"/>
        <v>Megan Young</v>
      </c>
      <c r="D607" t="s">
        <v>6</v>
      </c>
      <c r="E607" t="str">
        <f t="shared" si="123"/>
        <v>Female</v>
      </c>
      <c r="F607">
        <v>21</v>
      </c>
      <c r="G607" t="s">
        <v>77</v>
      </c>
      <c r="H607" t="s">
        <v>78</v>
      </c>
      <c r="I607" t="s">
        <v>15</v>
      </c>
      <c r="J607">
        <v>1</v>
      </c>
      <c r="K607" s="4" t="str" cm="1">
        <f t="array" ref="K607">_xlfn.IFS(J607&lt;=5,"0-5",J607&lt;=10,"6-10",J607&lt;=15,"11-15",J607&lt;=20,"16-20",J607&gt;20,"21+")</f>
        <v>0-5</v>
      </c>
      <c r="L607">
        <v>30</v>
      </c>
      <c r="M607" s="2">
        <f>L607</f>
        <v>30</v>
      </c>
      <c r="N607" s="8">
        <f t="shared" si="124"/>
        <v>30</v>
      </c>
      <c r="O607">
        <v>1.2</v>
      </c>
      <c r="R607" s="1">
        <v>0.73</v>
      </c>
      <c r="S607" s="3">
        <f t="shared" si="132"/>
        <v>0.73</v>
      </c>
    </row>
    <row r="608" spans="1:19" x14ac:dyDescent="0.3">
      <c r="A608" t="s">
        <v>1286</v>
      </c>
      <c r="B608" t="s">
        <v>1287</v>
      </c>
      <c r="C608" t="str">
        <f t="shared" si="131"/>
        <v>Thomas Davis</v>
      </c>
      <c r="D608" t="s">
        <v>84</v>
      </c>
      <c r="E608" t="str">
        <f t="shared" si="123"/>
        <v>Male</v>
      </c>
      <c r="F608">
        <v>35</v>
      </c>
      <c r="G608" t="s">
        <v>7</v>
      </c>
      <c r="H608" t="s">
        <v>8</v>
      </c>
      <c r="I608" t="s">
        <v>65</v>
      </c>
      <c r="J608">
        <v>16</v>
      </c>
      <c r="K608" s="4" t="str" cm="1">
        <f t="array" ref="K608">_xlfn.IFS(J608&lt;=5,"0-5",J608&lt;=10,"6-10",J608&lt;=15,"11-15",J608&lt;=20,"16-20",J608&gt;20,"21+")</f>
        <v>16-20</v>
      </c>
      <c r="N608" s="8" t="str">
        <f t="shared" si="124"/>
        <v/>
      </c>
      <c r="O608">
        <v>1.3</v>
      </c>
      <c r="P608">
        <v>1</v>
      </c>
      <c r="Q608" t="s">
        <v>2073</v>
      </c>
      <c r="R608" s="1">
        <v>0.64</v>
      </c>
      <c r="S608" s="3">
        <f t="shared" si="132"/>
        <v>0.64</v>
      </c>
    </row>
    <row r="609" spans="1:19" x14ac:dyDescent="0.3">
      <c r="A609" t="s">
        <v>1288</v>
      </c>
      <c r="B609" t="s">
        <v>1289</v>
      </c>
      <c r="C609" t="str">
        <f t="shared" si="131"/>
        <v>Thomas Mooney</v>
      </c>
      <c r="D609" t="s">
        <v>84</v>
      </c>
      <c r="E609" t="str">
        <f t="shared" si="123"/>
        <v>Male</v>
      </c>
      <c r="F609">
        <v>27</v>
      </c>
      <c r="G609" t="s">
        <v>99</v>
      </c>
      <c r="H609" t="s">
        <v>100</v>
      </c>
      <c r="I609" t="s">
        <v>27</v>
      </c>
      <c r="J609">
        <v>9</v>
      </c>
      <c r="K609" s="4" t="str" cm="1">
        <f t="array" ref="K609">_xlfn.IFS(J609&lt;=5,"0-5",J609&lt;=10,"6-10",J609&lt;=15,"11-15",J609&lt;=20,"16-20",J609&gt;20,"21+")</f>
        <v>6-10</v>
      </c>
      <c r="L609" t="s">
        <v>221</v>
      </c>
      <c r="M609" s="2" t="str">
        <f>SUBSTITUTE(L609,"$","")</f>
        <v>100</v>
      </c>
      <c r="N609" s="8">
        <f t="shared" si="124"/>
        <v>100</v>
      </c>
      <c r="P609" t="b">
        <v>1</v>
      </c>
      <c r="Q609" t="s">
        <v>2073</v>
      </c>
    </row>
    <row r="610" spans="1:19" x14ac:dyDescent="0.3">
      <c r="A610" t="s">
        <v>1290</v>
      </c>
      <c r="B610" t="s">
        <v>1291</v>
      </c>
      <c r="C610" t="str">
        <f t="shared" si="131"/>
        <v>Susan Smith</v>
      </c>
      <c r="D610" t="s">
        <v>12</v>
      </c>
      <c r="E610" t="str">
        <f t="shared" si="123"/>
        <v>Female</v>
      </c>
      <c r="F610">
        <v>42</v>
      </c>
      <c r="G610" t="s">
        <v>54</v>
      </c>
      <c r="H610" t="s">
        <v>55</v>
      </c>
      <c r="I610" t="s">
        <v>15</v>
      </c>
      <c r="J610">
        <v>20</v>
      </c>
      <c r="K610" s="4" t="str" cm="1">
        <f t="array" ref="K610">_xlfn.IFS(J610&lt;=5,"0-5",J610&lt;=10,"6-10",J610&lt;=15,"11-15",J610&lt;=20,"16-20",J610&gt;20,"21+")</f>
        <v>16-20</v>
      </c>
      <c r="L610" t="s">
        <v>90</v>
      </c>
      <c r="M610" s="2" t="str">
        <f>TRIM(MID(L610,FIND(" ",L610)+1,LEN(L610)))</f>
        <v>50</v>
      </c>
      <c r="N610" s="8">
        <f t="shared" si="124"/>
        <v>50</v>
      </c>
      <c r="O610">
        <v>3.8</v>
      </c>
      <c r="P610" t="s">
        <v>23</v>
      </c>
      <c r="Q610" t="s">
        <v>2072</v>
      </c>
      <c r="R610" s="1">
        <v>0.93</v>
      </c>
      <c r="S610" s="3">
        <f t="shared" ref="S610:S612" si="133">R610</f>
        <v>0.93</v>
      </c>
    </row>
    <row r="611" spans="1:19" x14ac:dyDescent="0.3">
      <c r="A611" t="s">
        <v>1292</v>
      </c>
      <c r="B611" t="s">
        <v>1293</v>
      </c>
      <c r="C611" t="str">
        <f t="shared" si="131"/>
        <v>Brianna Orr</v>
      </c>
      <c r="D611" t="s">
        <v>26</v>
      </c>
      <c r="E611" t="str">
        <f t="shared" si="123"/>
        <v>Female</v>
      </c>
      <c r="F611">
        <v>52</v>
      </c>
      <c r="G611" t="s">
        <v>120</v>
      </c>
      <c r="H611" t="s">
        <v>14</v>
      </c>
      <c r="I611" t="s">
        <v>9</v>
      </c>
      <c r="J611">
        <v>29</v>
      </c>
      <c r="K611" s="4" t="str" cm="1">
        <f t="array" ref="K611">_xlfn.IFS(J611&lt;=5,"0-5",J611&lt;=10,"6-10",J611&lt;=15,"11-15",J611&lt;=20,"16-20",J611&gt;20,"21+")</f>
        <v>21+</v>
      </c>
      <c r="L611">
        <v>30</v>
      </c>
      <c r="M611" s="2">
        <f>L611</f>
        <v>30</v>
      </c>
      <c r="N611" s="8">
        <f t="shared" si="124"/>
        <v>30</v>
      </c>
      <c r="O611">
        <v>3.8</v>
      </c>
      <c r="P611">
        <v>0</v>
      </c>
      <c r="Q611" t="s">
        <v>2072</v>
      </c>
      <c r="R611" s="1">
        <v>0.68</v>
      </c>
      <c r="S611" s="3">
        <f t="shared" si="133"/>
        <v>0.68</v>
      </c>
    </row>
    <row r="612" spans="1:19" x14ac:dyDescent="0.3">
      <c r="A612" t="s">
        <v>1294</v>
      </c>
      <c r="B612" t="s">
        <v>1295</v>
      </c>
      <c r="C612" t="str">
        <f t="shared" si="131"/>
        <v>Dustin Smith</v>
      </c>
      <c r="D612" t="s">
        <v>19</v>
      </c>
      <c r="E612" t="str">
        <f t="shared" si="123"/>
        <v>Male</v>
      </c>
      <c r="F612">
        <v>53</v>
      </c>
      <c r="G612" t="s">
        <v>104</v>
      </c>
      <c r="H612" t="s">
        <v>105</v>
      </c>
      <c r="I612" t="s">
        <v>27</v>
      </c>
      <c r="J612">
        <v>21</v>
      </c>
      <c r="K612" s="4" t="str" cm="1">
        <f t="array" ref="K612">_xlfn.IFS(J612&lt;=5,"0-5",J612&lt;=10,"6-10",J612&lt;=15,"11-15",J612&lt;=20,"16-20",J612&gt;20,"21+")</f>
        <v>21+</v>
      </c>
      <c r="L612">
        <v>40</v>
      </c>
      <c r="M612" s="2">
        <f>L612</f>
        <v>40</v>
      </c>
      <c r="N612" s="8">
        <f t="shared" si="124"/>
        <v>40</v>
      </c>
      <c r="O612">
        <v>4.7</v>
      </c>
      <c r="P612">
        <v>1</v>
      </c>
      <c r="Q612" t="s">
        <v>2073</v>
      </c>
      <c r="R612" s="1">
        <v>0.62</v>
      </c>
      <c r="S612" s="3">
        <f t="shared" si="133"/>
        <v>0.62</v>
      </c>
    </row>
    <row r="613" spans="1:19" x14ac:dyDescent="0.3">
      <c r="A613" t="s">
        <v>1296</v>
      </c>
      <c r="B613" t="s">
        <v>1297</v>
      </c>
      <c r="C613" t="str">
        <f t="shared" si="131"/>
        <v>Sarah White</v>
      </c>
      <c r="D613" t="s">
        <v>12</v>
      </c>
      <c r="E613" t="str">
        <f t="shared" si="123"/>
        <v>Female</v>
      </c>
      <c r="F613">
        <v>54</v>
      </c>
      <c r="G613" t="s">
        <v>7</v>
      </c>
      <c r="H613" t="s">
        <v>8</v>
      </c>
      <c r="I613" t="s">
        <v>15</v>
      </c>
      <c r="J613">
        <v>28</v>
      </c>
      <c r="K613" s="4" t="str" cm="1">
        <f t="array" ref="K613">_xlfn.IFS(J613&lt;=5,"0-5",J613&lt;=10,"6-10",J613&lt;=15,"11-15",J613&lt;=20,"16-20",J613&gt;20,"21+")</f>
        <v>21+</v>
      </c>
      <c r="L613" t="s">
        <v>47</v>
      </c>
      <c r="M613" s="2" t="str">
        <f>TRIM(MID(L613,FIND(" ",L613)+1,LEN(L613)))</f>
        <v>40</v>
      </c>
      <c r="N613" s="8">
        <f t="shared" si="124"/>
        <v>40</v>
      </c>
      <c r="O613">
        <v>1.1000000000000001</v>
      </c>
      <c r="P613" t="s">
        <v>151</v>
      </c>
      <c r="Q613" t="s">
        <v>2072</v>
      </c>
    </row>
    <row r="614" spans="1:19" x14ac:dyDescent="0.3">
      <c r="A614" t="s">
        <v>1298</v>
      </c>
      <c r="B614" t="s">
        <v>1299</v>
      </c>
      <c r="C614" t="str">
        <f t="shared" si="131"/>
        <v>Michael Davis</v>
      </c>
      <c r="D614" t="s">
        <v>53</v>
      </c>
      <c r="E614" t="str">
        <f t="shared" si="123"/>
        <v>Male</v>
      </c>
      <c r="F614">
        <v>51</v>
      </c>
      <c r="G614" t="s">
        <v>77</v>
      </c>
      <c r="H614" t="s">
        <v>78</v>
      </c>
      <c r="I614" t="s">
        <v>22</v>
      </c>
      <c r="J614">
        <v>5</v>
      </c>
      <c r="K614" s="4" t="str" cm="1">
        <f t="array" ref="K614">_xlfn.IFS(J614&lt;=5,"0-5",J614&lt;=10,"6-10",J614&lt;=15,"11-15",J614&lt;=20,"16-20",J614&gt;20,"21+")</f>
        <v>0-5</v>
      </c>
      <c r="L614">
        <v>50</v>
      </c>
      <c r="M614" s="2">
        <f>L614</f>
        <v>50</v>
      </c>
      <c r="N614" s="8">
        <f t="shared" si="124"/>
        <v>50</v>
      </c>
      <c r="O614">
        <v>4.2</v>
      </c>
      <c r="P614">
        <v>1</v>
      </c>
      <c r="Q614" t="s">
        <v>2073</v>
      </c>
      <c r="R614" s="1">
        <v>0.82</v>
      </c>
      <c r="S614" s="3">
        <f>R614</f>
        <v>0.82</v>
      </c>
    </row>
    <row r="615" spans="1:19" x14ac:dyDescent="0.3">
      <c r="A615" t="s">
        <v>1300</v>
      </c>
      <c r="B615" t="s">
        <v>1301</v>
      </c>
      <c r="C615" t="str">
        <f t="shared" si="131"/>
        <v>Jennifer Phillips</v>
      </c>
      <c r="D615" t="s">
        <v>6</v>
      </c>
      <c r="E615" t="str">
        <f t="shared" si="123"/>
        <v>Female</v>
      </c>
      <c r="F615">
        <v>30</v>
      </c>
      <c r="G615" t="s">
        <v>104</v>
      </c>
      <c r="H615" t="s">
        <v>105</v>
      </c>
      <c r="I615" t="s">
        <v>27</v>
      </c>
      <c r="J615">
        <v>0</v>
      </c>
      <c r="K615" s="4" t="str" cm="1">
        <f t="array" ref="K615">_xlfn.IFS(J615&lt;=5,"0-5",J615&lt;=10,"6-10",J615&lt;=15,"11-15",J615&lt;=20,"16-20",J615&gt;20,"21+")</f>
        <v>0-5</v>
      </c>
      <c r="N615" s="8" t="str">
        <f t="shared" si="124"/>
        <v/>
      </c>
      <c r="O615">
        <v>0</v>
      </c>
      <c r="P615">
        <v>0</v>
      </c>
      <c r="Q615" t="s">
        <v>2072</v>
      </c>
    </row>
    <row r="616" spans="1:19" x14ac:dyDescent="0.3">
      <c r="A616" t="s">
        <v>1302</v>
      </c>
      <c r="B616" t="s">
        <v>1303</v>
      </c>
      <c r="C616" t="str">
        <f t="shared" si="131"/>
        <v>Dana Sanders</v>
      </c>
      <c r="D616" t="s">
        <v>69</v>
      </c>
      <c r="E616" t="str">
        <f t="shared" si="123"/>
        <v>Female</v>
      </c>
      <c r="F616">
        <v>45</v>
      </c>
      <c r="G616" t="s">
        <v>34</v>
      </c>
      <c r="H616" t="s">
        <v>35</v>
      </c>
      <c r="I616" t="s">
        <v>106</v>
      </c>
      <c r="J616">
        <v>27</v>
      </c>
      <c r="K616" s="4" t="str" cm="1">
        <f t="array" ref="K616">_xlfn.IFS(J616&lt;=5,"0-5",J616&lt;=10,"6-10",J616&lt;=15,"11-15",J616&lt;=20,"16-20",J616&gt;20,"21+")</f>
        <v>21+</v>
      </c>
      <c r="L616" t="s">
        <v>44</v>
      </c>
      <c r="M616" s="2" t="str">
        <f>TRIM(MID(L616,FIND(" ",L616)+1,LEN(L616)))</f>
        <v>75</v>
      </c>
      <c r="N616" s="8">
        <f t="shared" si="124"/>
        <v>75</v>
      </c>
      <c r="O616">
        <v>0</v>
      </c>
      <c r="R616" s="1">
        <v>0.85</v>
      </c>
      <c r="S616" s="3">
        <f t="shared" ref="S616:S622" si="134">R616</f>
        <v>0.85</v>
      </c>
    </row>
    <row r="617" spans="1:19" x14ac:dyDescent="0.3">
      <c r="A617" t="s">
        <v>1304</v>
      </c>
      <c r="B617" t="s">
        <v>1305</v>
      </c>
      <c r="C617" t="str">
        <f t="shared" si="131"/>
        <v>Daniel Quinn</v>
      </c>
      <c r="D617" t="s">
        <v>19</v>
      </c>
      <c r="E617" t="str">
        <f t="shared" si="123"/>
        <v>Male</v>
      </c>
      <c r="F617">
        <v>57</v>
      </c>
      <c r="G617" t="s">
        <v>41</v>
      </c>
      <c r="H617" t="s">
        <v>42</v>
      </c>
      <c r="I617" t="s">
        <v>22</v>
      </c>
      <c r="J617">
        <v>26</v>
      </c>
      <c r="K617" s="4" t="str" cm="1">
        <f t="array" ref="K617">_xlfn.IFS(J617&lt;=5,"0-5",J617&lt;=10,"6-10",J617&lt;=15,"11-15",J617&lt;=20,"16-20",J617&gt;20,"21+")</f>
        <v>21+</v>
      </c>
      <c r="L617" t="s">
        <v>16</v>
      </c>
      <c r="M617" s="2" t="str">
        <f>TRIM(MID(L617,FIND(" ",L617)+1,LEN(L617)))</f>
        <v>100</v>
      </c>
      <c r="N617" s="8">
        <f t="shared" si="124"/>
        <v>100</v>
      </c>
      <c r="O617">
        <v>2.4</v>
      </c>
      <c r="P617">
        <v>1</v>
      </c>
      <c r="Q617" t="s">
        <v>2073</v>
      </c>
      <c r="R617" s="1">
        <v>0.78</v>
      </c>
      <c r="S617" s="3">
        <f t="shared" si="134"/>
        <v>0.78</v>
      </c>
    </row>
    <row r="618" spans="1:19" x14ac:dyDescent="0.3">
      <c r="A618" t="s">
        <v>1306</v>
      </c>
      <c r="B618" t="s">
        <v>1307</v>
      </c>
      <c r="C618" t="str">
        <f t="shared" si="131"/>
        <v>Matthew Steele</v>
      </c>
      <c r="D618" t="s">
        <v>89</v>
      </c>
      <c r="E618" t="str">
        <f t="shared" si="123"/>
        <v>Male</v>
      </c>
      <c r="F618">
        <v>38</v>
      </c>
      <c r="G618" t="s">
        <v>54</v>
      </c>
      <c r="H618" t="s">
        <v>55</v>
      </c>
      <c r="I618" t="s">
        <v>9</v>
      </c>
      <c r="J618">
        <v>19</v>
      </c>
      <c r="K618" s="4" t="str" cm="1">
        <f t="array" ref="K618">_xlfn.IFS(J618&lt;=5,"0-5",J618&lt;=10,"6-10",J618&lt;=15,"11-15",J618&lt;=20,"16-20",J618&gt;20,"21+")</f>
        <v>16-20</v>
      </c>
      <c r="L618">
        <v>40</v>
      </c>
      <c r="M618" s="2">
        <f>L618</f>
        <v>40</v>
      </c>
      <c r="N618" s="8">
        <f t="shared" si="124"/>
        <v>40</v>
      </c>
      <c r="O618">
        <v>0</v>
      </c>
      <c r="P618">
        <v>1</v>
      </c>
      <c r="Q618" t="s">
        <v>2073</v>
      </c>
      <c r="R618" s="1">
        <v>0.86</v>
      </c>
      <c r="S618" s="3">
        <f t="shared" si="134"/>
        <v>0.86</v>
      </c>
    </row>
    <row r="619" spans="1:19" x14ac:dyDescent="0.3">
      <c r="A619" t="s">
        <v>1308</v>
      </c>
      <c r="B619" t="s">
        <v>1309</v>
      </c>
      <c r="C619" t="str">
        <f t="shared" si="131"/>
        <v>Michele Taylor</v>
      </c>
      <c r="D619" t="s">
        <v>12</v>
      </c>
      <c r="E619" t="str">
        <f t="shared" si="123"/>
        <v>Female</v>
      </c>
      <c r="F619">
        <v>42</v>
      </c>
      <c r="G619" t="s">
        <v>116</v>
      </c>
      <c r="H619" t="s">
        <v>117</v>
      </c>
      <c r="I619" t="s">
        <v>81</v>
      </c>
      <c r="J619">
        <v>24</v>
      </c>
      <c r="K619" s="4" t="str" cm="1">
        <f t="array" ref="K619">_xlfn.IFS(J619&lt;=5,"0-5",J619&lt;=10,"6-10",J619&lt;=15,"11-15",J619&lt;=20,"16-20",J619&gt;20,"21+")</f>
        <v>21+</v>
      </c>
      <c r="L619" t="s">
        <v>47</v>
      </c>
      <c r="M619" s="2" t="str">
        <f>TRIM(MID(L619,FIND(" ",L619)+1,LEN(L619)))</f>
        <v>40</v>
      </c>
      <c r="N619" s="8">
        <f t="shared" si="124"/>
        <v>40</v>
      </c>
      <c r="P619" t="b">
        <v>0</v>
      </c>
      <c r="Q619" t="s">
        <v>2072</v>
      </c>
      <c r="R619" s="1">
        <v>0.88</v>
      </c>
      <c r="S619" s="3">
        <f t="shared" si="134"/>
        <v>0.88</v>
      </c>
    </row>
    <row r="620" spans="1:19" x14ac:dyDescent="0.3">
      <c r="A620" t="s">
        <v>1310</v>
      </c>
      <c r="B620" t="s">
        <v>1311</v>
      </c>
      <c r="C620" t="str">
        <f t="shared" si="131"/>
        <v>Ashley Hammond</v>
      </c>
      <c r="D620" t="s">
        <v>69</v>
      </c>
      <c r="E620" t="str">
        <f t="shared" si="123"/>
        <v>Female</v>
      </c>
      <c r="F620">
        <v>30</v>
      </c>
      <c r="G620" t="s">
        <v>145</v>
      </c>
      <c r="H620" t="s">
        <v>146</v>
      </c>
      <c r="I620" t="s">
        <v>81</v>
      </c>
      <c r="J620">
        <v>7</v>
      </c>
      <c r="K620" s="4" t="str" cm="1">
        <f t="array" ref="K620">_xlfn.IFS(J620&lt;=5,"0-5",J620&lt;=10,"6-10",J620&lt;=15,"11-15",J620&lt;=20,"16-20",J620&gt;20,"21+")</f>
        <v>6-10</v>
      </c>
      <c r="L620">
        <v>30</v>
      </c>
      <c r="M620" s="2">
        <f>L620</f>
        <v>30</v>
      </c>
      <c r="N620" s="8">
        <f t="shared" si="124"/>
        <v>30</v>
      </c>
      <c r="O620">
        <v>3.3</v>
      </c>
      <c r="R620" s="1">
        <v>0.68</v>
      </c>
      <c r="S620" s="3">
        <f t="shared" si="134"/>
        <v>0.68</v>
      </c>
    </row>
    <row r="621" spans="1:19" x14ac:dyDescent="0.3">
      <c r="A621" t="s">
        <v>1312</v>
      </c>
      <c r="B621" t="s">
        <v>1313</v>
      </c>
      <c r="C621" t="str">
        <f t="shared" si="131"/>
        <v>Nicole Taylor</v>
      </c>
      <c r="D621" t="s">
        <v>31</v>
      </c>
      <c r="E621" t="str">
        <f t="shared" si="123"/>
        <v>Female</v>
      </c>
      <c r="F621">
        <v>43</v>
      </c>
      <c r="G621" t="s">
        <v>13</v>
      </c>
      <c r="H621" t="s">
        <v>14</v>
      </c>
      <c r="I621" t="s">
        <v>27</v>
      </c>
      <c r="J621">
        <v>13</v>
      </c>
      <c r="K621" s="4" t="str" cm="1">
        <f t="array" ref="K621">_xlfn.IFS(J621&lt;=5,"0-5",J621&lt;=10,"6-10",J621&lt;=15,"11-15",J621&lt;=20,"16-20",J621&gt;20,"21+")</f>
        <v>11-15</v>
      </c>
      <c r="L621" t="s">
        <v>221</v>
      </c>
      <c r="M621" s="2" t="str">
        <f>SUBSTITUTE(L621,"$","")</f>
        <v>100</v>
      </c>
      <c r="N621" s="8">
        <f t="shared" si="124"/>
        <v>100</v>
      </c>
      <c r="O621">
        <v>1.4</v>
      </c>
      <c r="P621">
        <v>1</v>
      </c>
      <c r="Q621" t="s">
        <v>2073</v>
      </c>
      <c r="R621" s="1">
        <v>0.97</v>
      </c>
      <c r="S621" s="3">
        <f t="shared" si="134"/>
        <v>0.97</v>
      </c>
    </row>
    <row r="622" spans="1:19" x14ac:dyDescent="0.3">
      <c r="A622" t="s">
        <v>1314</v>
      </c>
      <c r="B622" t="s">
        <v>1315</v>
      </c>
      <c r="C622" t="str">
        <f t="shared" si="131"/>
        <v>Casey Bush</v>
      </c>
      <c r="D622" t="s">
        <v>89</v>
      </c>
      <c r="E622" t="str">
        <f t="shared" si="123"/>
        <v>Male</v>
      </c>
      <c r="F622">
        <v>22</v>
      </c>
      <c r="G622" t="s">
        <v>131</v>
      </c>
      <c r="H622" t="s">
        <v>132</v>
      </c>
      <c r="I622" t="s">
        <v>65</v>
      </c>
      <c r="J622">
        <v>2</v>
      </c>
      <c r="K622" s="4" t="str" cm="1">
        <f t="array" ref="K622">_xlfn.IFS(J622&lt;=5,"0-5",J622&lt;=10,"6-10",J622&lt;=15,"11-15",J622&lt;=20,"16-20",J622&gt;20,"21+")</f>
        <v>0-5</v>
      </c>
      <c r="L622" t="s">
        <v>162</v>
      </c>
      <c r="M622" s="2" t="str">
        <f>SUBSTITUTE(L622,"$","")</f>
        <v>75</v>
      </c>
      <c r="N622" s="8">
        <f t="shared" si="124"/>
        <v>75</v>
      </c>
      <c r="O622">
        <v>1.7</v>
      </c>
      <c r="P622" t="s">
        <v>151</v>
      </c>
      <c r="Q622" t="s">
        <v>2072</v>
      </c>
      <c r="R622" s="1">
        <v>0.91</v>
      </c>
      <c r="S622" s="3">
        <f t="shared" si="134"/>
        <v>0.91</v>
      </c>
    </row>
    <row r="623" spans="1:19" x14ac:dyDescent="0.3">
      <c r="A623" t="s">
        <v>1316</v>
      </c>
      <c r="B623" t="s">
        <v>1317</v>
      </c>
      <c r="C623" t="str">
        <f t="shared" si="131"/>
        <v>Samuel Patterson</v>
      </c>
      <c r="D623" t="s">
        <v>84</v>
      </c>
      <c r="E623" t="str">
        <f t="shared" si="123"/>
        <v>Male</v>
      </c>
      <c r="F623">
        <v>57</v>
      </c>
      <c r="G623" t="s">
        <v>171</v>
      </c>
      <c r="H623" t="s">
        <v>64</v>
      </c>
      <c r="I623" t="s">
        <v>106</v>
      </c>
      <c r="J623">
        <v>37</v>
      </c>
      <c r="K623" s="4" t="str" cm="1">
        <f t="array" ref="K623">_xlfn.IFS(J623&lt;=5,"0-5",J623&lt;=10,"6-10",J623&lt;=15,"11-15",J623&lt;=20,"16-20",J623&gt;20,"21+")</f>
        <v>21+</v>
      </c>
      <c r="L623">
        <v>30</v>
      </c>
      <c r="M623" s="2">
        <f>L623</f>
        <v>30</v>
      </c>
      <c r="N623" s="8">
        <f t="shared" si="124"/>
        <v>30</v>
      </c>
      <c r="O623">
        <v>4.8</v>
      </c>
      <c r="P623" t="b">
        <v>0</v>
      </c>
      <c r="Q623" t="s">
        <v>2072</v>
      </c>
    </row>
    <row r="624" spans="1:19" x14ac:dyDescent="0.3">
      <c r="A624" t="s">
        <v>1318</v>
      </c>
      <c r="B624" t="s">
        <v>1319</v>
      </c>
      <c r="C624" t="str">
        <f t="shared" si="131"/>
        <v>Craig Dennis</v>
      </c>
      <c r="D624" t="s">
        <v>53</v>
      </c>
      <c r="E624" t="str">
        <f t="shared" si="123"/>
        <v>Male</v>
      </c>
      <c r="F624">
        <v>44</v>
      </c>
      <c r="G624" t="s">
        <v>59</v>
      </c>
      <c r="H624" t="s">
        <v>14</v>
      </c>
      <c r="I624" t="s">
        <v>22</v>
      </c>
      <c r="J624">
        <v>1</v>
      </c>
      <c r="K624" s="4" t="str" cm="1">
        <f t="array" ref="K624">_xlfn.IFS(J624&lt;=5,"0-5",J624&lt;=10,"6-10",J624&lt;=15,"11-15",J624&lt;=20,"16-20",J624&gt;20,"21+")</f>
        <v>0-5</v>
      </c>
      <c r="N624" s="8" t="str">
        <f t="shared" si="124"/>
        <v/>
      </c>
      <c r="O624">
        <v>4.8</v>
      </c>
      <c r="P624" t="s">
        <v>23</v>
      </c>
      <c r="Q624" t="s">
        <v>2072</v>
      </c>
      <c r="R624" s="1">
        <v>0.97</v>
      </c>
      <c r="S624" s="3">
        <f t="shared" ref="S624:S626" si="135">R624</f>
        <v>0.97</v>
      </c>
    </row>
    <row r="625" spans="1:19" x14ac:dyDescent="0.3">
      <c r="A625" t="s">
        <v>1320</v>
      </c>
      <c r="B625" t="s">
        <v>1321</v>
      </c>
      <c r="C625" t="str">
        <f t="shared" si="131"/>
        <v>Heidi Dixon</v>
      </c>
      <c r="D625" t="s">
        <v>31</v>
      </c>
      <c r="E625" t="str">
        <f t="shared" si="123"/>
        <v>Female</v>
      </c>
      <c r="F625">
        <v>46</v>
      </c>
      <c r="G625" t="s">
        <v>167</v>
      </c>
      <c r="H625" t="s">
        <v>168</v>
      </c>
      <c r="I625" t="s">
        <v>81</v>
      </c>
      <c r="J625">
        <v>5</v>
      </c>
      <c r="K625" s="4" t="str" cm="1">
        <f t="array" ref="K625">_xlfn.IFS(J625&lt;=5,"0-5",J625&lt;=10,"6-10",J625&lt;=15,"11-15",J625&lt;=20,"16-20",J625&gt;20,"21+")</f>
        <v>0-5</v>
      </c>
      <c r="L625" t="s">
        <v>101</v>
      </c>
      <c r="M625" s="2" t="str">
        <f>TRIM(MID(L625,FIND(" ",L625)+1,LEN(L625)))</f>
        <v>30</v>
      </c>
      <c r="N625" s="8">
        <f t="shared" si="124"/>
        <v>30</v>
      </c>
      <c r="O625">
        <v>2</v>
      </c>
      <c r="P625" t="s">
        <v>60</v>
      </c>
      <c r="Q625" t="s">
        <v>2073</v>
      </c>
      <c r="R625" s="1">
        <v>0.64</v>
      </c>
      <c r="S625" s="3">
        <f t="shared" si="135"/>
        <v>0.64</v>
      </c>
    </row>
    <row r="626" spans="1:19" x14ac:dyDescent="0.3">
      <c r="A626" t="s">
        <v>1322</v>
      </c>
      <c r="B626" t="s">
        <v>1323</v>
      </c>
      <c r="C626" t="str">
        <f t="shared" si="131"/>
        <v>David Bishop</v>
      </c>
      <c r="D626" t="s">
        <v>89</v>
      </c>
      <c r="E626" t="str">
        <f t="shared" si="123"/>
        <v>Male</v>
      </c>
      <c r="G626" t="s">
        <v>182</v>
      </c>
      <c r="H626" t="s">
        <v>64</v>
      </c>
      <c r="I626" t="s">
        <v>9</v>
      </c>
      <c r="J626">
        <v>1</v>
      </c>
      <c r="K626" s="4" t="str" cm="1">
        <f t="array" ref="K626">_xlfn.IFS(J626&lt;=5,"0-5",J626&lt;=10,"6-10",J626&lt;=15,"11-15",J626&lt;=20,"16-20",J626&gt;20,"21+")</f>
        <v>0-5</v>
      </c>
      <c r="L626" t="s">
        <v>90</v>
      </c>
      <c r="M626" s="2" t="str">
        <f>TRIM(MID(L626,FIND(" ",L626)+1,LEN(L626)))</f>
        <v>50</v>
      </c>
      <c r="N626" s="8">
        <f t="shared" si="124"/>
        <v>50</v>
      </c>
      <c r="O626">
        <v>2.8</v>
      </c>
      <c r="P626" t="s">
        <v>151</v>
      </c>
      <c r="Q626" t="s">
        <v>2072</v>
      </c>
      <c r="R626" s="1">
        <v>0.87</v>
      </c>
      <c r="S626" s="3">
        <f t="shared" si="135"/>
        <v>0.87</v>
      </c>
    </row>
    <row r="627" spans="1:19" x14ac:dyDescent="0.3">
      <c r="A627" t="s">
        <v>1324</v>
      </c>
      <c r="B627" t="s">
        <v>1325</v>
      </c>
      <c r="C627" t="str">
        <f t="shared" si="131"/>
        <v>Laura Butler</v>
      </c>
      <c r="D627" t="s">
        <v>69</v>
      </c>
      <c r="E627" t="str">
        <f t="shared" si="123"/>
        <v>Female</v>
      </c>
      <c r="F627">
        <v>34</v>
      </c>
      <c r="G627" t="s">
        <v>13</v>
      </c>
      <c r="H627" t="s">
        <v>14</v>
      </c>
      <c r="I627" t="s">
        <v>43</v>
      </c>
      <c r="J627">
        <v>2</v>
      </c>
      <c r="K627" s="4" t="str" cm="1">
        <f t="array" ref="K627">_xlfn.IFS(J627&lt;=5,"0-5",J627&lt;=10,"6-10",J627&lt;=15,"11-15",J627&lt;=20,"16-20",J627&gt;20,"21+")</f>
        <v>0-5</v>
      </c>
      <c r="L627">
        <v>100</v>
      </c>
      <c r="M627" s="2">
        <f>L627</f>
        <v>100</v>
      </c>
      <c r="N627" s="8">
        <f t="shared" si="124"/>
        <v>100</v>
      </c>
      <c r="O627">
        <v>0</v>
      </c>
      <c r="P627">
        <v>0</v>
      </c>
      <c r="Q627" t="s">
        <v>2072</v>
      </c>
      <c r="R627">
        <v>86</v>
      </c>
      <c r="S627" s="3">
        <f t="shared" ref="S627:S628" si="136">R627/100</f>
        <v>0.86</v>
      </c>
    </row>
    <row r="628" spans="1:19" x14ac:dyDescent="0.3">
      <c r="A628" t="s">
        <v>1326</v>
      </c>
      <c r="B628" t="s">
        <v>1327</v>
      </c>
      <c r="C628" t="str">
        <f t="shared" si="131"/>
        <v>Denise Erickson</v>
      </c>
      <c r="D628" t="s">
        <v>26</v>
      </c>
      <c r="E628" t="str">
        <f t="shared" si="123"/>
        <v>Female</v>
      </c>
      <c r="F628">
        <v>46</v>
      </c>
      <c r="G628" t="s">
        <v>7</v>
      </c>
      <c r="H628" t="s">
        <v>8</v>
      </c>
      <c r="I628" t="s">
        <v>15</v>
      </c>
      <c r="K628" s="4" t="str" cm="1">
        <f t="array" ref="K628">_xlfn.IFS(J628&lt;=5,"0-5",J628&lt;=10,"6-10",J628&lt;=15,"11-15",J628&lt;=20,"16-20",J628&gt;20,"21+")</f>
        <v>0-5</v>
      </c>
      <c r="L628" t="s">
        <v>221</v>
      </c>
      <c r="M628" s="2" t="str">
        <f>SUBSTITUTE(L628,"$","")</f>
        <v>100</v>
      </c>
      <c r="N628" s="8">
        <f t="shared" si="124"/>
        <v>100</v>
      </c>
      <c r="O628">
        <v>4.4000000000000004</v>
      </c>
      <c r="P628">
        <v>1</v>
      </c>
      <c r="Q628" t="s">
        <v>2073</v>
      </c>
      <c r="R628">
        <v>97</v>
      </c>
      <c r="S628" s="3">
        <f t="shared" si="136"/>
        <v>0.97</v>
      </c>
    </row>
    <row r="629" spans="1:19" x14ac:dyDescent="0.3">
      <c r="A629" t="s">
        <v>1328</v>
      </c>
      <c r="B629" t="s">
        <v>1329</v>
      </c>
      <c r="C629" t="str">
        <f t="shared" si="131"/>
        <v>Nicole Austin</v>
      </c>
      <c r="D629" t="s">
        <v>6</v>
      </c>
      <c r="E629" t="str">
        <f t="shared" si="123"/>
        <v>Female</v>
      </c>
      <c r="F629">
        <v>22</v>
      </c>
      <c r="G629" t="s">
        <v>127</v>
      </c>
      <c r="H629" t="s">
        <v>128</v>
      </c>
      <c r="I629" t="s">
        <v>9</v>
      </c>
      <c r="J629">
        <v>0</v>
      </c>
      <c r="K629" s="4" t="str" cm="1">
        <f t="array" ref="K629">_xlfn.IFS(J629&lt;=5,"0-5",J629&lt;=10,"6-10",J629&lt;=15,"11-15",J629&lt;=20,"16-20",J629&gt;20,"21+")</f>
        <v>0-5</v>
      </c>
      <c r="L629" t="s">
        <v>101</v>
      </c>
      <c r="M629" s="2" t="str">
        <f>TRIM(MID(L629,FIND(" ",L629)+1,LEN(L629)))</f>
        <v>30</v>
      </c>
      <c r="N629" s="8">
        <f t="shared" si="124"/>
        <v>30</v>
      </c>
      <c r="O629">
        <v>4.9000000000000004</v>
      </c>
      <c r="P629" t="b">
        <v>0</v>
      </c>
      <c r="Q629" t="s">
        <v>2072</v>
      </c>
      <c r="R629" s="1">
        <v>0.73</v>
      </c>
      <c r="S629" s="3">
        <f t="shared" ref="S629:S630" si="137">R629</f>
        <v>0.73</v>
      </c>
    </row>
    <row r="630" spans="1:19" x14ac:dyDescent="0.3">
      <c r="A630" t="s">
        <v>1330</v>
      </c>
      <c r="B630" t="s">
        <v>1331</v>
      </c>
      <c r="C630" t="str">
        <f t="shared" si="131"/>
        <v>Summer Williams</v>
      </c>
      <c r="D630" t="s">
        <v>31</v>
      </c>
      <c r="E630" t="str">
        <f t="shared" si="123"/>
        <v>Female</v>
      </c>
      <c r="F630">
        <v>23</v>
      </c>
      <c r="G630" t="s">
        <v>145</v>
      </c>
      <c r="H630" t="s">
        <v>146</v>
      </c>
      <c r="I630" t="s">
        <v>36</v>
      </c>
      <c r="J630">
        <v>0</v>
      </c>
      <c r="K630" s="4" t="str" cm="1">
        <f t="array" ref="K630">_xlfn.IFS(J630&lt;=5,"0-5",J630&lt;=10,"6-10",J630&lt;=15,"11-15",J630&lt;=20,"16-20",J630&gt;20,"21+")</f>
        <v>0-5</v>
      </c>
      <c r="L630" t="s">
        <v>44</v>
      </c>
      <c r="M630" s="2" t="str">
        <f>TRIM(MID(L630,FIND(" ",L630)+1,LEN(L630)))</f>
        <v>75</v>
      </c>
      <c r="N630" s="8">
        <f t="shared" si="124"/>
        <v>75</v>
      </c>
      <c r="O630">
        <v>2.2999999999999998</v>
      </c>
      <c r="R630" s="1">
        <v>0.6</v>
      </c>
      <c r="S630" s="3">
        <f t="shared" si="137"/>
        <v>0.6</v>
      </c>
    </row>
    <row r="631" spans="1:19" x14ac:dyDescent="0.3">
      <c r="A631" t="s">
        <v>1332</v>
      </c>
      <c r="B631" t="s">
        <v>1333</v>
      </c>
      <c r="C631" t="str">
        <f t="shared" si="131"/>
        <v>Angela Blackwell</v>
      </c>
      <c r="D631" t="s">
        <v>26</v>
      </c>
      <c r="E631" t="str">
        <f t="shared" si="123"/>
        <v>Female</v>
      </c>
      <c r="F631">
        <v>60</v>
      </c>
      <c r="G631" t="s">
        <v>54</v>
      </c>
      <c r="H631" t="s">
        <v>55</v>
      </c>
      <c r="I631" t="s">
        <v>27</v>
      </c>
      <c r="J631">
        <v>41</v>
      </c>
      <c r="K631" s="4" t="str" cm="1">
        <f t="array" ref="K631">_xlfn.IFS(J631&lt;=5,"0-5",J631&lt;=10,"6-10",J631&lt;=15,"11-15",J631&lt;=20,"16-20",J631&gt;20,"21+")</f>
        <v>21+</v>
      </c>
      <c r="L631" t="s">
        <v>28</v>
      </c>
      <c r="M631" s="2" t="str">
        <f>SUBSTITUTE(L631,"$","")</f>
        <v>40</v>
      </c>
      <c r="N631" s="8">
        <f t="shared" si="124"/>
        <v>40</v>
      </c>
      <c r="O631">
        <v>4.9000000000000004</v>
      </c>
      <c r="P631">
        <v>1</v>
      </c>
      <c r="Q631" t="s">
        <v>2073</v>
      </c>
      <c r="R631">
        <v>66</v>
      </c>
      <c r="S631" s="3">
        <f>R631/100</f>
        <v>0.66</v>
      </c>
    </row>
    <row r="632" spans="1:19" x14ac:dyDescent="0.3">
      <c r="A632" t="s">
        <v>1334</v>
      </c>
      <c r="B632" t="s">
        <v>1335</v>
      </c>
      <c r="C632" t="str">
        <f t="shared" si="131"/>
        <v>Thomas Wall</v>
      </c>
      <c r="D632" t="s">
        <v>40</v>
      </c>
      <c r="E632" t="str">
        <f t="shared" si="123"/>
        <v>Male</v>
      </c>
      <c r="F632">
        <v>20</v>
      </c>
      <c r="G632" t="s">
        <v>120</v>
      </c>
      <c r="H632" t="s">
        <v>14</v>
      </c>
      <c r="I632" t="s">
        <v>81</v>
      </c>
      <c r="K632" s="4" t="str" cm="1">
        <f t="array" ref="K632">_xlfn.IFS(J632&lt;=5,"0-5",J632&lt;=10,"6-10",J632&lt;=15,"11-15",J632&lt;=20,"16-20",J632&gt;20,"21+")</f>
        <v>0-5</v>
      </c>
      <c r="L632" t="s">
        <v>162</v>
      </c>
      <c r="M632" s="2" t="str">
        <f>SUBSTITUTE(L632,"$","")</f>
        <v>75</v>
      </c>
      <c r="N632" s="8">
        <f t="shared" si="124"/>
        <v>75</v>
      </c>
      <c r="O632">
        <v>4.3</v>
      </c>
      <c r="P632">
        <v>0</v>
      </c>
      <c r="Q632" t="s">
        <v>2072</v>
      </c>
      <c r="R632" s="1">
        <v>0.9</v>
      </c>
      <c r="S632" s="3">
        <f>R632</f>
        <v>0.9</v>
      </c>
    </row>
    <row r="633" spans="1:19" x14ac:dyDescent="0.3">
      <c r="A633" t="s">
        <v>1336</v>
      </c>
      <c r="B633" t="s">
        <v>1337</v>
      </c>
      <c r="C633" t="str">
        <f t="shared" si="131"/>
        <v>Sarah Anderson</v>
      </c>
      <c r="D633" t="s">
        <v>6</v>
      </c>
      <c r="E633" t="str">
        <f t="shared" si="123"/>
        <v>Female</v>
      </c>
      <c r="F633">
        <v>41</v>
      </c>
      <c r="G633" t="s">
        <v>104</v>
      </c>
      <c r="H633" t="s">
        <v>105</v>
      </c>
      <c r="I633" t="s">
        <v>65</v>
      </c>
      <c r="J633">
        <v>23</v>
      </c>
      <c r="K633" s="4" t="str" cm="1">
        <f t="array" ref="K633">_xlfn.IFS(J633&lt;=5,"0-5",J633&lt;=10,"6-10",J633&lt;=15,"11-15",J633&lt;=20,"16-20",J633&gt;20,"21+")</f>
        <v>21+</v>
      </c>
      <c r="L633" t="s">
        <v>162</v>
      </c>
      <c r="M633" s="2" t="str">
        <f>SUBSTITUTE(L633,"$","")</f>
        <v>75</v>
      </c>
      <c r="N633" s="8">
        <f t="shared" si="124"/>
        <v>75</v>
      </c>
      <c r="O633">
        <v>1.4</v>
      </c>
      <c r="P633">
        <v>0</v>
      </c>
      <c r="Q633" t="s">
        <v>2072</v>
      </c>
    </row>
    <row r="634" spans="1:19" x14ac:dyDescent="0.3">
      <c r="A634" t="s">
        <v>1338</v>
      </c>
      <c r="B634" t="s">
        <v>1339</v>
      </c>
      <c r="C634" t="str">
        <f t="shared" si="131"/>
        <v>Christian Lane</v>
      </c>
      <c r="D634" t="s">
        <v>40</v>
      </c>
      <c r="E634" t="str">
        <f t="shared" si="123"/>
        <v>Male</v>
      </c>
      <c r="F634">
        <v>24</v>
      </c>
      <c r="G634" t="s">
        <v>127</v>
      </c>
      <c r="H634" t="s">
        <v>128</v>
      </c>
      <c r="I634" t="s">
        <v>15</v>
      </c>
      <c r="J634">
        <v>0</v>
      </c>
      <c r="K634" s="4" t="str" cm="1">
        <f t="array" ref="K634">_xlfn.IFS(J634&lt;=5,"0-5",J634&lt;=10,"6-10",J634&lt;=15,"11-15",J634&lt;=20,"16-20",J634&gt;20,"21+")</f>
        <v>0-5</v>
      </c>
      <c r="L634">
        <v>100</v>
      </c>
      <c r="M634" s="2">
        <f>L634</f>
        <v>100</v>
      </c>
      <c r="N634" s="8">
        <f t="shared" si="124"/>
        <v>100</v>
      </c>
      <c r="P634" t="s">
        <v>151</v>
      </c>
      <c r="Q634" t="s">
        <v>2072</v>
      </c>
    </row>
    <row r="635" spans="1:19" x14ac:dyDescent="0.3">
      <c r="A635" t="s">
        <v>1340</v>
      </c>
      <c r="B635" t="s">
        <v>1341</v>
      </c>
      <c r="C635" t="str">
        <f t="shared" si="131"/>
        <v>Todd Casey</v>
      </c>
      <c r="D635" t="s">
        <v>40</v>
      </c>
      <c r="E635" t="str">
        <f t="shared" si="123"/>
        <v>Male</v>
      </c>
      <c r="F635">
        <v>44</v>
      </c>
      <c r="G635" t="s">
        <v>34</v>
      </c>
      <c r="H635" t="s">
        <v>35</v>
      </c>
      <c r="I635" t="s">
        <v>106</v>
      </c>
      <c r="J635">
        <v>4</v>
      </c>
      <c r="K635" s="4" t="str" cm="1">
        <f t="array" ref="K635">_xlfn.IFS(J635&lt;=5,"0-5",J635&lt;=10,"6-10",J635&lt;=15,"11-15",J635&lt;=20,"16-20",J635&gt;20,"21+")</f>
        <v>0-5</v>
      </c>
      <c r="N635" s="8" t="str">
        <f t="shared" si="124"/>
        <v/>
      </c>
      <c r="O635">
        <v>1.3</v>
      </c>
      <c r="P635" t="s">
        <v>60</v>
      </c>
      <c r="Q635" t="s">
        <v>2073</v>
      </c>
      <c r="R635">
        <v>77</v>
      </c>
      <c r="S635" s="3">
        <f>R635/100</f>
        <v>0.77</v>
      </c>
    </row>
    <row r="636" spans="1:19" x14ac:dyDescent="0.3">
      <c r="A636" t="s">
        <v>1342</v>
      </c>
      <c r="B636" t="s">
        <v>1343</v>
      </c>
      <c r="C636" t="str">
        <f t="shared" si="131"/>
        <v>David Martinez</v>
      </c>
      <c r="D636" t="s">
        <v>53</v>
      </c>
      <c r="E636" t="str">
        <f t="shared" si="123"/>
        <v>Male</v>
      </c>
      <c r="F636">
        <v>52</v>
      </c>
      <c r="G636" t="s">
        <v>167</v>
      </c>
      <c r="H636" t="s">
        <v>168</v>
      </c>
      <c r="I636" t="s">
        <v>65</v>
      </c>
      <c r="J636">
        <v>4</v>
      </c>
      <c r="K636" s="4" t="str" cm="1">
        <f t="array" ref="K636">_xlfn.IFS(J636&lt;=5,"0-5",J636&lt;=10,"6-10",J636&lt;=15,"11-15",J636&lt;=20,"16-20",J636&gt;20,"21+")</f>
        <v>0-5</v>
      </c>
      <c r="L636">
        <v>75</v>
      </c>
      <c r="M636" s="2">
        <f>L636</f>
        <v>75</v>
      </c>
      <c r="N636" s="8">
        <f t="shared" si="124"/>
        <v>75</v>
      </c>
      <c r="O636">
        <v>2.2999999999999998</v>
      </c>
      <c r="P636">
        <v>1</v>
      </c>
      <c r="Q636" t="s">
        <v>2073</v>
      </c>
      <c r="R636" s="1">
        <v>0.79</v>
      </c>
      <c r="S636" s="3">
        <f t="shared" ref="S636:S644" si="138">R636</f>
        <v>0.79</v>
      </c>
    </row>
    <row r="637" spans="1:19" x14ac:dyDescent="0.3">
      <c r="A637" t="s">
        <v>1344</v>
      </c>
      <c r="B637" t="s">
        <v>1345</v>
      </c>
      <c r="C637" t="str">
        <f t="shared" si="131"/>
        <v>Donald Salas</v>
      </c>
      <c r="D637" t="s">
        <v>84</v>
      </c>
      <c r="E637" t="str">
        <f t="shared" si="123"/>
        <v>Male</v>
      </c>
      <c r="F637">
        <v>35</v>
      </c>
      <c r="G637" t="s">
        <v>182</v>
      </c>
      <c r="H637" t="s">
        <v>64</v>
      </c>
      <c r="I637" t="s">
        <v>106</v>
      </c>
      <c r="J637">
        <v>13</v>
      </c>
      <c r="K637" s="4" t="str" cm="1">
        <f t="array" ref="K637">_xlfn.IFS(J637&lt;=5,"0-5",J637&lt;=10,"6-10",J637&lt;=15,"11-15",J637&lt;=20,"16-20",J637&gt;20,"21+")</f>
        <v>11-15</v>
      </c>
      <c r="L637">
        <v>40</v>
      </c>
      <c r="M637" s="2">
        <f>L637</f>
        <v>40</v>
      </c>
      <c r="N637" s="8">
        <f t="shared" si="124"/>
        <v>40</v>
      </c>
      <c r="O637">
        <v>3.6</v>
      </c>
      <c r="P637">
        <v>0</v>
      </c>
      <c r="Q637" t="s">
        <v>2072</v>
      </c>
      <c r="R637" s="1">
        <v>0.83</v>
      </c>
      <c r="S637" s="3">
        <f t="shared" si="138"/>
        <v>0.83</v>
      </c>
    </row>
    <row r="638" spans="1:19" x14ac:dyDescent="0.3">
      <c r="A638" t="s">
        <v>1346</v>
      </c>
      <c r="B638" t="s">
        <v>1347</v>
      </c>
      <c r="C638" t="str">
        <f t="shared" si="131"/>
        <v>Emma Hicks</v>
      </c>
      <c r="D638" t="s">
        <v>69</v>
      </c>
      <c r="E638" t="str">
        <f t="shared" si="123"/>
        <v>Female</v>
      </c>
      <c r="F638">
        <v>24</v>
      </c>
      <c r="G638" t="s">
        <v>34</v>
      </c>
      <c r="H638" t="s">
        <v>35</v>
      </c>
      <c r="I638" t="s">
        <v>81</v>
      </c>
      <c r="J638">
        <v>2</v>
      </c>
      <c r="K638" s="4" t="str" cm="1">
        <f t="array" ref="K638">_xlfn.IFS(J638&lt;=5,"0-5",J638&lt;=10,"6-10",J638&lt;=15,"11-15",J638&lt;=20,"16-20",J638&gt;20,"21+")</f>
        <v>0-5</v>
      </c>
      <c r="L638" t="s">
        <v>56</v>
      </c>
      <c r="M638" s="2" t="str">
        <f>SUBSTITUTE(L638,"$","")</f>
        <v>50</v>
      </c>
      <c r="N638" s="8">
        <f t="shared" si="124"/>
        <v>50</v>
      </c>
      <c r="P638" t="s">
        <v>23</v>
      </c>
      <c r="Q638" t="s">
        <v>2072</v>
      </c>
      <c r="R638" s="1">
        <v>0.64</v>
      </c>
      <c r="S638" s="3">
        <f t="shared" si="138"/>
        <v>0.64</v>
      </c>
    </row>
    <row r="639" spans="1:19" x14ac:dyDescent="0.3">
      <c r="A639" t="s">
        <v>1348</v>
      </c>
      <c r="B639" t="s">
        <v>1349</v>
      </c>
      <c r="C639" t="str">
        <f t="shared" si="131"/>
        <v>Alison Clark</v>
      </c>
      <c r="D639" t="s">
        <v>12</v>
      </c>
      <c r="E639" t="str">
        <f t="shared" si="123"/>
        <v>Female</v>
      </c>
      <c r="F639">
        <v>46</v>
      </c>
      <c r="G639" t="s">
        <v>13</v>
      </c>
      <c r="H639" t="s">
        <v>14</v>
      </c>
      <c r="I639" t="s">
        <v>70</v>
      </c>
      <c r="J639">
        <v>25</v>
      </c>
      <c r="K639" s="4" t="str" cm="1">
        <f t="array" ref="K639">_xlfn.IFS(J639&lt;=5,"0-5",J639&lt;=10,"6-10",J639&lt;=15,"11-15",J639&lt;=20,"16-20",J639&gt;20,"21+")</f>
        <v>21+</v>
      </c>
      <c r="L639" t="s">
        <v>221</v>
      </c>
      <c r="M639" s="2" t="str">
        <f>SUBSTITUTE(L639,"$","")</f>
        <v>100</v>
      </c>
      <c r="N639" s="8">
        <f t="shared" si="124"/>
        <v>100</v>
      </c>
      <c r="O639">
        <v>1.3</v>
      </c>
      <c r="P639" t="s">
        <v>151</v>
      </c>
      <c r="Q639" t="s">
        <v>2072</v>
      </c>
      <c r="R639" s="1">
        <v>0.8</v>
      </c>
      <c r="S639" s="3">
        <f t="shared" si="138"/>
        <v>0.8</v>
      </c>
    </row>
    <row r="640" spans="1:19" x14ac:dyDescent="0.3">
      <c r="A640" t="s">
        <v>1350</v>
      </c>
      <c r="B640" t="s">
        <v>1351</v>
      </c>
      <c r="C640" t="str">
        <f t="shared" si="131"/>
        <v>Andrew Barnes</v>
      </c>
      <c r="D640" t="s">
        <v>84</v>
      </c>
      <c r="E640" t="str">
        <f t="shared" si="123"/>
        <v>Male</v>
      </c>
      <c r="F640">
        <v>57</v>
      </c>
      <c r="G640" t="s">
        <v>171</v>
      </c>
      <c r="H640" t="s">
        <v>64</v>
      </c>
      <c r="I640" t="s">
        <v>15</v>
      </c>
      <c r="J640">
        <v>18</v>
      </c>
      <c r="K640" s="4" t="str" cm="1">
        <f t="array" ref="K640">_xlfn.IFS(J640&lt;=5,"0-5",J640&lt;=10,"6-10",J640&lt;=15,"11-15",J640&lt;=20,"16-20",J640&gt;20,"21+")</f>
        <v>16-20</v>
      </c>
      <c r="L640" t="s">
        <v>101</v>
      </c>
      <c r="M640" s="2" t="str">
        <f>TRIM(MID(L640,FIND(" ",L640)+1,LEN(L640)))</f>
        <v>30</v>
      </c>
      <c r="N640" s="8">
        <f t="shared" si="124"/>
        <v>30</v>
      </c>
      <c r="O640">
        <v>1.1000000000000001</v>
      </c>
      <c r="P640" t="b">
        <v>0</v>
      </c>
      <c r="Q640" t="s">
        <v>2072</v>
      </c>
      <c r="R640" s="1">
        <v>0.9</v>
      </c>
      <c r="S640" s="3">
        <f t="shared" si="138"/>
        <v>0.9</v>
      </c>
    </row>
    <row r="641" spans="1:19" x14ac:dyDescent="0.3">
      <c r="A641" t="s">
        <v>1352</v>
      </c>
      <c r="B641" t="s">
        <v>1353</v>
      </c>
      <c r="C641" t="str">
        <f t="shared" si="131"/>
        <v>Gina Snyder</v>
      </c>
      <c r="D641" t="s">
        <v>26</v>
      </c>
      <c r="E641" t="str">
        <f t="shared" si="123"/>
        <v>Female</v>
      </c>
      <c r="F641">
        <v>49</v>
      </c>
      <c r="G641" t="s">
        <v>171</v>
      </c>
      <c r="H641" t="s">
        <v>64</v>
      </c>
      <c r="I641" t="s">
        <v>27</v>
      </c>
      <c r="J641">
        <v>24</v>
      </c>
      <c r="K641" s="4" t="str" cm="1">
        <f t="array" ref="K641">_xlfn.IFS(J641&lt;=5,"0-5",J641&lt;=10,"6-10",J641&lt;=15,"11-15",J641&lt;=20,"16-20",J641&gt;20,"21+")</f>
        <v>21+</v>
      </c>
      <c r="L641" t="s">
        <v>56</v>
      </c>
      <c r="M641" s="2" t="str">
        <f>SUBSTITUTE(L641,"$","")</f>
        <v>50</v>
      </c>
      <c r="N641" s="8">
        <f t="shared" si="124"/>
        <v>50</v>
      </c>
      <c r="O641">
        <v>0</v>
      </c>
      <c r="P641">
        <v>0</v>
      </c>
      <c r="Q641" t="s">
        <v>2072</v>
      </c>
      <c r="R641" s="1">
        <v>0.94</v>
      </c>
      <c r="S641" s="3">
        <f t="shared" si="138"/>
        <v>0.94</v>
      </c>
    </row>
    <row r="642" spans="1:19" x14ac:dyDescent="0.3">
      <c r="A642" t="s">
        <v>1354</v>
      </c>
      <c r="B642" t="s">
        <v>1355</v>
      </c>
      <c r="C642" t="str">
        <f t="shared" si="131"/>
        <v>David Watson</v>
      </c>
      <c r="D642" t="s">
        <v>53</v>
      </c>
      <c r="E642" t="str">
        <f t="shared" ref="E642:E705" si="139">IF(LOWER(LEFT(D642,1))="f","Female","Male")</f>
        <v>Male</v>
      </c>
      <c r="F642">
        <v>41</v>
      </c>
      <c r="G642" t="s">
        <v>77</v>
      </c>
      <c r="H642" t="s">
        <v>78</v>
      </c>
      <c r="I642" t="s">
        <v>36</v>
      </c>
      <c r="J642">
        <v>7</v>
      </c>
      <c r="K642" s="4" t="str" cm="1">
        <f t="array" ref="K642">_xlfn.IFS(J642&lt;=5,"0-5",J642&lt;=10,"6-10",J642&lt;=15,"11-15",J642&lt;=20,"16-20",J642&gt;20,"21+")</f>
        <v>6-10</v>
      </c>
      <c r="L642">
        <v>40</v>
      </c>
      <c r="M642" s="2">
        <f>L642</f>
        <v>40</v>
      </c>
      <c r="N642" s="8">
        <f t="shared" si="124"/>
        <v>40</v>
      </c>
      <c r="O642">
        <v>1.8</v>
      </c>
      <c r="P642" t="b">
        <v>0</v>
      </c>
      <c r="Q642" t="s">
        <v>2072</v>
      </c>
      <c r="R642" s="1">
        <v>0.7</v>
      </c>
      <c r="S642" s="3">
        <f t="shared" si="138"/>
        <v>0.7</v>
      </c>
    </row>
    <row r="643" spans="1:19" x14ac:dyDescent="0.3">
      <c r="A643" t="s">
        <v>1356</v>
      </c>
      <c r="B643" t="s">
        <v>1357</v>
      </c>
      <c r="C643" t="str">
        <f t="shared" si="131"/>
        <v>John Davis</v>
      </c>
      <c r="D643" t="s">
        <v>19</v>
      </c>
      <c r="E643" t="str">
        <f t="shared" si="139"/>
        <v>Male</v>
      </c>
      <c r="F643">
        <v>22</v>
      </c>
      <c r="G643" t="s">
        <v>171</v>
      </c>
      <c r="H643" t="s">
        <v>64</v>
      </c>
      <c r="I643" t="s">
        <v>106</v>
      </c>
      <c r="J643">
        <v>1</v>
      </c>
      <c r="K643" s="4" t="str" cm="1">
        <f t="array" ref="K643">_xlfn.IFS(J643&lt;=5,"0-5",J643&lt;=10,"6-10",J643&lt;=15,"11-15",J643&lt;=20,"16-20",J643&gt;20,"21+")</f>
        <v>0-5</v>
      </c>
      <c r="L643" t="s">
        <v>306</v>
      </c>
      <c r="M643" s="2" t="str">
        <f>TRIM(MID(L643,FIND(" ",L643)+1,LEN(L643)))</f>
        <v>20</v>
      </c>
      <c r="N643" s="8">
        <f t="shared" ref="N643:N706" si="140">IF(M643="", "", VALUE(M643))</f>
        <v>20</v>
      </c>
      <c r="P643" t="s">
        <v>60</v>
      </c>
      <c r="Q643" t="s">
        <v>2073</v>
      </c>
      <c r="R643" s="1">
        <v>0.75</v>
      </c>
      <c r="S643" s="3">
        <f t="shared" si="138"/>
        <v>0.75</v>
      </c>
    </row>
    <row r="644" spans="1:19" x14ac:dyDescent="0.3">
      <c r="A644" t="s">
        <v>1358</v>
      </c>
      <c r="B644" t="s">
        <v>1359</v>
      </c>
      <c r="C644" t="str">
        <f t="shared" si="131"/>
        <v>Joseph Thomas</v>
      </c>
      <c r="D644" t="s">
        <v>19</v>
      </c>
      <c r="E644" t="str">
        <f t="shared" si="139"/>
        <v>Male</v>
      </c>
      <c r="F644">
        <v>50</v>
      </c>
      <c r="G644" t="s">
        <v>13</v>
      </c>
      <c r="H644" t="s">
        <v>14</v>
      </c>
      <c r="I644" t="s">
        <v>9</v>
      </c>
      <c r="J644">
        <v>17</v>
      </c>
      <c r="K644" s="4" t="str" cm="1">
        <f t="array" ref="K644">_xlfn.IFS(J644&lt;=5,"0-5",J644&lt;=10,"6-10",J644&lt;=15,"11-15",J644&lt;=20,"16-20",J644&gt;20,"21+")</f>
        <v>16-20</v>
      </c>
      <c r="L644">
        <v>75</v>
      </c>
      <c r="M644" s="2">
        <f>L644</f>
        <v>75</v>
      </c>
      <c r="N644" s="8">
        <f t="shared" si="140"/>
        <v>75</v>
      </c>
      <c r="O644">
        <v>3.3</v>
      </c>
      <c r="P644">
        <v>1</v>
      </c>
      <c r="Q644" t="s">
        <v>2073</v>
      </c>
      <c r="R644" s="1">
        <v>0.69</v>
      </c>
      <c r="S644" s="3">
        <f t="shared" si="138"/>
        <v>0.69</v>
      </c>
    </row>
    <row r="645" spans="1:19" x14ac:dyDescent="0.3">
      <c r="A645" t="s">
        <v>1360</v>
      </c>
      <c r="B645" t="s">
        <v>1361</v>
      </c>
      <c r="C645" t="str">
        <f t="shared" si="131"/>
        <v>Dean Finley</v>
      </c>
      <c r="D645" t="s">
        <v>19</v>
      </c>
      <c r="E645" t="str">
        <f t="shared" si="139"/>
        <v>Male</v>
      </c>
      <c r="F645">
        <v>57</v>
      </c>
      <c r="G645" t="s">
        <v>20</v>
      </c>
      <c r="H645" t="s">
        <v>21</v>
      </c>
      <c r="I645" t="s">
        <v>22</v>
      </c>
      <c r="J645">
        <v>4</v>
      </c>
      <c r="K645" s="4" t="str" cm="1">
        <f t="array" ref="K645">_xlfn.IFS(J645&lt;=5,"0-5",J645&lt;=10,"6-10",J645&lt;=15,"11-15",J645&lt;=20,"16-20",J645&gt;20,"21+")</f>
        <v>0-5</v>
      </c>
      <c r="L645" t="s">
        <v>101</v>
      </c>
      <c r="M645" s="2" t="str">
        <f>TRIM(MID(L645,FIND(" ",L645)+1,LEN(L645)))</f>
        <v>30</v>
      </c>
      <c r="N645" s="8">
        <f t="shared" si="140"/>
        <v>30</v>
      </c>
      <c r="O645">
        <v>4.2</v>
      </c>
      <c r="P645">
        <v>0</v>
      </c>
      <c r="Q645" t="s">
        <v>2072</v>
      </c>
    </row>
    <row r="646" spans="1:19" x14ac:dyDescent="0.3">
      <c r="A646" t="s">
        <v>1362</v>
      </c>
      <c r="B646" t="s">
        <v>1363</v>
      </c>
      <c r="C646" t="str">
        <f t="shared" si="131"/>
        <v>Ashley Kemp</v>
      </c>
      <c r="D646" t="s">
        <v>12</v>
      </c>
      <c r="E646" t="str">
        <f t="shared" si="139"/>
        <v>Female</v>
      </c>
      <c r="F646">
        <v>47</v>
      </c>
      <c r="G646" t="s">
        <v>171</v>
      </c>
      <c r="H646" t="s">
        <v>64</v>
      </c>
      <c r="I646" t="s">
        <v>36</v>
      </c>
      <c r="J646">
        <v>29</v>
      </c>
      <c r="K646" s="4" t="str" cm="1">
        <f t="array" ref="K646">_xlfn.IFS(J646&lt;=5,"0-5",J646&lt;=10,"6-10",J646&lt;=15,"11-15",J646&lt;=20,"16-20",J646&gt;20,"21+")</f>
        <v>21+</v>
      </c>
      <c r="L646" t="s">
        <v>56</v>
      </c>
      <c r="M646" s="2" t="str">
        <f>SUBSTITUTE(L646,"$","")</f>
        <v>50</v>
      </c>
      <c r="N646" s="8">
        <f t="shared" si="140"/>
        <v>50</v>
      </c>
      <c r="P646">
        <v>1</v>
      </c>
      <c r="Q646" t="s">
        <v>2073</v>
      </c>
      <c r="R646" s="1">
        <v>0.79</v>
      </c>
      <c r="S646" s="3">
        <f t="shared" ref="S646:S650" si="141">R646</f>
        <v>0.79</v>
      </c>
    </row>
    <row r="647" spans="1:19" x14ac:dyDescent="0.3">
      <c r="A647" t="s">
        <v>1364</v>
      </c>
      <c r="B647" t="s">
        <v>1365</v>
      </c>
      <c r="C647" t="str">
        <f t="shared" si="131"/>
        <v>Kenneth Evans</v>
      </c>
      <c r="D647" t="s">
        <v>84</v>
      </c>
      <c r="E647" t="str">
        <f t="shared" si="139"/>
        <v>Male</v>
      </c>
      <c r="F647">
        <v>24</v>
      </c>
      <c r="G647" t="s">
        <v>145</v>
      </c>
      <c r="H647" t="s">
        <v>146</v>
      </c>
      <c r="I647" t="s">
        <v>43</v>
      </c>
      <c r="J647">
        <v>2</v>
      </c>
      <c r="K647" s="4" t="str" cm="1">
        <f t="array" ref="K647">_xlfn.IFS(J647&lt;=5,"0-5",J647&lt;=10,"6-10",J647&lt;=15,"11-15",J647&lt;=20,"16-20",J647&gt;20,"21+")</f>
        <v>0-5</v>
      </c>
      <c r="L647" t="s">
        <v>221</v>
      </c>
      <c r="M647" s="2" t="str">
        <f>SUBSTITUTE(L647,"$","")</f>
        <v>100</v>
      </c>
      <c r="N647" s="8">
        <f t="shared" si="140"/>
        <v>100</v>
      </c>
      <c r="O647">
        <v>3.8</v>
      </c>
      <c r="P647">
        <v>1</v>
      </c>
      <c r="Q647" t="s">
        <v>2073</v>
      </c>
      <c r="R647" s="1">
        <v>0.71</v>
      </c>
      <c r="S647" s="3">
        <f t="shared" si="141"/>
        <v>0.71</v>
      </c>
    </row>
    <row r="648" spans="1:19" x14ac:dyDescent="0.3">
      <c r="A648" t="s">
        <v>1366</v>
      </c>
      <c r="B648" t="s">
        <v>1367</v>
      </c>
      <c r="C648" t="str">
        <f t="shared" si="131"/>
        <v>Brandon Newman</v>
      </c>
      <c r="D648" t="s">
        <v>19</v>
      </c>
      <c r="E648" t="str">
        <f t="shared" si="139"/>
        <v>Male</v>
      </c>
      <c r="G648" t="s">
        <v>85</v>
      </c>
      <c r="H648" t="s">
        <v>86</v>
      </c>
      <c r="I648" t="s">
        <v>70</v>
      </c>
      <c r="J648">
        <v>9</v>
      </c>
      <c r="K648" s="4" t="str" cm="1">
        <f t="array" ref="K648">_xlfn.IFS(J648&lt;=5,"0-5",J648&lt;=10,"6-10",J648&lt;=15,"11-15",J648&lt;=20,"16-20",J648&gt;20,"21+")</f>
        <v>6-10</v>
      </c>
      <c r="L648">
        <v>100</v>
      </c>
      <c r="M648" s="2">
        <f>L648</f>
        <v>100</v>
      </c>
      <c r="N648" s="8">
        <f t="shared" si="140"/>
        <v>100</v>
      </c>
      <c r="O648">
        <v>4.8</v>
      </c>
      <c r="P648" t="s">
        <v>66</v>
      </c>
      <c r="Q648" t="s">
        <v>2073</v>
      </c>
      <c r="R648" s="1">
        <v>0.72</v>
      </c>
      <c r="S648" s="3">
        <f t="shared" si="141"/>
        <v>0.72</v>
      </c>
    </row>
    <row r="649" spans="1:19" x14ac:dyDescent="0.3">
      <c r="A649" t="s">
        <v>1368</v>
      </c>
      <c r="B649" t="s">
        <v>1369</v>
      </c>
      <c r="C649" t="str">
        <f t="shared" si="131"/>
        <v>Katie Hensley</v>
      </c>
      <c r="D649" t="s">
        <v>12</v>
      </c>
      <c r="E649" t="str">
        <f t="shared" si="139"/>
        <v>Female</v>
      </c>
      <c r="F649">
        <v>50</v>
      </c>
      <c r="G649" t="s">
        <v>20</v>
      </c>
      <c r="H649" t="s">
        <v>21</v>
      </c>
      <c r="I649" t="s">
        <v>81</v>
      </c>
      <c r="J649">
        <v>10</v>
      </c>
      <c r="K649" s="4" t="str" cm="1">
        <f t="array" ref="K649">_xlfn.IFS(J649&lt;=5,"0-5",J649&lt;=10,"6-10",J649&lt;=15,"11-15",J649&lt;=20,"16-20",J649&gt;20,"21+")</f>
        <v>6-10</v>
      </c>
      <c r="L649" t="s">
        <v>221</v>
      </c>
      <c r="M649" s="2" t="str">
        <f>SUBSTITUTE(L649,"$","")</f>
        <v>100</v>
      </c>
      <c r="N649" s="8">
        <f t="shared" si="140"/>
        <v>100</v>
      </c>
      <c r="O649">
        <v>4.3</v>
      </c>
      <c r="P649" t="s">
        <v>23</v>
      </c>
      <c r="Q649" t="s">
        <v>2072</v>
      </c>
      <c r="R649" s="1">
        <v>0.93</v>
      </c>
      <c r="S649" s="3">
        <f t="shared" si="141"/>
        <v>0.93</v>
      </c>
    </row>
    <row r="650" spans="1:19" x14ac:dyDescent="0.3">
      <c r="A650" t="s">
        <v>1370</v>
      </c>
      <c r="B650" t="s">
        <v>1371</v>
      </c>
      <c r="C650" t="str">
        <f t="shared" si="131"/>
        <v>Joel Randolph</v>
      </c>
      <c r="D650" t="s">
        <v>84</v>
      </c>
      <c r="E650" t="str">
        <f t="shared" si="139"/>
        <v>Male</v>
      </c>
      <c r="F650">
        <v>46</v>
      </c>
      <c r="G650" t="s">
        <v>99</v>
      </c>
      <c r="H650" t="s">
        <v>100</v>
      </c>
      <c r="I650" t="s">
        <v>106</v>
      </c>
      <c r="J650">
        <v>20</v>
      </c>
      <c r="K650" s="4" t="str" cm="1">
        <f t="array" ref="K650">_xlfn.IFS(J650&lt;=5,"0-5",J650&lt;=10,"6-10",J650&lt;=15,"11-15",J650&lt;=20,"16-20",J650&gt;20,"21+")</f>
        <v>16-20</v>
      </c>
      <c r="N650" s="8" t="str">
        <f t="shared" si="140"/>
        <v/>
      </c>
      <c r="O650">
        <v>4.8</v>
      </c>
      <c r="P650">
        <v>1</v>
      </c>
      <c r="Q650" t="s">
        <v>2073</v>
      </c>
      <c r="R650" s="1">
        <v>0.82</v>
      </c>
      <c r="S650" s="3">
        <f t="shared" si="141"/>
        <v>0.82</v>
      </c>
    </row>
    <row r="651" spans="1:19" x14ac:dyDescent="0.3">
      <c r="A651" t="s">
        <v>1372</v>
      </c>
      <c r="B651" t="s">
        <v>1373</v>
      </c>
      <c r="C651" t="str">
        <f t="shared" si="131"/>
        <v>Andrew Scott</v>
      </c>
      <c r="D651" t="s">
        <v>19</v>
      </c>
      <c r="E651" t="str">
        <f t="shared" si="139"/>
        <v>Male</v>
      </c>
      <c r="F651">
        <v>51</v>
      </c>
      <c r="G651" t="s">
        <v>13</v>
      </c>
      <c r="H651" t="s">
        <v>14</v>
      </c>
      <c r="I651" t="s">
        <v>70</v>
      </c>
      <c r="J651">
        <v>9</v>
      </c>
      <c r="K651" s="4" t="str" cm="1">
        <f t="array" ref="K651">_xlfn.IFS(J651&lt;=5,"0-5",J651&lt;=10,"6-10",J651&lt;=15,"11-15",J651&lt;=20,"16-20",J651&gt;20,"21+")</f>
        <v>6-10</v>
      </c>
      <c r="L651" t="s">
        <v>28</v>
      </c>
      <c r="M651" s="2" t="str">
        <f>SUBSTITUTE(L651,"$","")</f>
        <v>40</v>
      </c>
      <c r="N651" s="8">
        <f t="shared" si="140"/>
        <v>40</v>
      </c>
      <c r="P651" t="s">
        <v>23</v>
      </c>
      <c r="Q651" t="s">
        <v>2072</v>
      </c>
      <c r="R651">
        <v>60</v>
      </c>
      <c r="S651" s="3">
        <f t="shared" ref="S651:S652" si="142">R651/100</f>
        <v>0.6</v>
      </c>
    </row>
    <row r="652" spans="1:19" x14ac:dyDescent="0.3">
      <c r="A652" t="s">
        <v>1374</v>
      </c>
      <c r="B652" t="s">
        <v>1375</v>
      </c>
      <c r="C652" t="str">
        <f t="shared" si="131"/>
        <v>Zachary Ochoa</v>
      </c>
      <c r="D652" t="s">
        <v>53</v>
      </c>
      <c r="E652" t="str">
        <f t="shared" si="139"/>
        <v>Male</v>
      </c>
      <c r="F652">
        <v>51</v>
      </c>
      <c r="G652" t="s">
        <v>59</v>
      </c>
      <c r="H652" t="s">
        <v>14</v>
      </c>
      <c r="I652" t="s">
        <v>36</v>
      </c>
      <c r="J652">
        <v>12</v>
      </c>
      <c r="K652" s="4" t="str" cm="1">
        <f t="array" ref="K652">_xlfn.IFS(J652&lt;=5,"0-5",J652&lt;=10,"6-10",J652&lt;=15,"11-15",J652&lt;=20,"16-20",J652&gt;20,"21+")</f>
        <v>11-15</v>
      </c>
      <c r="L652">
        <v>20</v>
      </c>
      <c r="M652" s="2">
        <f>L652</f>
        <v>20</v>
      </c>
      <c r="N652" s="8">
        <f t="shared" si="140"/>
        <v>20</v>
      </c>
      <c r="O652">
        <v>4</v>
      </c>
      <c r="P652">
        <v>0</v>
      </c>
      <c r="Q652" t="s">
        <v>2072</v>
      </c>
      <c r="R652">
        <v>93</v>
      </c>
      <c r="S652" s="3">
        <f t="shared" si="142"/>
        <v>0.93</v>
      </c>
    </row>
    <row r="653" spans="1:19" x14ac:dyDescent="0.3">
      <c r="A653" t="s">
        <v>1376</v>
      </c>
      <c r="B653" t="s">
        <v>1377</v>
      </c>
      <c r="C653" t="str">
        <f t="shared" si="131"/>
        <v>John Arroyo</v>
      </c>
      <c r="D653" t="s">
        <v>40</v>
      </c>
      <c r="E653" t="str">
        <f t="shared" si="139"/>
        <v>Male</v>
      </c>
      <c r="F653">
        <v>27</v>
      </c>
      <c r="G653" t="s">
        <v>59</v>
      </c>
      <c r="H653" t="s">
        <v>14</v>
      </c>
      <c r="I653" t="s">
        <v>36</v>
      </c>
      <c r="J653">
        <v>3</v>
      </c>
      <c r="K653" s="4" t="str" cm="1">
        <f t="array" ref="K653">_xlfn.IFS(J653&lt;=5,"0-5",J653&lt;=10,"6-10",J653&lt;=15,"11-15",J653&lt;=20,"16-20",J653&gt;20,"21+")</f>
        <v>0-5</v>
      </c>
      <c r="L653" t="s">
        <v>90</v>
      </c>
      <c r="M653" s="2" t="str">
        <f>TRIM(MID(L653,FIND(" ",L653)+1,LEN(L653)))</f>
        <v>50</v>
      </c>
      <c r="N653" s="8">
        <f t="shared" si="140"/>
        <v>50</v>
      </c>
      <c r="P653" t="b">
        <v>0</v>
      </c>
      <c r="Q653" t="s">
        <v>2072</v>
      </c>
    </row>
    <row r="654" spans="1:19" x14ac:dyDescent="0.3">
      <c r="A654" t="s">
        <v>1378</v>
      </c>
      <c r="B654" t="s">
        <v>1379</v>
      </c>
      <c r="C654" t="str">
        <f t="shared" si="131"/>
        <v>Matthew Fernandez</v>
      </c>
      <c r="D654" t="s">
        <v>53</v>
      </c>
      <c r="E654" t="str">
        <f t="shared" si="139"/>
        <v>Male</v>
      </c>
      <c r="F654">
        <v>42</v>
      </c>
      <c r="G654" t="s">
        <v>182</v>
      </c>
      <c r="H654" t="s">
        <v>64</v>
      </c>
      <c r="I654" t="s">
        <v>27</v>
      </c>
      <c r="J654">
        <v>13</v>
      </c>
      <c r="K654" s="4" t="str" cm="1">
        <f t="array" ref="K654">_xlfn.IFS(J654&lt;=5,"0-5",J654&lt;=10,"6-10",J654&lt;=15,"11-15",J654&lt;=20,"16-20",J654&gt;20,"21+")</f>
        <v>11-15</v>
      </c>
      <c r="L654">
        <v>30</v>
      </c>
      <c r="M654" s="2">
        <f>L654</f>
        <v>30</v>
      </c>
      <c r="N654" s="8">
        <f t="shared" si="140"/>
        <v>30</v>
      </c>
      <c r="O654">
        <v>0</v>
      </c>
      <c r="P654" t="b">
        <v>0</v>
      </c>
      <c r="Q654" t="s">
        <v>2072</v>
      </c>
      <c r="R654" s="1">
        <v>0.74</v>
      </c>
      <c r="S654" s="3">
        <f>R654</f>
        <v>0.74</v>
      </c>
    </row>
    <row r="655" spans="1:19" x14ac:dyDescent="0.3">
      <c r="A655" t="s">
        <v>1380</v>
      </c>
      <c r="B655" t="s">
        <v>1381</v>
      </c>
      <c r="C655" t="str">
        <f t="shared" si="131"/>
        <v>Benjamin Stark</v>
      </c>
      <c r="D655" t="s">
        <v>53</v>
      </c>
      <c r="E655" t="str">
        <f t="shared" si="139"/>
        <v>Male</v>
      </c>
      <c r="F655">
        <v>25</v>
      </c>
      <c r="G655" t="s">
        <v>20</v>
      </c>
      <c r="H655" t="s">
        <v>21</v>
      </c>
      <c r="I655" t="s">
        <v>65</v>
      </c>
      <c r="J655">
        <v>4</v>
      </c>
      <c r="K655" s="4" t="str" cm="1">
        <f t="array" ref="K655">_xlfn.IFS(J655&lt;=5,"0-5",J655&lt;=10,"6-10",J655&lt;=15,"11-15",J655&lt;=20,"16-20",J655&gt;20,"21+")</f>
        <v>0-5</v>
      </c>
      <c r="L655" t="s">
        <v>28</v>
      </c>
      <c r="M655" s="2" t="str">
        <f>SUBSTITUTE(L655,"$","")</f>
        <v>40</v>
      </c>
      <c r="N655" s="8">
        <f t="shared" si="140"/>
        <v>40</v>
      </c>
      <c r="O655">
        <v>2.2999999999999998</v>
      </c>
      <c r="P655" t="s">
        <v>60</v>
      </c>
      <c r="Q655" t="s">
        <v>2073</v>
      </c>
      <c r="R655">
        <v>73</v>
      </c>
      <c r="S655" s="3">
        <f>R655/100</f>
        <v>0.73</v>
      </c>
    </row>
    <row r="656" spans="1:19" x14ac:dyDescent="0.3">
      <c r="A656" t="s">
        <v>1382</v>
      </c>
      <c r="B656" t="s">
        <v>1383</v>
      </c>
      <c r="C656" t="str">
        <f t="shared" si="131"/>
        <v>Tammy Greer</v>
      </c>
      <c r="D656" t="s">
        <v>69</v>
      </c>
      <c r="E656" t="str">
        <f t="shared" si="139"/>
        <v>Female</v>
      </c>
      <c r="F656">
        <v>32</v>
      </c>
      <c r="G656" t="s">
        <v>20</v>
      </c>
      <c r="H656" t="s">
        <v>21</v>
      </c>
      <c r="I656" t="s">
        <v>43</v>
      </c>
      <c r="J656">
        <v>9</v>
      </c>
      <c r="K656" s="4" t="str" cm="1">
        <f t="array" ref="K656">_xlfn.IFS(J656&lt;=5,"0-5",J656&lt;=10,"6-10",J656&lt;=15,"11-15",J656&lt;=20,"16-20",J656&gt;20,"21+")</f>
        <v>6-10</v>
      </c>
      <c r="L656">
        <v>75</v>
      </c>
      <c r="M656" s="2">
        <f>L656</f>
        <v>75</v>
      </c>
      <c r="N656" s="8">
        <f t="shared" si="140"/>
        <v>75</v>
      </c>
      <c r="P656" t="s">
        <v>23</v>
      </c>
      <c r="Q656" t="s">
        <v>2072</v>
      </c>
      <c r="R656" s="1">
        <v>0.96</v>
      </c>
      <c r="S656" s="3">
        <f t="shared" ref="S656:S661" si="143">R656</f>
        <v>0.96</v>
      </c>
    </row>
    <row r="657" spans="1:19" x14ac:dyDescent="0.3">
      <c r="A657" t="s">
        <v>1384</v>
      </c>
      <c r="B657" t="s">
        <v>1385</v>
      </c>
      <c r="C657" t="str">
        <f t="shared" si="131"/>
        <v>Cynthia Mckinney</v>
      </c>
      <c r="D657" t="s">
        <v>31</v>
      </c>
      <c r="E657" t="str">
        <f t="shared" si="139"/>
        <v>Female</v>
      </c>
      <c r="F657">
        <v>59</v>
      </c>
      <c r="G657" t="s">
        <v>120</v>
      </c>
      <c r="H657" t="s">
        <v>14</v>
      </c>
      <c r="I657" t="s">
        <v>22</v>
      </c>
      <c r="J657">
        <v>14</v>
      </c>
      <c r="K657" s="4" t="str" cm="1">
        <f t="array" ref="K657">_xlfn.IFS(J657&lt;=5,"0-5",J657&lt;=10,"6-10",J657&lt;=15,"11-15",J657&lt;=20,"16-20",J657&gt;20,"21+")</f>
        <v>11-15</v>
      </c>
      <c r="L657">
        <v>30</v>
      </c>
      <c r="M657" s="2">
        <f>L657</f>
        <v>30</v>
      </c>
      <c r="N657" s="8">
        <f t="shared" si="140"/>
        <v>30</v>
      </c>
      <c r="O657">
        <v>3.8</v>
      </c>
      <c r="R657" s="1">
        <v>0.66</v>
      </c>
      <c r="S657" s="3">
        <f t="shared" si="143"/>
        <v>0.66</v>
      </c>
    </row>
    <row r="658" spans="1:19" x14ac:dyDescent="0.3">
      <c r="A658" t="s">
        <v>1386</v>
      </c>
      <c r="B658" t="s">
        <v>1387</v>
      </c>
      <c r="C658" t="str">
        <f t="shared" si="131"/>
        <v>Wendy Rice</v>
      </c>
      <c r="D658" t="s">
        <v>12</v>
      </c>
      <c r="E658" t="str">
        <f t="shared" si="139"/>
        <v>Female</v>
      </c>
      <c r="F658">
        <v>59</v>
      </c>
      <c r="G658" t="s">
        <v>127</v>
      </c>
      <c r="H658" t="s">
        <v>128</v>
      </c>
      <c r="I658" t="s">
        <v>70</v>
      </c>
      <c r="J658">
        <v>37</v>
      </c>
      <c r="K658" s="4" t="str" cm="1">
        <f t="array" ref="K658">_xlfn.IFS(J658&lt;=5,"0-5",J658&lt;=10,"6-10",J658&lt;=15,"11-15",J658&lt;=20,"16-20",J658&gt;20,"21+")</f>
        <v>21+</v>
      </c>
      <c r="L658">
        <v>30</v>
      </c>
      <c r="M658" s="2">
        <f>L658</f>
        <v>30</v>
      </c>
      <c r="N658" s="8">
        <f t="shared" si="140"/>
        <v>30</v>
      </c>
      <c r="O658">
        <v>4</v>
      </c>
      <c r="P658" t="b">
        <v>0</v>
      </c>
      <c r="Q658" t="s">
        <v>2072</v>
      </c>
      <c r="R658" s="1">
        <v>0.62</v>
      </c>
      <c r="S658" s="3">
        <f t="shared" si="143"/>
        <v>0.62</v>
      </c>
    </row>
    <row r="659" spans="1:19" x14ac:dyDescent="0.3">
      <c r="A659" t="s">
        <v>1388</v>
      </c>
      <c r="B659" t="s">
        <v>1389</v>
      </c>
      <c r="C659" t="str">
        <f t="shared" si="131"/>
        <v>Randy Bender</v>
      </c>
      <c r="D659" t="s">
        <v>89</v>
      </c>
      <c r="E659" t="str">
        <f t="shared" si="139"/>
        <v>Male</v>
      </c>
      <c r="F659">
        <v>29</v>
      </c>
      <c r="G659" t="s">
        <v>20</v>
      </c>
      <c r="H659" t="s">
        <v>21</v>
      </c>
      <c r="I659" t="s">
        <v>22</v>
      </c>
      <c r="J659">
        <v>2</v>
      </c>
      <c r="K659" s="4" t="str" cm="1">
        <f t="array" ref="K659">_xlfn.IFS(J659&lt;=5,"0-5",J659&lt;=10,"6-10",J659&lt;=15,"11-15",J659&lt;=20,"16-20",J659&gt;20,"21+")</f>
        <v>0-5</v>
      </c>
      <c r="L659" t="s">
        <v>44</v>
      </c>
      <c r="M659" s="2" t="str">
        <f>TRIM(MID(L659,FIND(" ",L659)+1,LEN(L659)))</f>
        <v>75</v>
      </c>
      <c r="N659" s="8">
        <f t="shared" si="140"/>
        <v>75</v>
      </c>
      <c r="O659">
        <v>2.2000000000000002</v>
      </c>
      <c r="P659" t="s">
        <v>66</v>
      </c>
      <c r="Q659" t="s">
        <v>2073</v>
      </c>
      <c r="R659" s="1">
        <v>0.85</v>
      </c>
      <c r="S659" s="3">
        <f t="shared" si="143"/>
        <v>0.85</v>
      </c>
    </row>
    <row r="660" spans="1:19" x14ac:dyDescent="0.3">
      <c r="A660" t="s">
        <v>1390</v>
      </c>
      <c r="B660" t="s">
        <v>1391</v>
      </c>
      <c r="C660" t="str">
        <f t="shared" si="131"/>
        <v>Richard Dominguez</v>
      </c>
      <c r="D660" t="s">
        <v>53</v>
      </c>
      <c r="E660" t="str">
        <f t="shared" si="139"/>
        <v>Male</v>
      </c>
      <c r="F660">
        <v>58</v>
      </c>
      <c r="G660" t="s">
        <v>167</v>
      </c>
      <c r="H660" t="s">
        <v>168</v>
      </c>
      <c r="I660" t="s">
        <v>36</v>
      </c>
      <c r="J660">
        <v>11</v>
      </c>
      <c r="K660" s="4" t="str" cm="1">
        <f t="array" ref="K660">_xlfn.IFS(J660&lt;=5,"0-5",J660&lt;=10,"6-10",J660&lt;=15,"11-15",J660&lt;=20,"16-20",J660&gt;20,"21+")</f>
        <v>11-15</v>
      </c>
      <c r="L660">
        <v>100</v>
      </c>
      <c r="M660" s="2">
        <f>L660</f>
        <v>100</v>
      </c>
      <c r="N660" s="8">
        <f t="shared" si="140"/>
        <v>100</v>
      </c>
      <c r="O660">
        <v>4.3</v>
      </c>
      <c r="P660">
        <v>0</v>
      </c>
      <c r="Q660" t="s">
        <v>2072</v>
      </c>
      <c r="R660" s="1">
        <v>0.66</v>
      </c>
      <c r="S660" s="3">
        <f t="shared" si="143"/>
        <v>0.66</v>
      </c>
    </row>
    <row r="661" spans="1:19" x14ac:dyDescent="0.3">
      <c r="A661" t="s">
        <v>1392</v>
      </c>
      <c r="B661" t="s">
        <v>1393</v>
      </c>
      <c r="C661" t="str">
        <f t="shared" si="131"/>
        <v>Melissa Maldonado</v>
      </c>
      <c r="D661" t="s">
        <v>6</v>
      </c>
      <c r="E661" t="str">
        <f t="shared" si="139"/>
        <v>Female</v>
      </c>
      <c r="F661">
        <v>56</v>
      </c>
      <c r="G661" t="s">
        <v>120</v>
      </c>
      <c r="H661" t="s">
        <v>14</v>
      </c>
      <c r="I661" t="s">
        <v>70</v>
      </c>
      <c r="J661">
        <v>19</v>
      </c>
      <c r="K661" s="4" t="str" cm="1">
        <f t="array" ref="K661">_xlfn.IFS(J661&lt;=5,"0-5",J661&lt;=10,"6-10",J661&lt;=15,"11-15",J661&lt;=20,"16-20",J661&gt;20,"21+")</f>
        <v>16-20</v>
      </c>
      <c r="L661">
        <v>20</v>
      </c>
      <c r="M661" s="2">
        <f>L661</f>
        <v>20</v>
      </c>
      <c r="N661" s="8">
        <f t="shared" si="140"/>
        <v>20</v>
      </c>
      <c r="O661">
        <v>0</v>
      </c>
      <c r="P661">
        <v>0</v>
      </c>
      <c r="Q661" t="s">
        <v>2072</v>
      </c>
      <c r="R661" s="1">
        <v>0.87</v>
      </c>
      <c r="S661" s="3">
        <f t="shared" si="143"/>
        <v>0.87</v>
      </c>
    </row>
    <row r="662" spans="1:19" x14ac:dyDescent="0.3">
      <c r="A662" t="s">
        <v>1394</v>
      </c>
      <c r="B662" t="s">
        <v>1395</v>
      </c>
      <c r="C662" t="str">
        <f t="shared" si="131"/>
        <v>Leah Harris</v>
      </c>
      <c r="D662" t="s">
        <v>26</v>
      </c>
      <c r="E662" t="str">
        <f t="shared" si="139"/>
        <v>Female</v>
      </c>
      <c r="F662">
        <v>36</v>
      </c>
      <c r="G662" t="s">
        <v>50</v>
      </c>
      <c r="H662" t="s">
        <v>14</v>
      </c>
      <c r="I662" t="s">
        <v>106</v>
      </c>
      <c r="J662">
        <v>9</v>
      </c>
      <c r="K662" s="4" t="str" cm="1">
        <f t="array" ref="K662">_xlfn.IFS(J662&lt;=5,"0-5",J662&lt;=10,"6-10",J662&lt;=15,"11-15",J662&lt;=20,"16-20",J662&gt;20,"21+")</f>
        <v>6-10</v>
      </c>
      <c r="L662">
        <v>20</v>
      </c>
      <c r="M662" s="2">
        <f>L662</f>
        <v>20</v>
      </c>
      <c r="N662" s="8">
        <f t="shared" si="140"/>
        <v>20</v>
      </c>
      <c r="O662">
        <v>0</v>
      </c>
      <c r="P662">
        <v>1</v>
      </c>
      <c r="Q662" t="s">
        <v>2073</v>
      </c>
      <c r="R662">
        <v>68</v>
      </c>
      <c r="S662" s="3">
        <f>R662/100</f>
        <v>0.68</v>
      </c>
    </row>
    <row r="663" spans="1:19" x14ac:dyDescent="0.3">
      <c r="A663" t="s">
        <v>1396</v>
      </c>
      <c r="B663" t="s">
        <v>1397</v>
      </c>
      <c r="C663" t="str">
        <f t="shared" si="131"/>
        <v>Lynn French</v>
      </c>
      <c r="D663" t="s">
        <v>69</v>
      </c>
      <c r="E663" t="str">
        <f t="shared" si="139"/>
        <v>Female</v>
      </c>
      <c r="F663">
        <v>52</v>
      </c>
      <c r="G663" t="s">
        <v>120</v>
      </c>
      <c r="H663" t="s">
        <v>14</v>
      </c>
      <c r="I663" t="s">
        <v>65</v>
      </c>
      <c r="J663">
        <v>16</v>
      </c>
      <c r="K663" s="4" t="str" cm="1">
        <f t="array" ref="K663">_xlfn.IFS(J663&lt;=5,"0-5",J663&lt;=10,"6-10",J663&lt;=15,"11-15",J663&lt;=20,"16-20",J663&gt;20,"21+")</f>
        <v>16-20</v>
      </c>
      <c r="L663">
        <v>100</v>
      </c>
      <c r="M663" s="2">
        <f>L663</f>
        <v>100</v>
      </c>
      <c r="N663" s="8">
        <f t="shared" si="140"/>
        <v>100</v>
      </c>
      <c r="O663">
        <v>4</v>
      </c>
      <c r="P663">
        <v>1</v>
      </c>
      <c r="Q663" t="s">
        <v>2073</v>
      </c>
    </row>
    <row r="664" spans="1:19" x14ac:dyDescent="0.3">
      <c r="A664" t="s">
        <v>1398</v>
      </c>
      <c r="B664" t="s">
        <v>1399</v>
      </c>
      <c r="C664" t="str">
        <f t="shared" si="131"/>
        <v>Angela Johnson</v>
      </c>
      <c r="D664" t="s">
        <v>69</v>
      </c>
      <c r="E664" t="str">
        <f t="shared" si="139"/>
        <v>Female</v>
      </c>
      <c r="F664">
        <v>42</v>
      </c>
      <c r="G664" t="s">
        <v>34</v>
      </c>
      <c r="H664" t="s">
        <v>35</v>
      </c>
      <c r="I664" t="s">
        <v>15</v>
      </c>
      <c r="J664">
        <v>8</v>
      </c>
      <c r="K664" s="4" t="str" cm="1">
        <f t="array" ref="K664">_xlfn.IFS(J664&lt;=5,"0-5",J664&lt;=10,"6-10",J664&lt;=15,"11-15",J664&lt;=20,"16-20",J664&gt;20,"21+")</f>
        <v>6-10</v>
      </c>
      <c r="L664" t="s">
        <v>90</v>
      </c>
      <c r="M664" s="2" t="str">
        <f>TRIM(MID(L664,FIND(" ",L664)+1,LEN(L664)))</f>
        <v>50</v>
      </c>
      <c r="N664" s="8">
        <f t="shared" si="140"/>
        <v>50</v>
      </c>
    </row>
    <row r="665" spans="1:19" x14ac:dyDescent="0.3">
      <c r="A665" t="s">
        <v>1400</v>
      </c>
      <c r="B665" t="s">
        <v>1401</v>
      </c>
      <c r="C665" t="str">
        <f t="shared" si="131"/>
        <v>Sarah Edwards</v>
      </c>
      <c r="D665" t="s">
        <v>12</v>
      </c>
      <c r="E665" t="str">
        <f t="shared" si="139"/>
        <v>Female</v>
      </c>
      <c r="F665">
        <v>59</v>
      </c>
      <c r="G665" t="s">
        <v>85</v>
      </c>
      <c r="H665" t="s">
        <v>86</v>
      </c>
      <c r="I665" t="s">
        <v>15</v>
      </c>
      <c r="J665">
        <v>34</v>
      </c>
      <c r="K665" s="4" t="str" cm="1">
        <f t="array" ref="K665">_xlfn.IFS(J665&lt;=5,"0-5",J665&lt;=10,"6-10",J665&lt;=15,"11-15",J665&lt;=20,"16-20",J665&gt;20,"21+")</f>
        <v>21+</v>
      </c>
      <c r="L665">
        <v>100</v>
      </c>
      <c r="M665" s="2">
        <f>L665</f>
        <v>100</v>
      </c>
      <c r="N665" s="8">
        <f t="shared" si="140"/>
        <v>100</v>
      </c>
      <c r="O665">
        <v>2</v>
      </c>
      <c r="P665">
        <v>1</v>
      </c>
      <c r="Q665" t="s">
        <v>2073</v>
      </c>
      <c r="R665" s="1">
        <v>0.79</v>
      </c>
      <c r="S665" s="3">
        <f t="shared" ref="S665:S667" si="144">R665</f>
        <v>0.79</v>
      </c>
    </row>
    <row r="666" spans="1:19" x14ac:dyDescent="0.3">
      <c r="A666" t="s">
        <v>1402</v>
      </c>
      <c r="B666" t="s">
        <v>1403</v>
      </c>
      <c r="C666" t="str">
        <f t="shared" si="131"/>
        <v>Roy Collins</v>
      </c>
      <c r="D666" t="s">
        <v>19</v>
      </c>
      <c r="E666" t="str">
        <f t="shared" si="139"/>
        <v>Male</v>
      </c>
      <c r="F666">
        <v>33</v>
      </c>
      <c r="G666" t="s">
        <v>34</v>
      </c>
      <c r="H666" t="s">
        <v>35</v>
      </c>
      <c r="I666" t="s">
        <v>15</v>
      </c>
      <c r="J666">
        <v>5</v>
      </c>
      <c r="K666" s="4" t="str" cm="1">
        <f t="array" ref="K666">_xlfn.IFS(J666&lt;=5,"0-5",J666&lt;=10,"6-10",J666&lt;=15,"11-15",J666&lt;=20,"16-20",J666&gt;20,"21+")</f>
        <v>0-5</v>
      </c>
      <c r="L666" t="s">
        <v>56</v>
      </c>
      <c r="M666" s="2" t="str">
        <f>SUBSTITUTE(L666,"$","")</f>
        <v>50</v>
      </c>
      <c r="N666" s="8">
        <f t="shared" si="140"/>
        <v>50</v>
      </c>
      <c r="O666">
        <v>4.7</v>
      </c>
      <c r="P666">
        <v>1</v>
      </c>
      <c r="Q666" t="s">
        <v>2073</v>
      </c>
      <c r="R666" s="1">
        <v>0.88</v>
      </c>
      <c r="S666" s="3">
        <f t="shared" si="144"/>
        <v>0.88</v>
      </c>
    </row>
    <row r="667" spans="1:19" x14ac:dyDescent="0.3">
      <c r="A667" t="s">
        <v>1404</v>
      </c>
      <c r="B667" t="s">
        <v>1405</v>
      </c>
      <c r="C667" t="str">
        <f t="shared" ref="C667:C730" si="145">B667</f>
        <v>Samantha Porter</v>
      </c>
      <c r="D667" t="s">
        <v>26</v>
      </c>
      <c r="E667" t="str">
        <f t="shared" si="139"/>
        <v>Female</v>
      </c>
      <c r="F667">
        <v>55</v>
      </c>
      <c r="G667" t="s">
        <v>120</v>
      </c>
      <c r="H667" t="s">
        <v>14</v>
      </c>
      <c r="I667" t="s">
        <v>27</v>
      </c>
      <c r="J667">
        <v>14</v>
      </c>
      <c r="K667" s="4" t="str" cm="1">
        <f t="array" ref="K667">_xlfn.IFS(J667&lt;=5,"0-5",J667&lt;=10,"6-10",J667&lt;=15,"11-15",J667&lt;=20,"16-20",J667&gt;20,"21+")</f>
        <v>11-15</v>
      </c>
      <c r="L667" t="s">
        <v>90</v>
      </c>
      <c r="M667" s="2" t="str">
        <f>TRIM(MID(L667,FIND(" ",L667)+1,LEN(L667)))</f>
        <v>50</v>
      </c>
      <c r="N667" s="8">
        <f t="shared" si="140"/>
        <v>50</v>
      </c>
      <c r="O667">
        <v>3.6</v>
      </c>
      <c r="P667">
        <v>1</v>
      </c>
      <c r="Q667" t="s">
        <v>2073</v>
      </c>
      <c r="R667" s="1">
        <v>0.81</v>
      </c>
      <c r="S667" s="3">
        <f t="shared" si="144"/>
        <v>0.81</v>
      </c>
    </row>
    <row r="668" spans="1:19" x14ac:dyDescent="0.3">
      <c r="A668" t="s">
        <v>1406</v>
      </c>
      <c r="B668" t="s">
        <v>1407</v>
      </c>
      <c r="C668" t="str">
        <f t="shared" si="145"/>
        <v>Juan Elliott</v>
      </c>
      <c r="D668" t="s">
        <v>19</v>
      </c>
      <c r="E668" t="str">
        <f t="shared" si="139"/>
        <v>Male</v>
      </c>
      <c r="F668">
        <v>47</v>
      </c>
      <c r="G668" t="s">
        <v>104</v>
      </c>
      <c r="H668" t="s">
        <v>105</v>
      </c>
      <c r="I668" t="s">
        <v>65</v>
      </c>
      <c r="J668">
        <v>17</v>
      </c>
      <c r="K668" s="4" t="str" cm="1">
        <f t="array" ref="K668">_xlfn.IFS(J668&lt;=5,"0-5",J668&lt;=10,"6-10",J668&lt;=15,"11-15",J668&lt;=20,"16-20",J668&gt;20,"21+")</f>
        <v>16-20</v>
      </c>
      <c r="L668">
        <v>50</v>
      </c>
      <c r="M668" s="2">
        <f>L668</f>
        <v>50</v>
      </c>
      <c r="N668" s="8">
        <f t="shared" si="140"/>
        <v>50</v>
      </c>
      <c r="O668">
        <v>1.2</v>
      </c>
      <c r="P668" t="s">
        <v>23</v>
      </c>
      <c r="Q668" t="s">
        <v>2072</v>
      </c>
    </row>
    <row r="669" spans="1:19" x14ac:dyDescent="0.3">
      <c r="A669" t="s">
        <v>1408</v>
      </c>
      <c r="B669" t="s">
        <v>1409</v>
      </c>
      <c r="C669" t="str">
        <f t="shared" si="145"/>
        <v>Elizabeth Phillips</v>
      </c>
      <c r="D669" t="s">
        <v>12</v>
      </c>
      <c r="E669" t="str">
        <f t="shared" si="139"/>
        <v>Female</v>
      </c>
      <c r="F669">
        <v>29</v>
      </c>
      <c r="G669" t="s">
        <v>171</v>
      </c>
      <c r="H669" t="s">
        <v>64</v>
      </c>
      <c r="I669" t="s">
        <v>36</v>
      </c>
      <c r="J669">
        <v>10</v>
      </c>
      <c r="K669" s="4" t="str" cm="1">
        <f t="array" ref="K669">_xlfn.IFS(J669&lt;=5,"0-5",J669&lt;=10,"6-10",J669&lt;=15,"11-15",J669&lt;=20,"16-20",J669&gt;20,"21+")</f>
        <v>6-10</v>
      </c>
      <c r="N669" s="8" t="str">
        <f t="shared" si="140"/>
        <v/>
      </c>
      <c r="O669">
        <v>4.4000000000000004</v>
      </c>
      <c r="P669" t="s">
        <v>66</v>
      </c>
      <c r="Q669" t="s">
        <v>2073</v>
      </c>
      <c r="R669" s="1">
        <v>0.67</v>
      </c>
      <c r="S669" s="3">
        <f>R669</f>
        <v>0.67</v>
      </c>
    </row>
    <row r="670" spans="1:19" x14ac:dyDescent="0.3">
      <c r="A670" t="s">
        <v>1410</v>
      </c>
      <c r="B670" t="s">
        <v>1411</v>
      </c>
      <c r="C670" t="str">
        <f t="shared" si="145"/>
        <v>Laura Evans</v>
      </c>
      <c r="D670" t="s">
        <v>69</v>
      </c>
      <c r="E670" t="str">
        <f t="shared" si="139"/>
        <v>Female</v>
      </c>
      <c r="F670">
        <v>30</v>
      </c>
      <c r="G670" t="s">
        <v>59</v>
      </c>
      <c r="H670" t="s">
        <v>14</v>
      </c>
      <c r="I670" t="s">
        <v>81</v>
      </c>
      <c r="J670">
        <v>8</v>
      </c>
      <c r="K670" s="4" t="str" cm="1">
        <f t="array" ref="K670">_xlfn.IFS(J670&lt;=5,"0-5",J670&lt;=10,"6-10",J670&lt;=15,"11-15",J670&lt;=20,"16-20",J670&gt;20,"21+")</f>
        <v>6-10</v>
      </c>
      <c r="L670">
        <v>100</v>
      </c>
      <c r="M670" s="2">
        <f>L670</f>
        <v>100</v>
      </c>
      <c r="N670" s="8">
        <f t="shared" si="140"/>
        <v>100</v>
      </c>
      <c r="O670">
        <v>1.4</v>
      </c>
      <c r="P670" t="s">
        <v>60</v>
      </c>
      <c r="Q670" t="s">
        <v>2073</v>
      </c>
      <c r="R670">
        <v>62</v>
      </c>
      <c r="S670" s="3">
        <f>R670/100</f>
        <v>0.62</v>
      </c>
    </row>
    <row r="671" spans="1:19" x14ac:dyDescent="0.3">
      <c r="A671" t="s">
        <v>1412</v>
      </c>
      <c r="B671" t="s">
        <v>1413</v>
      </c>
      <c r="C671" t="str">
        <f t="shared" si="145"/>
        <v>Amanda Mitchell</v>
      </c>
      <c r="D671" t="s">
        <v>12</v>
      </c>
      <c r="E671" t="str">
        <f t="shared" si="139"/>
        <v>Female</v>
      </c>
      <c r="F671">
        <v>25</v>
      </c>
      <c r="G671" t="s">
        <v>120</v>
      </c>
      <c r="H671" t="s">
        <v>14</v>
      </c>
      <c r="I671" t="s">
        <v>81</v>
      </c>
      <c r="J671">
        <v>1</v>
      </c>
      <c r="K671" s="4" t="str" cm="1">
        <f t="array" ref="K671">_xlfn.IFS(J671&lt;=5,"0-5",J671&lt;=10,"6-10",J671&lt;=15,"11-15",J671&lt;=20,"16-20",J671&gt;20,"21+")</f>
        <v>0-5</v>
      </c>
      <c r="L671" t="s">
        <v>101</v>
      </c>
      <c r="M671" s="2" t="str">
        <f>TRIM(MID(L671,FIND(" ",L671)+1,LEN(L671)))</f>
        <v>30</v>
      </c>
      <c r="N671" s="8">
        <f t="shared" si="140"/>
        <v>30</v>
      </c>
      <c r="O671">
        <v>3.2</v>
      </c>
      <c r="P671">
        <v>0</v>
      </c>
      <c r="Q671" t="s">
        <v>2072</v>
      </c>
      <c r="R671" s="1">
        <v>0.87</v>
      </c>
      <c r="S671" s="3">
        <f t="shared" ref="S671:S674" si="146">R671</f>
        <v>0.87</v>
      </c>
    </row>
    <row r="672" spans="1:19" x14ac:dyDescent="0.3">
      <c r="A672" t="s">
        <v>1414</v>
      </c>
      <c r="B672" t="s">
        <v>1415</v>
      </c>
      <c r="C672" t="str">
        <f t="shared" si="145"/>
        <v>Sandra Williams</v>
      </c>
      <c r="D672" t="s">
        <v>31</v>
      </c>
      <c r="E672" t="str">
        <f t="shared" si="139"/>
        <v>Female</v>
      </c>
      <c r="F672">
        <v>28</v>
      </c>
      <c r="G672" t="s">
        <v>131</v>
      </c>
      <c r="H672" t="s">
        <v>132</v>
      </c>
      <c r="I672" t="s">
        <v>70</v>
      </c>
      <c r="J672">
        <v>10</v>
      </c>
      <c r="K672" s="4" t="str" cm="1">
        <f t="array" ref="K672">_xlfn.IFS(J672&lt;=5,"0-5",J672&lt;=10,"6-10",J672&lt;=15,"11-15",J672&lt;=20,"16-20",J672&gt;20,"21+")</f>
        <v>6-10</v>
      </c>
      <c r="N672" s="8" t="str">
        <f t="shared" si="140"/>
        <v/>
      </c>
      <c r="O672">
        <v>3.8</v>
      </c>
      <c r="P672" t="s">
        <v>60</v>
      </c>
      <c r="Q672" t="s">
        <v>2073</v>
      </c>
      <c r="R672" s="1">
        <v>0.98</v>
      </c>
      <c r="S672" s="3">
        <f t="shared" si="146"/>
        <v>0.98</v>
      </c>
    </row>
    <row r="673" spans="1:19" x14ac:dyDescent="0.3">
      <c r="A673" t="s">
        <v>1416</v>
      </c>
      <c r="B673" t="s">
        <v>1417</v>
      </c>
      <c r="C673" t="str">
        <f t="shared" si="145"/>
        <v>Eric Johnson</v>
      </c>
      <c r="D673" t="s">
        <v>19</v>
      </c>
      <c r="E673" t="str">
        <f t="shared" si="139"/>
        <v>Male</v>
      </c>
      <c r="F673">
        <v>29</v>
      </c>
      <c r="G673" t="s">
        <v>104</v>
      </c>
      <c r="H673" t="s">
        <v>105</v>
      </c>
      <c r="I673" t="s">
        <v>9</v>
      </c>
      <c r="J673">
        <v>0</v>
      </c>
      <c r="K673" s="4" t="str" cm="1">
        <f t="array" ref="K673">_xlfn.IFS(J673&lt;=5,"0-5",J673&lt;=10,"6-10",J673&lt;=15,"11-15",J673&lt;=20,"16-20",J673&gt;20,"21+")</f>
        <v>0-5</v>
      </c>
      <c r="L673" t="s">
        <v>162</v>
      </c>
      <c r="M673" s="2" t="str">
        <f>SUBSTITUTE(L673,"$","")</f>
        <v>75</v>
      </c>
      <c r="N673" s="8">
        <f t="shared" si="140"/>
        <v>75</v>
      </c>
      <c r="O673">
        <v>1.5</v>
      </c>
      <c r="P673" t="b">
        <v>1</v>
      </c>
      <c r="Q673" t="s">
        <v>2073</v>
      </c>
      <c r="R673" s="1">
        <v>0.64</v>
      </c>
      <c r="S673" s="3">
        <f t="shared" si="146"/>
        <v>0.64</v>
      </c>
    </row>
    <row r="674" spans="1:19" x14ac:dyDescent="0.3">
      <c r="A674" t="s">
        <v>1418</v>
      </c>
      <c r="B674" t="s">
        <v>1419</v>
      </c>
      <c r="C674" t="str">
        <f t="shared" si="145"/>
        <v>Javier Hobbs</v>
      </c>
      <c r="D674" t="s">
        <v>89</v>
      </c>
      <c r="E674" t="str">
        <f t="shared" si="139"/>
        <v>Male</v>
      </c>
      <c r="F674">
        <v>30</v>
      </c>
      <c r="G674" t="s">
        <v>182</v>
      </c>
      <c r="H674" t="s">
        <v>64</v>
      </c>
      <c r="I674" t="s">
        <v>22</v>
      </c>
      <c r="J674">
        <v>4</v>
      </c>
      <c r="K674" s="4" t="str" cm="1">
        <f t="array" ref="K674">_xlfn.IFS(J674&lt;=5,"0-5",J674&lt;=10,"6-10",J674&lt;=15,"11-15",J674&lt;=20,"16-20",J674&gt;20,"21+")</f>
        <v>0-5</v>
      </c>
      <c r="N674" s="8" t="str">
        <f t="shared" si="140"/>
        <v/>
      </c>
      <c r="O674">
        <v>2.8</v>
      </c>
      <c r="P674">
        <v>1</v>
      </c>
      <c r="Q674" t="s">
        <v>2073</v>
      </c>
      <c r="R674" s="1">
        <v>0.71</v>
      </c>
      <c r="S674" s="3">
        <f t="shared" si="146"/>
        <v>0.71</v>
      </c>
    </row>
    <row r="675" spans="1:19" x14ac:dyDescent="0.3">
      <c r="A675" t="s">
        <v>1420</v>
      </c>
      <c r="B675" t="s">
        <v>1421</v>
      </c>
      <c r="C675" t="str">
        <f t="shared" si="145"/>
        <v>Jacob Jones</v>
      </c>
      <c r="D675" t="s">
        <v>19</v>
      </c>
      <c r="E675" t="str">
        <f t="shared" si="139"/>
        <v>Male</v>
      </c>
      <c r="F675">
        <v>47</v>
      </c>
      <c r="G675" t="s">
        <v>131</v>
      </c>
      <c r="H675" t="s">
        <v>132</v>
      </c>
      <c r="I675" t="s">
        <v>36</v>
      </c>
      <c r="J675">
        <v>2</v>
      </c>
      <c r="K675" s="4" t="str" cm="1">
        <f t="array" ref="K675">_xlfn.IFS(J675&lt;=5,"0-5",J675&lt;=10,"6-10",J675&lt;=15,"11-15",J675&lt;=20,"16-20",J675&gt;20,"21+")</f>
        <v>0-5</v>
      </c>
      <c r="L675">
        <v>50</v>
      </c>
      <c r="M675" s="2">
        <f>L675</f>
        <v>50</v>
      </c>
      <c r="N675" s="8">
        <f t="shared" si="140"/>
        <v>50</v>
      </c>
      <c r="O675">
        <v>2.7</v>
      </c>
      <c r="P675" t="s">
        <v>151</v>
      </c>
      <c r="Q675" t="s">
        <v>2072</v>
      </c>
      <c r="R675">
        <v>96</v>
      </c>
      <c r="S675" s="3">
        <f>R675/100</f>
        <v>0.96</v>
      </c>
    </row>
    <row r="676" spans="1:19" x14ac:dyDescent="0.3">
      <c r="A676" t="s">
        <v>1422</v>
      </c>
      <c r="B676" t="s">
        <v>1423</v>
      </c>
      <c r="C676" t="str">
        <f t="shared" si="145"/>
        <v>Zachary Murphy</v>
      </c>
      <c r="D676" t="s">
        <v>53</v>
      </c>
      <c r="E676" t="str">
        <f t="shared" si="139"/>
        <v>Male</v>
      </c>
      <c r="F676">
        <v>34</v>
      </c>
      <c r="G676" t="s">
        <v>13</v>
      </c>
      <c r="H676" t="s">
        <v>14</v>
      </c>
      <c r="I676" t="s">
        <v>9</v>
      </c>
      <c r="J676">
        <v>10</v>
      </c>
      <c r="K676" s="4" t="str" cm="1">
        <f t="array" ref="K676">_xlfn.IFS(J676&lt;=5,"0-5",J676&lt;=10,"6-10",J676&lt;=15,"11-15",J676&lt;=20,"16-20",J676&gt;20,"21+")</f>
        <v>6-10</v>
      </c>
      <c r="L676" t="s">
        <v>37</v>
      </c>
      <c r="M676" s="2" t="str">
        <f>SUBSTITUTE(L676,"$","")</f>
        <v>30</v>
      </c>
      <c r="N676" s="8">
        <f t="shared" si="140"/>
        <v>30</v>
      </c>
      <c r="O676">
        <v>3.9</v>
      </c>
    </row>
    <row r="677" spans="1:19" x14ac:dyDescent="0.3">
      <c r="A677" t="s">
        <v>1424</v>
      </c>
      <c r="B677" t="s">
        <v>1425</v>
      </c>
      <c r="C677" t="str">
        <f t="shared" si="145"/>
        <v>Joshua Owens</v>
      </c>
      <c r="D677" t="s">
        <v>84</v>
      </c>
      <c r="E677" t="str">
        <f t="shared" si="139"/>
        <v>Male</v>
      </c>
      <c r="F677">
        <v>45</v>
      </c>
      <c r="G677" t="s">
        <v>50</v>
      </c>
      <c r="H677" t="s">
        <v>14</v>
      </c>
      <c r="I677" t="s">
        <v>22</v>
      </c>
      <c r="J677">
        <v>16</v>
      </c>
      <c r="K677" s="4" t="str" cm="1">
        <f t="array" ref="K677">_xlfn.IFS(J677&lt;=5,"0-5",J677&lt;=10,"6-10",J677&lt;=15,"11-15",J677&lt;=20,"16-20",J677&gt;20,"21+")</f>
        <v>16-20</v>
      </c>
      <c r="L677">
        <v>100</v>
      </c>
      <c r="M677" s="2">
        <f>L677</f>
        <v>100</v>
      </c>
      <c r="N677" s="8">
        <f t="shared" si="140"/>
        <v>100</v>
      </c>
      <c r="O677">
        <v>4.5999999999999996</v>
      </c>
      <c r="P677" t="s">
        <v>23</v>
      </c>
      <c r="Q677" t="s">
        <v>2072</v>
      </c>
      <c r="R677" s="1">
        <v>0.78</v>
      </c>
      <c r="S677" s="3">
        <f t="shared" ref="S677:S679" si="147">R677</f>
        <v>0.78</v>
      </c>
    </row>
    <row r="678" spans="1:19" x14ac:dyDescent="0.3">
      <c r="A678" t="s">
        <v>1426</v>
      </c>
      <c r="B678" t="s">
        <v>1427</v>
      </c>
      <c r="C678" t="str">
        <f t="shared" si="145"/>
        <v>Dawn Mitchell</v>
      </c>
      <c r="D678" t="s">
        <v>26</v>
      </c>
      <c r="E678" t="str">
        <f t="shared" si="139"/>
        <v>Female</v>
      </c>
      <c r="F678">
        <v>56</v>
      </c>
      <c r="G678" t="s">
        <v>182</v>
      </c>
      <c r="H678" t="s">
        <v>64</v>
      </c>
      <c r="I678" t="s">
        <v>70</v>
      </c>
      <c r="J678">
        <v>27</v>
      </c>
      <c r="K678" s="4" t="str" cm="1">
        <f t="array" ref="K678">_xlfn.IFS(J678&lt;=5,"0-5",J678&lt;=10,"6-10",J678&lt;=15,"11-15",J678&lt;=20,"16-20",J678&gt;20,"21+")</f>
        <v>21+</v>
      </c>
      <c r="L678" t="s">
        <v>113</v>
      </c>
      <c r="M678" s="2" t="str">
        <f>SUBSTITUTE(L678,"$","")</f>
        <v>20</v>
      </c>
      <c r="N678" s="8">
        <f t="shared" si="140"/>
        <v>20</v>
      </c>
      <c r="O678">
        <v>2.2000000000000002</v>
      </c>
      <c r="P678" t="b">
        <v>0</v>
      </c>
      <c r="Q678" t="s">
        <v>2072</v>
      </c>
      <c r="R678" s="1">
        <v>0.7</v>
      </c>
      <c r="S678" s="3">
        <f t="shared" si="147"/>
        <v>0.7</v>
      </c>
    </row>
    <row r="679" spans="1:19" x14ac:dyDescent="0.3">
      <c r="A679" t="s">
        <v>1428</v>
      </c>
      <c r="B679" t="s">
        <v>1429</v>
      </c>
      <c r="C679" t="str">
        <f t="shared" si="145"/>
        <v>Regina Dunn</v>
      </c>
      <c r="D679" t="s">
        <v>31</v>
      </c>
      <c r="E679" t="str">
        <f t="shared" si="139"/>
        <v>Female</v>
      </c>
      <c r="F679">
        <v>49</v>
      </c>
      <c r="G679" t="s">
        <v>167</v>
      </c>
      <c r="H679" t="s">
        <v>168</v>
      </c>
      <c r="I679" t="s">
        <v>81</v>
      </c>
      <c r="J679">
        <v>20</v>
      </c>
      <c r="K679" s="4" t="str" cm="1">
        <f t="array" ref="K679">_xlfn.IFS(J679&lt;=5,"0-5",J679&lt;=10,"6-10",J679&lt;=15,"11-15",J679&lt;=20,"16-20",J679&gt;20,"21+")</f>
        <v>16-20</v>
      </c>
      <c r="L679">
        <v>50</v>
      </c>
      <c r="M679" s="2">
        <f>L679</f>
        <v>50</v>
      </c>
      <c r="N679" s="8">
        <f t="shared" si="140"/>
        <v>50</v>
      </c>
      <c r="O679">
        <v>2.5</v>
      </c>
      <c r="P679">
        <v>0</v>
      </c>
      <c r="Q679" t="s">
        <v>2072</v>
      </c>
      <c r="R679" s="1">
        <v>0.82</v>
      </c>
      <c r="S679" s="3">
        <f t="shared" si="147"/>
        <v>0.82</v>
      </c>
    </row>
    <row r="680" spans="1:19" x14ac:dyDescent="0.3">
      <c r="A680" t="s">
        <v>1430</v>
      </c>
      <c r="B680" t="s">
        <v>1431</v>
      </c>
      <c r="C680" t="str">
        <f t="shared" si="145"/>
        <v>Ernest Cole</v>
      </c>
      <c r="D680" t="s">
        <v>53</v>
      </c>
      <c r="E680" t="str">
        <f t="shared" si="139"/>
        <v>Male</v>
      </c>
      <c r="F680">
        <v>48</v>
      </c>
      <c r="G680" t="s">
        <v>127</v>
      </c>
      <c r="H680" t="s">
        <v>128</v>
      </c>
      <c r="I680" t="s">
        <v>36</v>
      </c>
      <c r="J680">
        <v>10</v>
      </c>
      <c r="K680" s="4" t="str" cm="1">
        <f t="array" ref="K680">_xlfn.IFS(J680&lt;=5,"0-5",J680&lt;=10,"6-10",J680&lt;=15,"11-15",J680&lt;=20,"16-20",J680&gt;20,"21+")</f>
        <v>6-10</v>
      </c>
      <c r="N680" s="8" t="str">
        <f t="shared" si="140"/>
        <v/>
      </c>
      <c r="O680">
        <v>3.1</v>
      </c>
      <c r="P680" t="b">
        <v>0</v>
      </c>
      <c r="Q680" t="s">
        <v>2072</v>
      </c>
    </row>
    <row r="681" spans="1:19" x14ac:dyDescent="0.3">
      <c r="A681" t="s">
        <v>1432</v>
      </c>
      <c r="B681" t="s">
        <v>1433</v>
      </c>
      <c r="C681" t="str">
        <f t="shared" si="145"/>
        <v>Hannah Sanders</v>
      </c>
      <c r="D681" t="s">
        <v>31</v>
      </c>
      <c r="E681" t="str">
        <f t="shared" si="139"/>
        <v>Female</v>
      </c>
      <c r="F681">
        <v>29</v>
      </c>
      <c r="G681" t="s">
        <v>104</v>
      </c>
      <c r="H681" t="s">
        <v>105</v>
      </c>
      <c r="I681" t="s">
        <v>22</v>
      </c>
      <c r="J681">
        <v>0</v>
      </c>
      <c r="K681" s="4" t="str" cm="1">
        <f t="array" ref="K681">_xlfn.IFS(J681&lt;=5,"0-5",J681&lt;=10,"6-10",J681&lt;=15,"11-15",J681&lt;=20,"16-20",J681&gt;20,"21+")</f>
        <v>0-5</v>
      </c>
      <c r="L681" t="s">
        <v>113</v>
      </c>
      <c r="M681" s="2" t="str">
        <f>SUBSTITUTE(L681,"$","")</f>
        <v>20</v>
      </c>
      <c r="N681" s="8">
        <f t="shared" si="140"/>
        <v>20</v>
      </c>
      <c r="P681">
        <v>1</v>
      </c>
      <c r="Q681" t="s">
        <v>2073</v>
      </c>
      <c r="R681" s="1">
        <v>0.99</v>
      </c>
      <c r="S681" s="3">
        <f t="shared" ref="S681:S683" si="148">R681</f>
        <v>0.99</v>
      </c>
    </row>
    <row r="682" spans="1:19" x14ac:dyDescent="0.3">
      <c r="A682" t="s">
        <v>1434</v>
      </c>
      <c r="B682" t="s">
        <v>1435</v>
      </c>
      <c r="C682" t="str">
        <f t="shared" si="145"/>
        <v>Ellen Bowman</v>
      </c>
      <c r="D682" t="s">
        <v>69</v>
      </c>
      <c r="E682" t="str">
        <f t="shared" si="139"/>
        <v>Female</v>
      </c>
      <c r="F682">
        <v>49</v>
      </c>
      <c r="G682" t="s">
        <v>34</v>
      </c>
      <c r="H682" t="s">
        <v>35</v>
      </c>
      <c r="I682" t="s">
        <v>27</v>
      </c>
      <c r="J682">
        <v>11</v>
      </c>
      <c r="K682" s="4" t="str" cm="1">
        <f t="array" ref="K682">_xlfn.IFS(J682&lt;=5,"0-5",J682&lt;=10,"6-10",J682&lt;=15,"11-15",J682&lt;=20,"16-20",J682&gt;20,"21+")</f>
        <v>11-15</v>
      </c>
      <c r="L682">
        <v>75</v>
      </c>
      <c r="M682" s="2">
        <f>L682</f>
        <v>75</v>
      </c>
      <c r="N682" s="8">
        <f t="shared" si="140"/>
        <v>75</v>
      </c>
      <c r="O682">
        <v>3.8</v>
      </c>
      <c r="P682" t="s">
        <v>66</v>
      </c>
      <c r="Q682" t="s">
        <v>2073</v>
      </c>
      <c r="R682" s="1">
        <v>0.93</v>
      </c>
      <c r="S682" s="3">
        <f t="shared" si="148"/>
        <v>0.93</v>
      </c>
    </row>
    <row r="683" spans="1:19" x14ac:dyDescent="0.3">
      <c r="A683" t="s">
        <v>1436</v>
      </c>
      <c r="B683" t="s">
        <v>1437</v>
      </c>
      <c r="C683" t="str">
        <f t="shared" si="145"/>
        <v>Nancy Moore</v>
      </c>
      <c r="D683" t="s">
        <v>12</v>
      </c>
      <c r="E683" t="str">
        <f t="shared" si="139"/>
        <v>Female</v>
      </c>
      <c r="F683">
        <v>22</v>
      </c>
      <c r="G683" t="s">
        <v>167</v>
      </c>
      <c r="H683" t="s">
        <v>168</v>
      </c>
      <c r="I683" t="s">
        <v>9</v>
      </c>
      <c r="J683">
        <v>1</v>
      </c>
      <c r="K683" s="4" t="str" cm="1">
        <f t="array" ref="K683">_xlfn.IFS(J683&lt;=5,"0-5",J683&lt;=10,"6-10",J683&lt;=15,"11-15",J683&lt;=20,"16-20",J683&gt;20,"21+")</f>
        <v>0-5</v>
      </c>
      <c r="L683">
        <v>100</v>
      </c>
      <c r="M683" s="2">
        <f>L683</f>
        <v>100</v>
      </c>
      <c r="N683" s="8">
        <f t="shared" si="140"/>
        <v>100</v>
      </c>
      <c r="O683">
        <v>4.8</v>
      </c>
      <c r="P683" t="s">
        <v>66</v>
      </c>
      <c r="Q683" t="s">
        <v>2073</v>
      </c>
      <c r="R683" s="1">
        <v>0.75</v>
      </c>
      <c r="S683" s="3">
        <f t="shared" si="148"/>
        <v>0.75</v>
      </c>
    </row>
    <row r="684" spans="1:19" x14ac:dyDescent="0.3">
      <c r="A684" t="s">
        <v>1438</v>
      </c>
      <c r="B684" t="s">
        <v>1439</v>
      </c>
      <c r="C684" t="str">
        <f t="shared" si="145"/>
        <v>Joseph Wood</v>
      </c>
      <c r="D684" t="s">
        <v>40</v>
      </c>
      <c r="E684" t="str">
        <f t="shared" si="139"/>
        <v>Male</v>
      </c>
      <c r="F684">
        <v>52</v>
      </c>
      <c r="G684" t="s">
        <v>171</v>
      </c>
      <c r="H684" t="s">
        <v>64</v>
      </c>
      <c r="I684" t="s">
        <v>22</v>
      </c>
      <c r="J684">
        <v>30</v>
      </c>
      <c r="K684" s="4" t="str" cm="1">
        <f t="array" ref="K684">_xlfn.IFS(J684&lt;=5,"0-5",J684&lt;=10,"6-10",J684&lt;=15,"11-15",J684&lt;=20,"16-20",J684&gt;20,"21+")</f>
        <v>21+</v>
      </c>
      <c r="L684" t="s">
        <v>16</v>
      </c>
      <c r="M684" s="2" t="str">
        <f>TRIM(MID(L684,FIND(" ",L684)+1,LEN(L684)))</f>
        <v>100</v>
      </c>
      <c r="N684" s="8">
        <f t="shared" si="140"/>
        <v>100</v>
      </c>
      <c r="O684">
        <v>2.5</v>
      </c>
      <c r="R684">
        <v>61</v>
      </c>
      <c r="S684" s="3">
        <f>R684/100</f>
        <v>0.61</v>
      </c>
    </row>
    <row r="685" spans="1:19" x14ac:dyDescent="0.3">
      <c r="A685" t="s">
        <v>1440</v>
      </c>
      <c r="B685" t="s">
        <v>1441</v>
      </c>
      <c r="C685" t="str">
        <f t="shared" si="145"/>
        <v>Michael Harrell</v>
      </c>
      <c r="D685" t="s">
        <v>53</v>
      </c>
      <c r="E685" t="str">
        <f t="shared" si="139"/>
        <v>Male</v>
      </c>
      <c r="F685">
        <v>60</v>
      </c>
      <c r="G685" t="s">
        <v>120</v>
      </c>
      <c r="H685" t="s">
        <v>14</v>
      </c>
      <c r="I685" t="s">
        <v>9</v>
      </c>
      <c r="J685">
        <v>7</v>
      </c>
      <c r="K685" s="4" t="str" cm="1">
        <f t="array" ref="K685">_xlfn.IFS(J685&lt;=5,"0-5",J685&lt;=10,"6-10",J685&lt;=15,"11-15",J685&lt;=20,"16-20",J685&gt;20,"21+")</f>
        <v>6-10</v>
      </c>
      <c r="L685" t="s">
        <v>101</v>
      </c>
      <c r="M685" s="2" t="str">
        <f>TRIM(MID(L685,FIND(" ",L685)+1,LEN(L685)))</f>
        <v>30</v>
      </c>
      <c r="N685" s="8">
        <f t="shared" si="140"/>
        <v>30</v>
      </c>
      <c r="O685">
        <v>0</v>
      </c>
      <c r="P685" t="s">
        <v>151</v>
      </c>
      <c r="Q685" t="s">
        <v>2072</v>
      </c>
      <c r="R685" s="1">
        <v>0.97</v>
      </c>
      <c r="S685" s="3">
        <f>R685</f>
        <v>0.97</v>
      </c>
    </row>
    <row r="686" spans="1:19" x14ac:dyDescent="0.3">
      <c r="A686" t="s">
        <v>1442</v>
      </c>
      <c r="B686" t="s">
        <v>1443</v>
      </c>
      <c r="C686" t="str">
        <f t="shared" si="145"/>
        <v>Connie Mcclain</v>
      </c>
      <c r="D686" t="s">
        <v>26</v>
      </c>
      <c r="E686" t="str">
        <f t="shared" si="139"/>
        <v>Female</v>
      </c>
      <c r="F686">
        <v>33</v>
      </c>
      <c r="G686" t="s">
        <v>77</v>
      </c>
      <c r="H686" t="s">
        <v>78</v>
      </c>
      <c r="I686" t="s">
        <v>65</v>
      </c>
      <c r="J686">
        <v>0</v>
      </c>
      <c r="K686" s="4" t="str" cm="1">
        <f t="array" ref="K686">_xlfn.IFS(J686&lt;=5,"0-5",J686&lt;=10,"6-10",J686&lt;=15,"11-15",J686&lt;=20,"16-20",J686&gt;20,"21+")</f>
        <v>0-5</v>
      </c>
      <c r="L686" t="s">
        <v>221</v>
      </c>
      <c r="M686" s="2" t="str">
        <f>SUBSTITUTE(L686,"$","")</f>
        <v>100</v>
      </c>
      <c r="N686" s="8">
        <f t="shared" si="140"/>
        <v>100</v>
      </c>
      <c r="O686">
        <v>1.7</v>
      </c>
      <c r="P686">
        <v>1</v>
      </c>
      <c r="Q686" t="s">
        <v>2073</v>
      </c>
      <c r="R686">
        <v>95</v>
      </c>
      <c r="S686" s="3">
        <f>R686/100</f>
        <v>0.95</v>
      </c>
    </row>
    <row r="687" spans="1:19" x14ac:dyDescent="0.3">
      <c r="A687" t="s">
        <v>1444</v>
      </c>
      <c r="B687" t="s">
        <v>1445</v>
      </c>
      <c r="C687" t="str">
        <f t="shared" si="145"/>
        <v>Matthew Baldwin</v>
      </c>
      <c r="D687" t="s">
        <v>84</v>
      </c>
      <c r="E687" t="str">
        <f t="shared" si="139"/>
        <v>Male</v>
      </c>
      <c r="F687">
        <v>52</v>
      </c>
      <c r="G687" t="s">
        <v>104</v>
      </c>
      <c r="H687" t="s">
        <v>105</v>
      </c>
      <c r="I687" t="s">
        <v>22</v>
      </c>
      <c r="J687">
        <v>21</v>
      </c>
      <c r="K687" s="4" t="str" cm="1">
        <f t="array" ref="K687">_xlfn.IFS(J687&lt;=5,"0-5",J687&lt;=10,"6-10",J687&lt;=15,"11-15",J687&lt;=20,"16-20",J687&gt;20,"21+")</f>
        <v>21+</v>
      </c>
      <c r="L687" t="s">
        <v>47</v>
      </c>
      <c r="M687" s="2" t="str">
        <f>TRIM(MID(L687,FIND(" ",L687)+1,LEN(L687)))</f>
        <v>40</v>
      </c>
      <c r="N687" s="8">
        <f t="shared" si="140"/>
        <v>40</v>
      </c>
      <c r="O687">
        <v>4</v>
      </c>
      <c r="R687" s="1">
        <v>0.69</v>
      </c>
      <c r="S687" s="3">
        <f t="shared" ref="S687:S690" si="149">R687</f>
        <v>0.69</v>
      </c>
    </row>
    <row r="688" spans="1:19" x14ac:dyDescent="0.3">
      <c r="A688" t="s">
        <v>1446</v>
      </c>
      <c r="B688" t="s">
        <v>1447</v>
      </c>
      <c r="C688" t="str">
        <f t="shared" si="145"/>
        <v>Danielle Nelson</v>
      </c>
      <c r="D688" t="s">
        <v>6</v>
      </c>
      <c r="E688" t="str">
        <f t="shared" si="139"/>
        <v>Female</v>
      </c>
      <c r="F688">
        <v>25</v>
      </c>
      <c r="G688" t="s">
        <v>20</v>
      </c>
      <c r="H688" t="s">
        <v>21</v>
      </c>
      <c r="I688" t="s">
        <v>81</v>
      </c>
      <c r="J688">
        <v>7</v>
      </c>
      <c r="K688" s="4" t="str" cm="1">
        <f t="array" ref="K688">_xlfn.IFS(J688&lt;=5,"0-5",J688&lt;=10,"6-10",J688&lt;=15,"11-15",J688&lt;=20,"16-20",J688&gt;20,"21+")</f>
        <v>6-10</v>
      </c>
      <c r="L688" t="s">
        <v>16</v>
      </c>
      <c r="M688" s="2" t="str">
        <f>TRIM(MID(L688,FIND(" ",L688)+1,LEN(L688)))</f>
        <v>100</v>
      </c>
      <c r="N688" s="8">
        <f t="shared" si="140"/>
        <v>100</v>
      </c>
      <c r="O688">
        <v>1.9</v>
      </c>
      <c r="P688" t="b">
        <v>0</v>
      </c>
      <c r="Q688" t="s">
        <v>2072</v>
      </c>
      <c r="R688" s="1">
        <v>0.63</v>
      </c>
      <c r="S688" s="3">
        <f t="shared" si="149"/>
        <v>0.63</v>
      </c>
    </row>
    <row r="689" spans="1:19" x14ac:dyDescent="0.3">
      <c r="A689" t="s">
        <v>1448</v>
      </c>
      <c r="B689" t="s">
        <v>1449</v>
      </c>
      <c r="C689" t="str">
        <f t="shared" si="145"/>
        <v>Steven Moore</v>
      </c>
      <c r="D689" t="s">
        <v>84</v>
      </c>
      <c r="E689" t="str">
        <f t="shared" si="139"/>
        <v>Male</v>
      </c>
      <c r="F689">
        <v>33</v>
      </c>
      <c r="G689" t="s">
        <v>77</v>
      </c>
      <c r="H689" t="s">
        <v>78</v>
      </c>
      <c r="I689" t="s">
        <v>70</v>
      </c>
      <c r="K689" s="4" t="str" cm="1">
        <f t="array" ref="K689">_xlfn.IFS(J689&lt;=5,"0-5",J689&lt;=10,"6-10",J689&lt;=15,"11-15",J689&lt;=20,"16-20",J689&gt;20,"21+")</f>
        <v>0-5</v>
      </c>
      <c r="L689" t="s">
        <v>101</v>
      </c>
      <c r="M689" s="2" t="str">
        <f>TRIM(MID(L689,FIND(" ",L689)+1,LEN(L689)))</f>
        <v>30</v>
      </c>
      <c r="N689" s="8">
        <f t="shared" si="140"/>
        <v>30</v>
      </c>
      <c r="O689">
        <v>4.4000000000000004</v>
      </c>
      <c r="P689" t="b">
        <v>1</v>
      </c>
      <c r="Q689" t="s">
        <v>2073</v>
      </c>
      <c r="R689" s="1">
        <v>0.65</v>
      </c>
      <c r="S689" s="3">
        <f t="shared" si="149"/>
        <v>0.65</v>
      </c>
    </row>
    <row r="690" spans="1:19" x14ac:dyDescent="0.3">
      <c r="A690" t="s">
        <v>1450</v>
      </c>
      <c r="B690" t="s">
        <v>1451</v>
      </c>
      <c r="C690" t="str">
        <f t="shared" si="145"/>
        <v>Megan Hudson</v>
      </c>
      <c r="D690" t="s">
        <v>6</v>
      </c>
      <c r="E690" t="str">
        <f t="shared" si="139"/>
        <v>Female</v>
      </c>
      <c r="F690">
        <v>33</v>
      </c>
      <c r="G690" t="s">
        <v>167</v>
      </c>
      <c r="H690" t="s">
        <v>168</v>
      </c>
      <c r="I690" t="s">
        <v>15</v>
      </c>
      <c r="K690" s="4" t="str" cm="1">
        <f t="array" ref="K690">_xlfn.IFS(J690&lt;=5,"0-5",J690&lt;=10,"6-10",J690&lt;=15,"11-15",J690&lt;=20,"16-20",J690&gt;20,"21+")</f>
        <v>0-5</v>
      </c>
      <c r="N690" s="8" t="str">
        <f t="shared" si="140"/>
        <v/>
      </c>
      <c r="O690">
        <v>4.2</v>
      </c>
      <c r="P690" t="s">
        <v>66</v>
      </c>
      <c r="Q690" t="s">
        <v>2073</v>
      </c>
      <c r="R690" s="1">
        <v>0.9</v>
      </c>
      <c r="S690" s="3">
        <f t="shared" si="149"/>
        <v>0.9</v>
      </c>
    </row>
    <row r="691" spans="1:19" x14ac:dyDescent="0.3">
      <c r="A691" t="s">
        <v>1452</v>
      </c>
      <c r="B691" t="s">
        <v>33</v>
      </c>
      <c r="C691" t="str">
        <f t="shared" si="145"/>
        <v>Lisa Johnson</v>
      </c>
      <c r="D691" t="s">
        <v>69</v>
      </c>
      <c r="E691" t="str">
        <f t="shared" si="139"/>
        <v>Female</v>
      </c>
      <c r="F691">
        <v>52</v>
      </c>
      <c r="G691" t="s">
        <v>120</v>
      </c>
      <c r="H691" t="s">
        <v>14</v>
      </c>
      <c r="I691" t="s">
        <v>65</v>
      </c>
      <c r="J691">
        <v>25</v>
      </c>
      <c r="K691" s="4" t="str" cm="1">
        <f t="array" ref="K691">_xlfn.IFS(J691&lt;=5,"0-5",J691&lt;=10,"6-10",J691&lt;=15,"11-15",J691&lt;=20,"16-20",J691&gt;20,"21+")</f>
        <v>21+</v>
      </c>
      <c r="L691">
        <v>100</v>
      </c>
      <c r="M691" s="2">
        <f>L691</f>
        <v>100</v>
      </c>
      <c r="N691" s="8">
        <f t="shared" si="140"/>
        <v>100</v>
      </c>
      <c r="O691">
        <v>4.8</v>
      </c>
      <c r="P691" t="s">
        <v>23</v>
      </c>
      <c r="Q691" t="s">
        <v>2072</v>
      </c>
    </row>
    <row r="692" spans="1:19" x14ac:dyDescent="0.3">
      <c r="A692" t="s">
        <v>1453</v>
      </c>
      <c r="B692" t="s">
        <v>1454</v>
      </c>
      <c r="C692" t="str">
        <f t="shared" si="145"/>
        <v>Tracy White</v>
      </c>
      <c r="D692" t="s">
        <v>6</v>
      </c>
      <c r="E692" t="str">
        <f t="shared" si="139"/>
        <v>Female</v>
      </c>
      <c r="F692">
        <v>20</v>
      </c>
      <c r="G692" t="s">
        <v>41</v>
      </c>
      <c r="H692" t="s">
        <v>42</v>
      </c>
      <c r="I692" t="s">
        <v>27</v>
      </c>
      <c r="J692">
        <v>1</v>
      </c>
      <c r="K692" s="4" t="str" cm="1">
        <f t="array" ref="K692">_xlfn.IFS(J692&lt;=5,"0-5",J692&lt;=10,"6-10",J692&lt;=15,"11-15",J692&lt;=20,"16-20",J692&gt;20,"21+")</f>
        <v>0-5</v>
      </c>
      <c r="L692" t="s">
        <v>101</v>
      </c>
      <c r="M692" s="2" t="str">
        <f>TRIM(MID(L692,FIND(" ",L692)+1,LEN(L692)))</f>
        <v>30</v>
      </c>
      <c r="N692" s="8">
        <f t="shared" si="140"/>
        <v>30</v>
      </c>
      <c r="O692">
        <v>2</v>
      </c>
      <c r="P692" t="s">
        <v>151</v>
      </c>
      <c r="Q692" t="s">
        <v>2072</v>
      </c>
      <c r="R692" s="1">
        <v>0.89</v>
      </c>
      <c r="S692" s="3">
        <f t="shared" ref="S692:S694" si="150">R692</f>
        <v>0.89</v>
      </c>
    </row>
    <row r="693" spans="1:19" x14ac:dyDescent="0.3">
      <c r="A693" t="s">
        <v>1455</v>
      </c>
      <c r="B693" t="s">
        <v>1456</v>
      </c>
      <c r="C693" t="str">
        <f t="shared" si="145"/>
        <v>Natalie Diaz</v>
      </c>
      <c r="D693" t="s">
        <v>12</v>
      </c>
      <c r="E693" t="str">
        <f t="shared" si="139"/>
        <v>Female</v>
      </c>
      <c r="F693">
        <v>43</v>
      </c>
      <c r="G693" t="s">
        <v>116</v>
      </c>
      <c r="H693" t="s">
        <v>117</v>
      </c>
      <c r="I693" t="s">
        <v>43</v>
      </c>
      <c r="J693">
        <v>7</v>
      </c>
      <c r="K693" s="4" t="str" cm="1">
        <f t="array" ref="K693">_xlfn.IFS(J693&lt;=5,"0-5",J693&lt;=10,"6-10",J693&lt;=15,"11-15",J693&lt;=20,"16-20",J693&gt;20,"21+")</f>
        <v>6-10</v>
      </c>
      <c r="L693" t="s">
        <v>90</v>
      </c>
      <c r="M693" s="2" t="str">
        <f>TRIM(MID(L693,FIND(" ",L693)+1,LEN(L693)))</f>
        <v>50</v>
      </c>
      <c r="N693" s="8">
        <f t="shared" si="140"/>
        <v>50</v>
      </c>
      <c r="P693">
        <v>1</v>
      </c>
      <c r="Q693" t="s">
        <v>2073</v>
      </c>
      <c r="R693" s="1">
        <v>0.8</v>
      </c>
      <c r="S693" s="3">
        <f t="shared" si="150"/>
        <v>0.8</v>
      </c>
    </row>
    <row r="694" spans="1:19" x14ac:dyDescent="0.3">
      <c r="A694" t="s">
        <v>1457</v>
      </c>
      <c r="B694" t="s">
        <v>1413</v>
      </c>
      <c r="C694" t="str">
        <f t="shared" si="145"/>
        <v>Amanda Mitchell</v>
      </c>
      <c r="D694" t="s">
        <v>31</v>
      </c>
      <c r="E694" t="str">
        <f t="shared" si="139"/>
        <v>Female</v>
      </c>
      <c r="F694">
        <v>31</v>
      </c>
      <c r="G694" t="s">
        <v>127</v>
      </c>
      <c r="H694" t="s">
        <v>128</v>
      </c>
      <c r="I694" t="s">
        <v>15</v>
      </c>
      <c r="K694" s="4" t="str" cm="1">
        <f t="array" ref="K694">_xlfn.IFS(J694&lt;=5,"0-5",J694&lt;=10,"6-10",J694&lt;=15,"11-15",J694&lt;=20,"16-20",J694&gt;20,"21+")</f>
        <v>0-5</v>
      </c>
      <c r="L694">
        <v>50</v>
      </c>
      <c r="M694" s="2">
        <f>L694</f>
        <v>50</v>
      </c>
      <c r="N694" s="8">
        <f t="shared" si="140"/>
        <v>50</v>
      </c>
      <c r="O694">
        <v>1.4</v>
      </c>
      <c r="P694" t="s">
        <v>151</v>
      </c>
      <c r="Q694" t="s">
        <v>2072</v>
      </c>
      <c r="R694" s="1">
        <v>0.8</v>
      </c>
      <c r="S694" s="3">
        <f t="shared" si="150"/>
        <v>0.8</v>
      </c>
    </row>
    <row r="695" spans="1:19" x14ac:dyDescent="0.3">
      <c r="A695" t="s">
        <v>1458</v>
      </c>
      <c r="B695" t="s">
        <v>1459</v>
      </c>
      <c r="C695" t="str">
        <f t="shared" si="145"/>
        <v>Karen Scott</v>
      </c>
      <c r="D695" t="s">
        <v>12</v>
      </c>
      <c r="E695" t="str">
        <f t="shared" si="139"/>
        <v>Female</v>
      </c>
      <c r="F695">
        <v>29</v>
      </c>
      <c r="G695" t="s">
        <v>20</v>
      </c>
      <c r="H695" t="s">
        <v>21</v>
      </c>
      <c r="I695" t="s">
        <v>43</v>
      </c>
      <c r="J695">
        <v>6</v>
      </c>
      <c r="K695" s="4" t="str" cm="1">
        <f t="array" ref="K695">_xlfn.IFS(J695&lt;=5,"0-5",J695&lt;=10,"6-10",J695&lt;=15,"11-15",J695&lt;=20,"16-20",J695&gt;20,"21+")</f>
        <v>6-10</v>
      </c>
      <c r="L695">
        <v>100</v>
      </c>
      <c r="M695" s="2">
        <f>L695</f>
        <v>100</v>
      </c>
      <c r="N695" s="8">
        <f t="shared" si="140"/>
        <v>100</v>
      </c>
      <c r="O695">
        <v>1.8</v>
      </c>
      <c r="P695" t="s">
        <v>23</v>
      </c>
      <c r="Q695" t="s">
        <v>2072</v>
      </c>
    </row>
    <row r="696" spans="1:19" x14ac:dyDescent="0.3">
      <c r="A696" t="s">
        <v>1460</v>
      </c>
      <c r="B696" t="s">
        <v>831</v>
      </c>
      <c r="C696" t="str">
        <f t="shared" si="145"/>
        <v>Mary Brown</v>
      </c>
      <c r="D696" t="s">
        <v>12</v>
      </c>
      <c r="E696" t="str">
        <f t="shared" si="139"/>
        <v>Female</v>
      </c>
      <c r="F696">
        <v>53</v>
      </c>
      <c r="G696" t="s">
        <v>145</v>
      </c>
      <c r="H696" t="s">
        <v>146</v>
      </c>
      <c r="I696" t="s">
        <v>22</v>
      </c>
      <c r="J696">
        <v>35</v>
      </c>
      <c r="K696" s="4" t="str" cm="1">
        <f t="array" ref="K696">_xlfn.IFS(J696&lt;=5,"0-5",J696&lt;=10,"6-10",J696&lt;=15,"11-15",J696&lt;=20,"16-20",J696&gt;20,"21+")</f>
        <v>21+</v>
      </c>
      <c r="N696" s="8" t="str">
        <f t="shared" si="140"/>
        <v/>
      </c>
      <c r="O696">
        <v>0</v>
      </c>
      <c r="P696">
        <v>1</v>
      </c>
      <c r="Q696" t="s">
        <v>2073</v>
      </c>
      <c r="R696" s="1">
        <v>0.67</v>
      </c>
      <c r="S696" s="3">
        <f t="shared" ref="S696:S702" si="151">R696</f>
        <v>0.67</v>
      </c>
    </row>
    <row r="697" spans="1:19" x14ac:dyDescent="0.3">
      <c r="A697" t="s">
        <v>1461</v>
      </c>
      <c r="B697" t="s">
        <v>1462</v>
      </c>
      <c r="C697" t="str">
        <f t="shared" si="145"/>
        <v>Jon Jones</v>
      </c>
      <c r="D697" t="s">
        <v>19</v>
      </c>
      <c r="E697" t="str">
        <f t="shared" si="139"/>
        <v>Male</v>
      </c>
      <c r="F697">
        <v>38</v>
      </c>
      <c r="G697" t="s">
        <v>85</v>
      </c>
      <c r="H697" t="s">
        <v>86</v>
      </c>
      <c r="I697" t="s">
        <v>15</v>
      </c>
      <c r="J697">
        <v>1</v>
      </c>
      <c r="K697" s="4" t="str" cm="1">
        <f t="array" ref="K697">_xlfn.IFS(J697&lt;=5,"0-5",J697&lt;=10,"6-10",J697&lt;=15,"11-15",J697&lt;=20,"16-20",J697&gt;20,"21+")</f>
        <v>0-5</v>
      </c>
      <c r="L697" t="s">
        <v>47</v>
      </c>
      <c r="M697" s="2" t="str">
        <f>TRIM(MID(L697,FIND(" ",L697)+1,LEN(L697)))</f>
        <v>40</v>
      </c>
      <c r="N697" s="8">
        <f t="shared" si="140"/>
        <v>40</v>
      </c>
      <c r="O697">
        <v>0</v>
      </c>
      <c r="P697">
        <v>0</v>
      </c>
      <c r="Q697" t="s">
        <v>2072</v>
      </c>
      <c r="R697" s="1">
        <v>0.96</v>
      </c>
      <c r="S697" s="3">
        <f t="shared" si="151"/>
        <v>0.96</v>
      </c>
    </row>
    <row r="698" spans="1:19" x14ac:dyDescent="0.3">
      <c r="A698" t="s">
        <v>1463</v>
      </c>
      <c r="B698" t="s">
        <v>1464</v>
      </c>
      <c r="C698" t="str">
        <f t="shared" si="145"/>
        <v>Jason Phillips</v>
      </c>
      <c r="D698" t="s">
        <v>89</v>
      </c>
      <c r="E698" t="str">
        <f t="shared" si="139"/>
        <v>Male</v>
      </c>
      <c r="F698">
        <v>29</v>
      </c>
      <c r="G698" t="s">
        <v>182</v>
      </c>
      <c r="H698" t="s">
        <v>64</v>
      </c>
      <c r="I698" t="s">
        <v>22</v>
      </c>
      <c r="K698" s="4" t="str" cm="1">
        <f t="array" ref="K698">_xlfn.IFS(J698&lt;=5,"0-5",J698&lt;=10,"6-10",J698&lt;=15,"11-15",J698&lt;=20,"16-20",J698&gt;20,"21+")</f>
        <v>0-5</v>
      </c>
      <c r="L698">
        <v>20</v>
      </c>
      <c r="M698" s="2">
        <f>L698</f>
        <v>20</v>
      </c>
      <c r="N698" s="8">
        <f t="shared" si="140"/>
        <v>20</v>
      </c>
      <c r="O698">
        <v>0</v>
      </c>
      <c r="P698">
        <v>0</v>
      </c>
      <c r="Q698" t="s">
        <v>2072</v>
      </c>
      <c r="R698" s="1">
        <v>0.9</v>
      </c>
      <c r="S698" s="3">
        <f t="shared" si="151"/>
        <v>0.9</v>
      </c>
    </row>
    <row r="699" spans="1:19" x14ac:dyDescent="0.3">
      <c r="A699" t="s">
        <v>1465</v>
      </c>
      <c r="B699" t="s">
        <v>1466</v>
      </c>
      <c r="C699" t="str">
        <f t="shared" si="145"/>
        <v>Eric Walsh</v>
      </c>
      <c r="D699" t="s">
        <v>84</v>
      </c>
      <c r="E699" t="str">
        <f t="shared" si="139"/>
        <v>Male</v>
      </c>
      <c r="F699">
        <v>42</v>
      </c>
      <c r="G699" t="s">
        <v>104</v>
      </c>
      <c r="H699" t="s">
        <v>105</v>
      </c>
      <c r="I699" t="s">
        <v>65</v>
      </c>
      <c r="J699">
        <v>0</v>
      </c>
      <c r="K699" s="4" t="str" cm="1">
        <f t="array" ref="K699">_xlfn.IFS(J699&lt;=5,"0-5",J699&lt;=10,"6-10",J699&lt;=15,"11-15",J699&lt;=20,"16-20",J699&gt;20,"21+")</f>
        <v>0-5</v>
      </c>
      <c r="N699" s="8" t="str">
        <f t="shared" si="140"/>
        <v/>
      </c>
      <c r="O699">
        <v>3.9</v>
      </c>
      <c r="P699" t="b">
        <v>0</v>
      </c>
      <c r="Q699" t="s">
        <v>2072</v>
      </c>
      <c r="R699" s="1">
        <v>0.62</v>
      </c>
      <c r="S699" s="3">
        <f t="shared" si="151"/>
        <v>0.62</v>
      </c>
    </row>
    <row r="700" spans="1:19" x14ac:dyDescent="0.3">
      <c r="A700" t="s">
        <v>1467</v>
      </c>
      <c r="B700" t="s">
        <v>1468</v>
      </c>
      <c r="C700" t="str">
        <f t="shared" si="145"/>
        <v>Carol Schneider</v>
      </c>
      <c r="D700" t="s">
        <v>6</v>
      </c>
      <c r="E700" t="str">
        <f t="shared" si="139"/>
        <v>Female</v>
      </c>
      <c r="F700">
        <v>54</v>
      </c>
      <c r="G700" t="s">
        <v>50</v>
      </c>
      <c r="H700" t="s">
        <v>14</v>
      </c>
      <c r="I700" t="s">
        <v>106</v>
      </c>
      <c r="J700">
        <v>9</v>
      </c>
      <c r="K700" s="4" t="str" cm="1">
        <f t="array" ref="K700">_xlfn.IFS(J700&lt;=5,"0-5",J700&lt;=10,"6-10",J700&lt;=15,"11-15",J700&lt;=20,"16-20",J700&gt;20,"21+")</f>
        <v>6-10</v>
      </c>
      <c r="L700">
        <v>100</v>
      </c>
      <c r="M700" s="2">
        <f>L700</f>
        <v>100</v>
      </c>
      <c r="N700" s="8">
        <f t="shared" si="140"/>
        <v>100</v>
      </c>
      <c r="P700" t="s">
        <v>23</v>
      </c>
      <c r="Q700" t="s">
        <v>2072</v>
      </c>
      <c r="R700" s="1">
        <v>0.72</v>
      </c>
      <c r="S700" s="3">
        <f t="shared" si="151"/>
        <v>0.72</v>
      </c>
    </row>
    <row r="701" spans="1:19" x14ac:dyDescent="0.3">
      <c r="A701" t="s">
        <v>1469</v>
      </c>
      <c r="B701" t="s">
        <v>1470</v>
      </c>
      <c r="C701" t="str">
        <f t="shared" si="145"/>
        <v>Juan Hines</v>
      </c>
      <c r="D701" t="s">
        <v>53</v>
      </c>
      <c r="E701" t="str">
        <f t="shared" si="139"/>
        <v>Male</v>
      </c>
      <c r="F701">
        <v>56</v>
      </c>
      <c r="G701" t="s">
        <v>167</v>
      </c>
      <c r="H701" t="s">
        <v>168</v>
      </c>
      <c r="I701" t="s">
        <v>65</v>
      </c>
      <c r="J701">
        <v>18</v>
      </c>
      <c r="K701" s="4" t="str" cm="1">
        <f t="array" ref="K701">_xlfn.IFS(J701&lt;=5,"0-5",J701&lt;=10,"6-10",J701&lt;=15,"11-15",J701&lt;=20,"16-20",J701&gt;20,"21+")</f>
        <v>16-20</v>
      </c>
      <c r="L701" t="s">
        <v>90</v>
      </c>
      <c r="M701" s="2" t="str">
        <f>TRIM(MID(L701,FIND(" ",L701)+1,LEN(L701)))</f>
        <v>50</v>
      </c>
      <c r="N701" s="8">
        <f t="shared" si="140"/>
        <v>50</v>
      </c>
      <c r="O701">
        <v>4.4000000000000004</v>
      </c>
      <c r="P701" t="s">
        <v>66</v>
      </c>
      <c r="Q701" t="s">
        <v>2073</v>
      </c>
      <c r="R701" s="1">
        <v>0.83</v>
      </c>
      <c r="S701" s="3">
        <f t="shared" si="151"/>
        <v>0.83</v>
      </c>
    </row>
    <row r="702" spans="1:19" x14ac:dyDescent="0.3">
      <c r="A702" t="s">
        <v>1471</v>
      </c>
      <c r="B702" t="s">
        <v>1472</v>
      </c>
      <c r="C702" t="str">
        <f t="shared" si="145"/>
        <v>Martha Sweeney</v>
      </c>
      <c r="D702" t="s">
        <v>6</v>
      </c>
      <c r="E702" t="str">
        <f t="shared" si="139"/>
        <v>Female</v>
      </c>
      <c r="F702">
        <v>47</v>
      </c>
      <c r="G702" t="s">
        <v>54</v>
      </c>
      <c r="H702" t="s">
        <v>55</v>
      </c>
      <c r="I702" t="s">
        <v>22</v>
      </c>
      <c r="J702">
        <v>22</v>
      </c>
      <c r="K702" s="4" t="str" cm="1">
        <f t="array" ref="K702">_xlfn.IFS(J702&lt;=5,"0-5",J702&lt;=10,"6-10",J702&lt;=15,"11-15",J702&lt;=20,"16-20",J702&gt;20,"21+")</f>
        <v>21+</v>
      </c>
      <c r="L702">
        <v>100</v>
      </c>
      <c r="M702" s="2">
        <f>L702</f>
        <v>100</v>
      </c>
      <c r="N702" s="8">
        <f t="shared" si="140"/>
        <v>100</v>
      </c>
      <c r="O702">
        <v>4.4000000000000004</v>
      </c>
      <c r="P702" t="s">
        <v>151</v>
      </c>
      <c r="Q702" t="s">
        <v>2072</v>
      </c>
      <c r="R702" s="1">
        <v>0.7</v>
      </c>
      <c r="S702" s="3">
        <f t="shared" si="151"/>
        <v>0.7</v>
      </c>
    </row>
    <row r="703" spans="1:19" x14ac:dyDescent="0.3">
      <c r="A703" t="s">
        <v>1473</v>
      </c>
      <c r="B703" t="s">
        <v>1474</v>
      </c>
      <c r="C703" t="str">
        <f t="shared" si="145"/>
        <v>Jason Weaver</v>
      </c>
      <c r="D703" t="s">
        <v>40</v>
      </c>
      <c r="E703" t="str">
        <f t="shared" si="139"/>
        <v>Male</v>
      </c>
      <c r="F703">
        <v>45</v>
      </c>
      <c r="G703" t="s">
        <v>116</v>
      </c>
      <c r="H703" t="s">
        <v>117</v>
      </c>
      <c r="I703" t="s">
        <v>9</v>
      </c>
      <c r="J703">
        <v>25</v>
      </c>
      <c r="K703" s="4" t="str" cm="1">
        <f t="array" ref="K703">_xlfn.IFS(J703&lt;=5,"0-5",J703&lt;=10,"6-10",J703&lt;=15,"11-15",J703&lt;=20,"16-20",J703&gt;20,"21+")</f>
        <v>21+</v>
      </c>
      <c r="L703">
        <v>50</v>
      </c>
      <c r="M703" s="2">
        <f>L703</f>
        <v>50</v>
      </c>
      <c r="N703" s="8">
        <f t="shared" si="140"/>
        <v>50</v>
      </c>
      <c r="O703">
        <v>0</v>
      </c>
      <c r="P703" t="s">
        <v>151</v>
      </c>
      <c r="Q703" t="s">
        <v>2072</v>
      </c>
      <c r="R703">
        <v>99</v>
      </c>
      <c r="S703" s="3">
        <f t="shared" ref="S703:S704" si="152">R703/100</f>
        <v>0.99</v>
      </c>
    </row>
    <row r="704" spans="1:19" x14ac:dyDescent="0.3">
      <c r="A704" t="s">
        <v>1475</v>
      </c>
      <c r="B704" t="s">
        <v>1476</v>
      </c>
      <c r="C704" t="str">
        <f t="shared" si="145"/>
        <v>Benjamin Stevens</v>
      </c>
      <c r="D704" t="s">
        <v>84</v>
      </c>
      <c r="E704" t="str">
        <f t="shared" si="139"/>
        <v>Male</v>
      </c>
      <c r="F704">
        <v>45</v>
      </c>
      <c r="G704" t="s">
        <v>167</v>
      </c>
      <c r="H704" t="s">
        <v>168</v>
      </c>
      <c r="I704" t="s">
        <v>43</v>
      </c>
      <c r="J704">
        <v>6</v>
      </c>
      <c r="K704" s="4" t="str" cm="1">
        <f t="array" ref="K704">_xlfn.IFS(J704&lt;=5,"0-5",J704&lt;=10,"6-10",J704&lt;=15,"11-15",J704&lt;=20,"16-20",J704&gt;20,"21+")</f>
        <v>6-10</v>
      </c>
      <c r="L704">
        <v>50</v>
      </c>
      <c r="M704" s="2">
        <f>L704</f>
        <v>50</v>
      </c>
      <c r="N704" s="8">
        <f t="shared" si="140"/>
        <v>50</v>
      </c>
      <c r="O704">
        <v>1.4</v>
      </c>
      <c r="R704">
        <v>97</v>
      </c>
      <c r="S704" s="3">
        <f t="shared" si="152"/>
        <v>0.97</v>
      </c>
    </row>
    <row r="705" spans="1:19" x14ac:dyDescent="0.3">
      <c r="A705" t="s">
        <v>1477</v>
      </c>
      <c r="B705" t="s">
        <v>1478</v>
      </c>
      <c r="C705" t="str">
        <f t="shared" si="145"/>
        <v>Daniel Lopez</v>
      </c>
      <c r="D705" t="s">
        <v>84</v>
      </c>
      <c r="E705" t="str">
        <f t="shared" si="139"/>
        <v>Male</v>
      </c>
      <c r="F705">
        <v>35</v>
      </c>
      <c r="G705" t="s">
        <v>120</v>
      </c>
      <c r="H705" t="s">
        <v>14</v>
      </c>
      <c r="I705" t="s">
        <v>106</v>
      </c>
      <c r="J705">
        <v>10</v>
      </c>
      <c r="K705" s="4" t="str" cm="1">
        <f t="array" ref="K705">_xlfn.IFS(J705&lt;=5,"0-5",J705&lt;=10,"6-10",J705&lt;=15,"11-15",J705&lt;=20,"16-20",J705&gt;20,"21+")</f>
        <v>6-10</v>
      </c>
      <c r="L705">
        <v>20</v>
      </c>
      <c r="M705" s="2">
        <f>L705</f>
        <v>20</v>
      </c>
      <c r="N705" s="8">
        <f t="shared" si="140"/>
        <v>20</v>
      </c>
      <c r="O705">
        <v>3.2</v>
      </c>
      <c r="P705" t="b">
        <v>1</v>
      </c>
      <c r="Q705" t="s">
        <v>2073</v>
      </c>
      <c r="R705" s="1">
        <v>0.77</v>
      </c>
      <c r="S705" s="3">
        <f t="shared" ref="S705:S708" si="153">R705</f>
        <v>0.77</v>
      </c>
    </row>
    <row r="706" spans="1:19" x14ac:dyDescent="0.3">
      <c r="A706" t="s">
        <v>1479</v>
      </c>
      <c r="B706" t="s">
        <v>1480</v>
      </c>
      <c r="C706" t="str">
        <f t="shared" si="145"/>
        <v>John Simpson</v>
      </c>
      <c r="D706" t="s">
        <v>19</v>
      </c>
      <c r="E706" t="str">
        <f t="shared" ref="E706:E769" si="154">IF(LOWER(LEFT(D706,1))="f","Female","Male")</f>
        <v>Male</v>
      </c>
      <c r="F706">
        <v>51</v>
      </c>
      <c r="G706" t="s">
        <v>120</v>
      </c>
      <c r="H706" t="s">
        <v>14</v>
      </c>
      <c r="I706" t="s">
        <v>81</v>
      </c>
      <c r="J706">
        <v>4</v>
      </c>
      <c r="K706" s="4" t="str" cm="1">
        <f t="array" ref="K706">_xlfn.IFS(J706&lt;=5,"0-5",J706&lt;=10,"6-10",J706&lt;=15,"11-15",J706&lt;=20,"16-20",J706&gt;20,"21+")</f>
        <v>0-5</v>
      </c>
      <c r="L706" t="s">
        <v>90</v>
      </c>
      <c r="M706" s="2" t="str">
        <f>TRIM(MID(L706,FIND(" ",L706)+1,LEN(L706)))</f>
        <v>50</v>
      </c>
      <c r="N706" s="8">
        <f t="shared" si="140"/>
        <v>50</v>
      </c>
      <c r="O706">
        <v>2</v>
      </c>
      <c r="P706" t="s">
        <v>151</v>
      </c>
      <c r="Q706" t="s">
        <v>2072</v>
      </c>
      <c r="R706" s="1">
        <v>0.92</v>
      </c>
      <c r="S706" s="3">
        <f t="shared" si="153"/>
        <v>0.92</v>
      </c>
    </row>
    <row r="707" spans="1:19" x14ac:dyDescent="0.3">
      <c r="A707" t="s">
        <v>1481</v>
      </c>
      <c r="B707" t="s">
        <v>1482</v>
      </c>
      <c r="C707" t="str">
        <f t="shared" si="145"/>
        <v>Katrina Schultz</v>
      </c>
      <c r="D707" t="s">
        <v>26</v>
      </c>
      <c r="E707" t="str">
        <f t="shared" si="154"/>
        <v>Female</v>
      </c>
      <c r="F707">
        <v>34</v>
      </c>
      <c r="G707" t="s">
        <v>182</v>
      </c>
      <c r="H707" t="s">
        <v>64</v>
      </c>
      <c r="I707" t="s">
        <v>15</v>
      </c>
      <c r="J707">
        <v>11</v>
      </c>
      <c r="K707" s="4" t="str" cm="1">
        <f t="array" ref="K707">_xlfn.IFS(J707&lt;=5,"0-5",J707&lt;=10,"6-10",J707&lt;=15,"11-15",J707&lt;=20,"16-20",J707&gt;20,"21+")</f>
        <v>11-15</v>
      </c>
      <c r="L707">
        <v>50</v>
      </c>
      <c r="M707" s="2">
        <f>L707</f>
        <v>50</v>
      </c>
      <c r="N707" s="8">
        <f t="shared" ref="N707:N770" si="155">IF(M707="", "", VALUE(M707))</f>
        <v>50</v>
      </c>
      <c r="O707">
        <v>3.3</v>
      </c>
      <c r="P707" t="s">
        <v>60</v>
      </c>
      <c r="Q707" t="s">
        <v>2073</v>
      </c>
      <c r="R707" s="1">
        <v>0.76</v>
      </c>
      <c r="S707" s="3">
        <f t="shared" si="153"/>
        <v>0.76</v>
      </c>
    </row>
    <row r="708" spans="1:19" x14ac:dyDescent="0.3">
      <c r="A708" t="s">
        <v>1483</v>
      </c>
      <c r="B708" t="s">
        <v>1484</v>
      </c>
      <c r="C708" t="str">
        <f t="shared" si="145"/>
        <v>Danielle Bell</v>
      </c>
      <c r="D708" t="s">
        <v>12</v>
      </c>
      <c r="E708" t="str">
        <f t="shared" si="154"/>
        <v>Female</v>
      </c>
      <c r="F708">
        <v>51</v>
      </c>
      <c r="G708" t="s">
        <v>41</v>
      </c>
      <c r="H708" t="s">
        <v>42</v>
      </c>
      <c r="I708" t="s">
        <v>22</v>
      </c>
      <c r="J708">
        <v>1</v>
      </c>
      <c r="K708" s="4" t="str" cm="1">
        <f t="array" ref="K708">_xlfn.IFS(J708&lt;=5,"0-5",J708&lt;=10,"6-10",J708&lt;=15,"11-15",J708&lt;=20,"16-20",J708&gt;20,"21+")</f>
        <v>0-5</v>
      </c>
      <c r="L708" t="s">
        <v>56</v>
      </c>
      <c r="M708" s="2" t="str">
        <f>SUBSTITUTE(L708,"$","")</f>
        <v>50</v>
      </c>
      <c r="N708" s="8">
        <f t="shared" si="155"/>
        <v>50</v>
      </c>
      <c r="O708">
        <v>0</v>
      </c>
      <c r="P708" t="s">
        <v>66</v>
      </c>
      <c r="Q708" t="s">
        <v>2073</v>
      </c>
      <c r="R708" s="1">
        <v>0.97</v>
      </c>
      <c r="S708" s="3">
        <f t="shared" si="153"/>
        <v>0.97</v>
      </c>
    </row>
    <row r="709" spans="1:19" x14ac:dyDescent="0.3">
      <c r="A709" t="s">
        <v>1485</v>
      </c>
      <c r="B709" t="s">
        <v>1486</v>
      </c>
      <c r="C709" t="str">
        <f t="shared" si="145"/>
        <v>Jason Brady</v>
      </c>
      <c r="D709" t="s">
        <v>84</v>
      </c>
      <c r="E709" t="str">
        <f t="shared" si="154"/>
        <v>Male</v>
      </c>
      <c r="F709">
        <v>58</v>
      </c>
      <c r="G709" t="s">
        <v>131</v>
      </c>
      <c r="H709" t="s">
        <v>132</v>
      </c>
      <c r="I709" t="s">
        <v>22</v>
      </c>
      <c r="J709">
        <v>35</v>
      </c>
      <c r="K709" s="4" t="str" cm="1">
        <f t="array" ref="K709">_xlfn.IFS(J709&lt;=5,"0-5",J709&lt;=10,"6-10",J709&lt;=15,"11-15",J709&lt;=20,"16-20",J709&gt;20,"21+")</f>
        <v>21+</v>
      </c>
      <c r="L709" t="s">
        <v>16</v>
      </c>
      <c r="M709" s="2" t="str">
        <f>TRIM(MID(L709,FIND(" ",L709)+1,LEN(L709)))</f>
        <v>100</v>
      </c>
      <c r="N709" s="8">
        <f t="shared" si="155"/>
        <v>100</v>
      </c>
      <c r="O709">
        <v>2.2999999999999998</v>
      </c>
      <c r="P709" t="s">
        <v>66</v>
      </c>
      <c r="Q709" t="s">
        <v>2073</v>
      </c>
    </row>
    <row r="710" spans="1:19" x14ac:dyDescent="0.3">
      <c r="A710" t="s">
        <v>1487</v>
      </c>
      <c r="B710" t="s">
        <v>1488</v>
      </c>
      <c r="C710" t="str">
        <f t="shared" si="145"/>
        <v>Megan Bright</v>
      </c>
      <c r="D710" t="s">
        <v>6</v>
      </c>
      <c r="E710" t="str">
        <f t="shared" si="154"/>
        <v>Female</v>
      </c>
      <c r="F710">
        <v>36</v>
      </c>
      <c r="G710" t="s">
        <v>34</v>
      </c>
      <c r="H710" t="s">
        <v>35</v>
      </c>
      <c r="I710" t="s">
        <v>27</v>
      </c>
      <c r="J710">
        <v>17</v>
      </c>
      <c r="K710" s="4" t="str" cm="1">
        <f t="array" ref="K710">_xlfn.IFS(J710&lt;=5,"0-5",J710&lt;=10,"6-10",J710&lt;=15,"11-15",J710&lt;=20,"16-20",J710&gt;20,"21+")</f>
        <v>16-20</v>
      </c>
      <c r="L710" t="s">
        <v>113</v>
      </c>
      <c r="M710" s="2" t="str">
        <f>SUBSTITUTE(L710,"$","")</f>
        <v>20</v>
      </c>
      <c r="N710" s="8">
        <f t="shared" si="155"/>
        <v>20</v>
      </c>
      <c r="O710">
        <v>0</v>
      </c>
      <c r="P710">
        <v>1</v>
      </c>
      <c r="Q710" t="s">
        <v>2073</v>
      </c>
      <c r="R710">
        <v>99</v>
      </c>
      <c r="S710" s="3">
        <f>R710/100</f>
        <v>0.99</v>
      </c>
    </row>
    <row r="711" spans="1:19" x14ac:dyDescent="0.3">
      <c r="A711" t="s">
        <v>1489</v>
      </c>
      <c r="B711" t="s">
        <v>1490</v>
      </c>
      <c r="C711" t="str">
        <f t="shared" si="145"/>
        <v>David Griffin</v>
      </c>
      <c r="D711" t="s">
        <v>53</v>
      </c>
      <c r="E711" t="str">
        <f t="shared" si="154"/>
        <v>Male</v>
      </c>
      <c r="G711" t="s">
        <v>116</v>
      </c>
      <c r="H711" t="s">
        <v>117</v>
      </c>
      <c r="I711" t="s">
        <v>36</v>
      </c>
      <c r="J711">
        <v>12</v>
      </c>
      <c r="K711" s="4" t="str" cm="1">
        <f t="array" ref="K711">_xlfn.IFS(J711&lt;=5,"0-5",J711&lt;=10,"6-10",J711&lt;=15,"11-15",J711&lt;=20,"16-20",J711&gt;20,"21+")</f>
        <v>11-15</v>
      </c>
      <c r="L711">
        <v>30</v>
      </c>
      <c r="M711" s="2">
        <f>L711</f>
        <v>30</v>
      </c>
      <c r="N711" s="8">
        <f t="shared" si="155"/>
        <v>30</v>
      </c>
      <c r="O711">
        <v>2.6</v>
      </c>
      <c r="P711" t="s">
        <v>66</v>
      </c>
      <c r="Q711" t="s">
        <v>2073</v>
      </c>
    </row>
    <row r="712" spans="1:19" x14ac:dyDescent="0.3">
      <c r="A712" t="s">
        <v>1491</v>
      </c>
      <c r="B712" t="s">
        <v>1492</v>
      </c>
      <c r="C712" t="str">
        <f t="shared" si="145"/>
        <v>Michael Clark</v>
      </c>
      <c r="D712" t="s">
        <v>84</v>
      </c>
      <c r="E712" t="str">
        <f t="shared" si="154"/>
        <v>Male</v>
      </c>
      <c r="F712">
        <v>56</v>
      </c>
      <c r="G712" t="s">
        <v>145</v>
      </c>
      <c r="H712" t="s">
        <v>146</v>
      </c>
      <c r="I712" t="s">
        <v>106</v>
      </c>
      <c r="J712">
        <v>30</v>
      </c>
      <c r="K712" s="4" t="str" cm="1">
        <f t="array" ref="K712">_xlfn.IFS(J712&lt;=5,"0-5",J712&lt;=10,"6-10",J712&lt;=15,"11-15",J712&lt;=20,"16-20",J712&gt;20,"21+")</f>
        <v>21+</v>
      </c>
      <c r="L712">
        <v>40</v>
      </c>
      <c r="M712" s="2">
        <f>L712</f>
        <v>40</v>
      </c>
      <c r="N712" s="8">
        <f t="shared" si="155"/>
        <v>40</v>
      </c>
      <c r="O712">
        <v>3.3</v>
      </c>
      <c r="P712" t="s">
        <v>60</v>
      </c>
      <c r="Q712" t="s">
        <v>2073</v>
      </c>
      <c r="R712" s="1">
        <v>0.82</v>
      </c>
      <c r="S712" s="3">
        <f t="shared" ref="S712:S713" si="156">R712</f>
        <v>0.82</v>
      </c>
    </row>
    <row r="713" spans="1:19" x14ac:dyDescent="0.3">
      <c r="A713" t="s">
        <v>1493</v>
      </c>
      <c r="B713" t="s">
        <v>1494</v>
      </c>
      <c r="C713" t="str">
        <f t="shared" si="145"/>
        <v>Rebecca Barker</v>
      </c>
      <c r="D713" t="s">
        <v>6</v>
      </c>
      <c r="E713" t="str">
        <f t="shared" si="154"/>
        <v>Female</v>
      </c>
      <c r="F713">
        <v>58</v>
      </c>
      <c r="G713" t="s">
        <v>120</v>
      </c>
      <c r="H713" t="s">
        <v>14</v>
      </c>
      <c r="I713" t="s">
        <v>70</v>
      </c>
      <c r="J713">
        <v>20</v>
      </c>
      <c r="K713" s="4" t="str" cm="1">
        <f t="array" ref="K713">_xlfn.IFS(J713&lt;=5,"0-5",J713&lt;=10,"6-10",J713&lt;=15,"11-15",J713&lt;=20,"16-20",J713&gt;20,"21+")</f>
        <v>16-20</v>
      </c>
      <c r="L713">
        <v>75</v>
      </c>
      <c r="M713" s="2">
        <f>L713</f>
        <v>75</v>
      </c>
      <c r="N713" s="8">
        <f t="shared" si="155"/>
        <v>75</v>
      </c>
      <c r="O713">
        <v>3.6</v>
      </c>
      <c r="P713" t="s">
        <v>60</v>
      </c>
      <c r="Q713" t="s">
        <v>2073</v>
      </c>
      <c r="R713" s="1">
        <v>0.78</v>
      </c>
      <c r="S713" s="3">
        <f t="shared" si="156"/>
        <v>0.78</v>
      </c>
    </row>
    <row r="714" spans="1:19" x14ac:dyDescent="0.3">
      <c r="A714" t="s">
        <v>1495</v>
      </c>
      <c r="B714" t="s">
        <v>1496</v>
      </c>
      <c r="C714" t="str">
        <f t="shared" si="145"/>
        <v>Angela Smith</v>
      </c>
      <c r="D714" t="s">
        <v>6</v>
      </c>
      <c r="E714" t="str">
        <f t="shared" si="154"/>
        <v>Female</v>
      </c>
      <c r="F714">
        <v>58</v>
      </c>
      <c r="G714" t="s">
        <v>50</v>
      </c>
      <c r="H714" t="s">
        <v>14</v>
      </c>
      <c r="I714" t="s">
        <v>70</v>
      </c>
      <c r="J714">
        <v>22</v>
      </c>
      <c r="K714" s="4" t="str" cm="1">
        <f t="array" ref="K714">_xlfn.IFS(J714&lt;=5,"0-5",J714&lt;=10,"6-10",J714&lt;=15,"11-15",J714&lt;=20,"16-20",J714&gt;20,"21+")</f>
        <v>21+</v>
      </c>
      <c r="L714">
        <v>100</v>
      </c>
      <c r="M714" s="2">
        <f>L714</f>
        <v>100</v>
      </c>
      <c r="N714" s="8">
        <f t="shared" si="155"/>
        <v>100</v>
      </c>
      <c r="O714">
        <v>3.7</v>
      </c>
      <c r="P714">
        <v>0</v>
      </c>
      <c r="Q714" t="s">
        <v>2072</v>
      </c>
    </row>
    <row r="715" spans="1:19" x14ac:dyDescent="0.3">
      <c r="A715" t="s">
        <v>1497</v>
      </c>
      <c r="B715" t="s">
        <v>1498</v>
      </c>
      <c r="C715" t="str">
        <f t="shared" si="145"/>
        <v>Christina Wright</v>
      </c>
      <c r="D715" t="s">
        <v>26</v>
      </c>
      <c r="E715" t="str">
        <f t="shared" si="154"/>
        <v>Female</v>
      </c>
      <c r="F715">
        <v>54</v>
      </c>
      <c r="G715" t="s">
        <v>59</v>
      </c>
      <c r="H715" t="s">
        <v>14</v>
      </c>
      <c r="I715" t="s">
        <v>36</v>
      </c>
      <c r="J715">
        <v>32</v>
      </c>
      <c r="K715" s="4" t="str" cm="1">
        <f t="array" ref="K715">_xlfn.IFS(J715&lt;=5,"0-5",J715&lt;=10,"6-10",J715&lt;=15,"11-15",J715&lt;=20,"16-20",J715&gt;20,"21+")</f>
        <v>21+</v>
      </c>
      <c r="L715" t="s">
        <v>113</v>
      </c>
      <c r="M715" s="2" t="str">
        <f>SUBSTITUTE(L715,"$","")</f>
        <v>20</v>
      </c>
      <c r="N715" s="8">
        <f t="shared" si="155"/>
        <v>20</v>
      </c>
      <c r="O715">
        <v>3.4</v>
      </c>
      <c r="P715" t="s">
        <v>151</v>
      </c>
      <c r="Q715" t="s">
        <v>2072</v>
      </c>
    </row>
    <row r="716" spans="1:19" x14ac:dyDescent="0.3">
      <c r="A716" t="s">
        <v>1499</v>
      </c>
      <c r="B716" t="s">
        <v>1500</v>
      </c>
      <c r="C716" t="str">
        <f t="shared" si="145"/>
        <v>Todd Turner</v>
      </c>
      <c r="D716" t="s">
        <v>19</v>
      </c>
      <c r="E716" t="str">
        <f t="shared" si="154"/>
        <v>Male</v>
      </c>
      <c r="F716">
        <v>53</v>
      </c>
      <c r="G716" t="s">
        <v>13</v>
      </c>
      <c r="H716" t="s">
        <v>14</v>
      </c>
      <c r="I716" t="s">
        <v>65</v>
      </c>
      <c r="J716">
        <v>9</v>
      </c>
      <c r="K716" s="4" t="str" cm="1">
        <f t="array" ref="K716">_xlfn.IFS(J716&lt;=5,"0-5",J716&lt;=10,"6-10",J716&lt;=15,"11-15",J716&lt;=20,"16-20",J716&gt;20,"21+")</f>
        <v>6-10</v>
      </c>
      <c r="L716">
        <v>50</v>
      </c>
      <c r="M716" s="2">
        <f>L716</f>
        <v>50</v>
      </c>
      <c r="N716" s="8">
        <f t="shared" si="155"/>
        <v>50</v>
      </c>
      <c r="O716">
        <v>4</v>
      </c>
      <c r="P716" t="s">
        <v>66</v>
      </c>
      <c r="Q716" t="s">
        <v>2073</v>
      </c>
      <c r="R716" s="1">
        <v>0.72</v>
      </c>
      <c r="S716" s="3">
        <f>R716</f>
        <v>0.72</v>
      </c>
    </row>
    <row r="717" spans="1:19" x14ac:dyDescent="0.3">
      <c r="A717" t="s">
        <v>1501</v>
      </c>
      <c r="B717" t="s">
        <v>1502</v>
      </c>
      <c r="C717" t="str">
        <f t="shared" si="145"/>
        <v>Elizabeth Green</v>
      </c>
      <c r="D717" t="s">
        <v>69</v>
      </c>
      <c r="E717" t="str">
        <f t="shared" si="154"/>
        <v>Female</v>
      </c>
      <c r="F717">
        <v>43</v>
      </c>
      <c r="G717" t="s">
        <v>13</v>
      </c>
      <c r="H717" t="s">
        <v>14</v>
      </c>
      <c r="I717" t="s">
        <v>27</v>
      </c>
      <c r="J717">
        <v>22</v>
      </c>
      <c r="K717" s="4" t="str" cm="1">
        <f t="array" ref="K717">_xlfn.IFS(J717&lt;=5,"0-5",J717&lt;=10,"6-10",J717&lt;=15,"11-15",J717&lt;=20,"16-20",J717&gt;20,"21+")</f>
        <v>21+</v>
      </c>
      <c r="L717">
        <v>40</v>
      </c>
      <c r="M717" s="2">
        <f>L717</f>
        <v>40</v>
      </c>
      <c r="N717" s="8">
        <f t="shared" si="155"/>
        <v>40</v>
      </c>
      <c r="O717">
        <v>4.5</v>
      </c>
    </row>
    <row r="718" spans="1:19" x14ac:dyDescent="0.3">
      <c r="A718" t="s">
        <v>1503</v>
      </c>
      <c r="B718" t="s">
        <v>1504</v>
      </c>
      <c r="C718" t="str">
        <f t="shared" si="145"/>
        <v>Alex Smith</v>
      </c>
      <c r="D718" t="s">
        <v>84</v>
      </c>
      <c r="E718" t="str">
        <f t="shared" si="154"/>
        <v>Male</v>
      </c>
      <c r="F718">
        <v>44</v>
      </c>
      <c r="G718" t="s">
        <v>104</v>
      </c>
      <c r="H718" t="s">
        <v>105</v>
      </c>
      <c r="I718" t="s">
        <v>106</v>
      </c>
      <c r="J718">
        <v>1</v>
      </c>
      <c r="K718" s="4" t="str" cm="1">
        <f t="array" ref="K718">_xlfn.IFS(J718&lt;=5,"0-5",J718&lt;=10,"6-10",J718&lt;=15,"11-15",J718&lt;=20,"16-20",J718&gt;20,"21+")</f>
        <v>0-5</v>
      </c>
      <c r="L718">
        <v>75</v>
      </c>
      <c r="M718" s="2">
        <f>L718</f>
        <v>75</v>
      </c>
      <c r="N718" s="8">
        <f t="shared" si="155"/>
        <v>75</v>
      </c>
      <c r="O718">
        <v>4.3</v>
      </c>
      <c r="P718">
        <v>1</v>
      </c>
      <c r="Q718" t="s">
        <v>2073</v>
      </c>
    </row>
    <row r="719" spans="1:19" x14ac:dyDescent="0.3">
      <c r="A719" t="s">
        <v>1505</v>
      </c>
      <c r="B719" t="s">
        <v>1506</v>
      </c>
      <c r="C719" t="str">
        <f t="shared" si="145"/>
        <v>Shane Hale</v>
      </c>
      <c r="D719" t="s">
        <v>84</v>
      </c>
      <c r="E719" t="str">
        <f t="shared" si="154"/>
        <v>Male</v>
      </c>
      <c r="F719">
        <v>34</v>
      </c>
      <c r="G719" t="s">
        <v>120</v>
      </c>
      <c r="H719" t="s">
        <v>14</v>
      </c>
      <c r="I719" t="s">
        <v>70</v>
      </c>
      <c r="J719">
        <v>4</v>
      </c>
      <c r="K719" s="4" t="str" cm="1">
        <f t="array" ref="K719">_xlfn.IFS(J719&lt;=5,"0-5",J719&lt;=10,"6-10",J719&lt;=15,"11-15",J719&lt;=20,"16-20",J719&gt;20,"21+")</f>
        <v>0-5</v>
      </c>
      <c r="L719">
        <v>75</v>
      </c>
      <c r="M719" s="2">
        <f>L719</f>
        <v>75</v>
      </c>
      <c r="N719" s="8">
        <f t="shared" si="155"/>
        <v>75</v>
      </c>
      <c r="O719">
        <v>4</v>
      </c>
      <c r="P719">
        <v>1</v>
      </c>
      <c r="Q719" t="s">
        <v>2073</v>
      </c>
    </row>
    <row r="720" spans="1:19" x14ac:dyDescent="0.3">
      <c r="A720" t="s">
        <v>1507</v>
      </c>
      <c r="B720" t="s">
        <v>1508</v>
      </c>
      <c r="C720" t="str">
        <f t="shared" si="145"/>
        <v>Kathy Grimes</v>
      </c>
      <c r="D720" t="s">
        <v>31</v>
      </c>
      <c r="E720" t="str">
        <f t="shared" si="154"/>
        <v>Female</v>
      </c>
      <c r="F720">
        <v>27</v>
      </c>
      <c r="G720" t="s">
        <v>99</v>
      </c>
      <c r="H720" t="s">
        <v>100</v>
      </c>
      <c r="I720" t="s">
        <v>15</v>
      </c>
      <c r="J720">
        <v>8</v>
      </c>
      <c r="K720" s="4" t="str" cm="1">
        <f t="array" ref="K720">_xlfn.IFS(J720&lt;=5,"0-5",J720&lt;=10,"6-10",J720&lt;=15,"11-15",J720&lt;=20,"16-20",J720&gt;20,"21+")</f>
        <v>6-10</v>
      </c>
      <c r="L720" t="s">
        <v>56</v>
      </c>
      <c r="M720" s="2" t="str">
        <f>SUBSTITUTE(L720,"$","")</f>
        <v>50</v>
      </c>
      <c r="N720" s="8">
        <f t="shared" si="155"/>
        <v>50</v>
      </c>
      <c r="O720">
        <v>1.6</v>
      </c>
      <c r="P720" t="s">
        <v>60</v>
      </c>
      <c r="Q720" t="s">
        <v>2073</v>
      </c>
    </row>
    <row r="721" spans="1:19" x14ac:dyDescent="0.3">
      <c r="A721" t="s">
        <v>1509</v>
      </c>
      <c r="B721" t="s">
        <v>1510</v>
      </c>
      <c r="C721" t="str">
        <f t="shared" si="145"/>
        <v>David Cherry</v>
      </c>
      <c r="D721" t="s">
        <v>40</v>
      </c>
      <c r="E721" t="str">
        <f t="shared" si="154"/>
        <v>Male</v>
      </c>
      <c r="F721">
        <v>50</v>
      </c>
      <c r="G721" t="s">
        <v>77</v>
      </c>
      <c r="H721" t="s">
        <v>78</v>
      </c>
      <c r="I721" t="s">
        <v>43</v>
      </c>
      <c r="J721">
        <v>3</v>
      </c>
      <c r="K721" s="4" t="str" cm="1">
        <f t="array" ref="K721">_xlfn.IFS(J721&lt;=5,"0-5",J721&lt;=10,"6-10",J721&lt;=15,"11-15",J721&lt;=20,"16-20",J721&gt;20,"21+")</f>
        <v>0-5</v>
      </c>
      <c r="L721">
        <v>100</v>
      </c>
      <c r="M721" s="2">
        <f>L721</f>
        <v>100</v>
      </c>
      <c r="N721" s="8">
        <f t="shared" si="155"/>
        <v>100</v>
      </c>
      <c r="O721">
        <v>0</v>
      </c>
      <c r="P721" t="s">
        <v>66</v>
      </c>
      <c r="Q721" t="s">
        <v>2073</v>
      </c>
    </row>
    <row r="722" spans="1:19" x14ac:dyDescent="0.3">
      <c r="A722" t="s">
        <v>1511</v>
      </c>
      <c r="B722" t="s">
        <v>1512</v>
      </c>
      <c r="C722" t="str">
        <f t="shared" si="145"/>
        <v>Rachel Rogers</v>
      </c>
      <c r="D722" t="s">
        <v>31</v>
      </c>
      <c r="E722" t="str">
        <f t="shared" si="154"/>
        <v>Female</v>
      </c>
      <c r="F722">
        <v>52</v>
      </c>
      <c r="G722" t="s">
        <v>104</v>
      </c>
      <c r="H722" t="s">
        <v>105</v>
      </c>
      <c r="I722" t="s">
        <v>65</v>
      </c>
      <c r="J722">
        <v>30</v>
      </c>
      <c r="K722" s="4" t="str" cm="1">
        <f t="array" ref="K722">_xlfn.IFS(J722&lt;=5,"0-5",J722&lt;=10,"6-10",J722&lt;=15,"11-15",J722&lt;=20,"16-20",J722&gt;20,"21+")</f>
        <v>21+</v>
      </c>
      <c r="L722">
        <v>75</v>
      </c>
      <c r="M722" s="2">
        <f>L722</f>
        <v>75</v>
      </c>
      <c r="N722" s="8">
        <f t="shared" si="155"/>
        <v>75</v>
      </c>
      <c r="P722" t="s">
        <v>151</v>
      </c>
      <c r="Q722" t="s">
        <v>2072</v>
      </c>
      <c r="R722" s="1">
        <v>0.94</v>
      </c>
      <c r="S722" s="3">
        <f>R722</f>
        <v>0.94</v>
      </c>
    </row>
    <row r="723" spans="1:19" x14ac:dyDescent="0.3">
      <c r="A723" t="s">
        <v>1513</v>
      </c>
      <c r="B723" t="s">
        <v>1514</v>
      </c>
      <c r="C723" t="str">
        <f t="shared" si="145"/>
        <v>Travis Braun</v>
      </c>
      <c r="D723" t="s">
        <v>53</v>
      </c>
      <c r="E723" t="str">
        <f t="shared" si="154"/>
        <v>Male</v>
      </c>
      <c r="F723">
        <v>57</v>
      </c>
      <c r="G723" t="s">
        <v>182</v>
      </c>
      <c r="H723" t="s">
        <v>64</v>
      </c>
      <c r="I723" t="s">
        <v>9</v>
      </c>
      <c r="J723">
        <v>11</v>
      </c>
      <c r="K723" s="4" t="str" cm="1">
        <f t="array" ref="K723">_xlfn.IFS(J723&lt;=5,"0-5",J723&lt;=10,"6-10",J723&lt;=15,"11-15",J723&lt;=20,"16-20",J723&gt;20,"21+")</f>
        <v>11-15</v>
      </c>
      <c r="L723" t="s">
        <v>306</v>
      </c>
      <c r="M723" s="2" t="str">
        <f>TRIM(MID(L723,FIND(" ",L723)+1,LEN(L723)))</f>
        <v>20</v>
      </c>
      <c r="N723" s="8">
        <f t="shared" si="155"/>
        <v>20</v>
      </c>
      <c r="O723">
        <v>4.9000000000000004</v>
      </c>
      <c r="P723" t="s">
        <v>66</v>
      </c>
      <c r="Q723" t="s">
        <v>2073</v>
      </c>
    </row>
    <row r="724" spans="1:19" x14ac:dyDescent="0.3">
      <c r="A724" t="s">
        <v>1515</v>
      </c>
      <c r="B724" t="s">
        <v>1516</v>
      </c>
      <c r="C724" t="str">
        <f t="shared" si="145"/>
        <v>Shawna Palmer</v>
      </c>
      <c r="D724" t="s">
        <v>31</v>
      </c>
      <c r="E724" t="str">
        <f t="shared" si="154"/>
        <v>Female</v>
      </c>
      <c r="F724">
        <v>53</v>
      </c>
      <c r="G724" t="s">
        <v>171</v>
      </c>
      <c r="H724" t="s">
        <v>64</v>
      </c>
      <c r="I724" t="s">
        <v>81</v>
      </c>
      <c r="J724">
        <v>8</v>
      </c>
      <c r="K724" s="4" t="str" cm="1">
        <f t="array" ref="K724">_xlfn.IFS(J724&lt;=5,"0-5",J724&lt;=10,"6-10",J724&lt;=15,"11-15",J724&lt;=20,"16-20",J724&gt;20,"21+")</f>
        <v>6-10</v>
      </c>
      <c r="L724">
        <v>20</v>
      </c>
      <c r="M724" s="2">
        <f>L724</f>
        <v>20</v>
      </c>
      <c r="N724" s="8">
        <f t="shared" si="155"/>
        <v>20</v>
      </c>
      <c r="O724">
        <v>2.8</v>
      </c>
      <c r="P724" t="b">
        <v>1</v>
      </c>
      <c r="Q724" t="s">
        <v>2073</v>
      </c>
    </row>
    <row r="725" spans="1:19" x14ac:dyDescent="0.3">
      <c r="A725" t="s">
        <v>1517</v>
      </c>
      <c r="B725" t="s">
        <v>1518</v>
      </c>
      <c r="C725" t="str">
        <f t="shared" si="145"/>
        <v>Bradley Gaines</v>
      </c>
      <c r="D725" t="s">
        <v>40</v>
      </c>
      <c r="E725" t="str">
        <f t="shared" si="154"/>
        <v>Male</v>
      </c>
      <c r="F725">
        <v>51</v>
      </c>
      <c r="G725" t="s">
        <v>54</v>
      </c>
      <c r="H725" t="s">
        <v>55</v>
      </c>
      <c r="I725" t="s">
        <v>65</v>
      </c>
      <c r="J725">
        <v>11</v>
      </c>
      <c r="K725" s="4" t="str" cm="1">
        <f t="array" ref="K725">_xlfn.IFS(J725&lt;=5,"0-5",J725&lt;=10,"6-10",J725&lt;=15,"11-15",J725&lt;=20,"16-20",J725&gt;20,"21+")</f>
        <v>11-15</v>
      </c>
      <c r="L725" t="s">
        <v>101</v>
      </c>
      <c r="M725" s="2" t="str">
        <f>TRIM(MID(L725,FIND(" ",L725)+1,LEN(L725)))</f>
        <v>30</v>
      </c>
      <c r="N725" s="8">
        <f t="shared" si="155"/>
        <v>30</v>
      </c>
      <c r="O725">
        <v>3.6</v>
      </c>
      <c r="P725" t="s">
        <v>66</v>
      </c>
      <c r="Q725" t="s">
        <v>2073</v>
      </c>
      <c r="R725" s="1">
        <v>0.77</v>
      </c>
      <c r="S725" s="3">
        <f>R725</f>
        <v>0.77</v>
      </c>
    </row>
    <row r="726" spans="1:19" x14ac:dyDescent="0.3">
      <c r="A726" t="s">
        <v>1519</v>
      </c>
      <c r="B726" t="s">
        <v>1520</v>
      </c>
      <c r="C726" t="str">
        <f t="shared" si="145"/>
        <v>April Ford</v>
      </c>
      <c r="D726" t="s">
        <v>12</v>
      </c>
      <c r="E726" t="str">
        <f t="shared" si="154"/>
        <v>Female</v>
      </c>
      <c r="F726">
        <v>37</v>
      </c>
      <c r="G726" t="s">
        <v>120</v>
      </c>
      <c r="H726" t="s">
        <v>14</v>
      </c>
      <c r="I726" t="s">
        <v>70</v>
      </c>
      <c r="J726">
        <v>9</v>
      </c>
      <c r="K726" s="4" t="str" cm="1">
        <f t="array" ref="K726">_xlfn.IFS(J726&lt;=5,"0-5",J726&lt;=10,"6-10",J726&lt;=15,"11-15",J726&lt;=20,"16-20",J726&gt;20,"21+")</f>
        <v>6-10</v>
      </c>
      <c r="L726" t="s">
        <v>56</v>
      </c>
      <c r="M726" s="2" t="str">
        <f>SUBSTITUTE(L726,"$","")</f>
        <v>50</v>
      </c>
      <c r="N726" s="8">
        <f t="shared" si="155"/>
        <v>50</v>
      </c>
      <c r="P726" t="s">
        <v>60</v>
      </c>
      <c r="Q726" t="s">
        <v>2073</v>
      </c>
      <c r="R726">
        <v>84</v>
      </c>
      <c r="S726" s="3">
        <f t="shared" ref="S726:S727" si="157">R726/100</f>
        <v>0.84</v>
      </c>
    </row>
    <row r="727" spans="1:19" x14ac:dyDescent="0.3">
      <c r="A727" t="s">
        <v>1521</v>
      </c>
      <c r="B727" t="s">
        <v>1522</v>
      </c>
      <c r="C727" t="str">
        <f t="shared" si="145"/>
        <v>James Gonzalez</v>
      </c>
      <c r="D727" t="s">
        <v>53</v>
      </c>
      <c r="E727" t="str">
        <f t="shared" si="154"/>
        <v>Male</v>
      </c>
      <c r="F727">
        <v>40</v>
      </c>
      <c r="G727" t="s">
        <v>182</v>
      </c>
      <c r="H727" t="s">
        <v>64</v>
      </c>
      <c r="I727" t="s">
        <v>27</v>
      </c>
      <c r="J727">
        <v>7</v>
      </c>
      <c r="K727" s="4" t="str" cm="1">
        <f t="array" ref="K727">_xlfn.IFS(J727&lt;=5,"0-5",J727&lt;=10,"6-10",J727&lt;=15,"11-15",J727&lt;=20,"16-20",J727&gt;20,"21+")</f>
        <v>6-10</v>
      </c>
      <c r="L727">
        <v>40</v>
      </c>
      <c r="M727" s="2">
        <f>L727</f>
        <v>40</v>
      </c>
      <c r="N727" s="8">
        <f t="shared" si="155"/>
        <v>40</v>
      </c>
      <c r="O727">
        <v>4.5</v>
      </c>
      <c r="R727">
        <v>79</v>
      </c>
      <c r="S727" s="3">
        <f t="shared" si="157"/>
        <v>0.79</v>
      </c>
    </row>
    <row r="728" spans="1:19" x14ac:dyDescent="0.3">
      <c r="A728" t="s">
        <v>1523</v>
      </c>
      <c r="B728" t="s">
        <v>1524</v>
      </c>
      <c r="C728" t="str">
        <f t="shared" si="145"/>
        <v>John Castillo</v>
      </c>
      <c r="D728" t="s">
        <v>40</v>
      </c>
      <c r="E728" t="str">
        <f t="shared" si="154"/>
        <v>Male</v>
      </c>
      <c r="F728">
        <v>60</v>
      </c>
      <c r="G728" t="s">
        <v>77</v>
      </c>
      <c r="H728" t="s">
        <v>78</v>
      </c>
      <c r="I728" t="s">
        <v>43</v>
      </c>
      <c r="J728">
        <v>24</v>
      </c>
      <c r="K728" s="4" t="str" cm="1">
        <f t="array" ref="K728">_xlfn.IFS(J728&lt;=5,"0-5",J728&lt;=10,"6-10",J728&lt;=15,"11-15",J728&lt;=20,"16-20",J728&gt;20,"21+")</f>
        <v>21+</v>
      </c>
      <c r="L728" t="s">
        <v>47</v>
      </c>
      <c r="M728" s="2" t="str">
        <f>TRIM(MID(L728,FIND(" ",L728)+1,LEN(L728)))</f>
        <v>40</v>
      </c>
      <c r="N728" s="8">
        <f t="shared" si="155"/>
        <v>40</v>
      </c>
      <c r="O728">
        <v>3.1</v>
      </c>
      <c r="P728">
        <v>0</v>
      </c>
      <c r="Q728" t="s">
        <v>2072</v>
      </c>
      <c r="R728" s="1">
        <v>0.69</v>
      </c>
      <c r="S728" s="3">
        <f t="shared" ref="S728:S729" si="158">R728</f>
        <v>0.69</v>
      </c>
    </row>
    <row r="729" spans="1:19" x14ac:dyDescent="0.3">
      <c r="A729" t="s">
        <v>1525</v>
      </c>
      <c r="B729" t="s">
        <v>1526</v>
      </c>
      <c r="C729" t="str">
        <f t="shared" si="145"/>
        <v>Ian Hayes</v>
      </c>
      <c r="D729" t="s">
        <v>84</v>
      </c>
      <c r="E729" t="str">
        <f t="shared" si="154"/>
        <v>Male</v>
      </c>
      <c r="F729">
        <v>60</v>
      </c>
      <c r="G729" t="s">
        <v>127</v>
      </c>
      <c r="H729" t="s">
        <v>128</v>
      </c>
      <c r="I729" t="s">
        <v>65</v>
      </c>
      <c r="J729">
        <v>0</v>
      </c>
      <c r="K729" s="4" t="str" cm="1">
        <f t="array" ref="K729">_xlfn.IFS(J729&lt;=5,"0-5",J729&lt;=10,"6-10",J729&lt;=15,"11-15",J729&lt;=20,"16-20",J729&gt;20,"21+")</f>
        <v>0-5</v>
      </c>
      <c r="L729">
        <v>40</v>
      </c>
      <c r="M729" s="2">
        <f>L729</f>
        <v>40</v>
      </c>
      <c r="N729" s="8">
        <f t="shared" si="155"/>
        <v>40</v>
      </c>
      <c r="O729">
        <v>4.9000000000000004</v>
      </c>
      <c r="P729" t="s">
        <v>66</v>
      </c>
      <c r="Q729" t="s">
        <v>2073</v>
      </c>
      <c r="R729" s="1">
        <v>0.68</v>
      </c>
      <c r="S729" s="3">
        <f t="shared" si="158"/>
        <v>0.68</v>
      </c>
    </row>
    <row r="730" spans="1:19" x14ac:dyDescent="0.3">
      <c r="A730" t="s">
        <v>1527</v>
      </c>
      <c r="B730" t="s">
        <v>1528</v>
      </c>
      <c r="C730" t="str">
        <f t="shared" si="145"/>
        <v>Christine Castro</v>
      </c>
      <c r="D730" t="s">
        <v>69</v>
      </c>
      <c r="E730" t="str">
        <f t="shared" si="154"/>
        <v>Female</v>
      </c>
      <c r="F730">
        <v>53</v>
      </c>
      <c r="G730" t="s">
        <v>104</v>
      </c>
      <c r="H730" t="s">
        <v>105</v>
      </c>
      <c r="I730" t="s">
        <v>65</v>
      </c>
      <c r="J730">
        <v>21</v>
      </c>
      <c r="K730" s="4" t="str" cm="1">
        <f t="array" ref="K730">_xlfn.IFS(J730&lt;=5,"0-5",J730&lt;=10,"6-10",J730&lt;=15,"11-15",J730&lt;=20,"16-20",J730&gt;20,"21+")</f>
        <v>21+</v>
      </c>
      <c r="L730" t="s">
        <v>37</v>
      </c>
      <c r="M730" s="2" t="str">
        <f>SUBSTITUTE(L730,"$","")</f>
        <v>30</v>
      </c>
      <c r="N730" s="8">
        <f t="shared" si="155"/>
        <v>30</v>
      </c>
      <c r="O730">
        <v>4.2</v>
      </c>
      <c r="P730">
        <v>1</v>
      </c>
      <c r="Q730" t="s">
        <v>2073</v>
      </c>
      <c r="R730">
        <v>73</v>
      </c>
      <c r="S730" s="3">
        <f>R730/100</f>
        <v>0.73</v>
      </c>
    </row>
    <row r="731" spans="1:19" x14ac:dyDescent="0.3">
      <c r="A731" t="s">
        <v>1529</v>
      </c>
      <c r="B731" t="s">
        <v>1530</v>
      </c>
      <c r="C731" t="str">
        <f t="shared" ref="C731:C794" si="159">B731</f>
        <v>Jessica Chaney</v>
      </c>
      <c r="D731" t="s">
        <v>69</v>
      </c>
      <c r="E731" t="str">
        <f t="shared" si="154"/>
        <v>Female</v>
      </c>
      <c r="F731">
        <v>20</v>
      </c>
      <c r="G731" t="s">
        <v>171</v>
      </c>
      <c r="H731" t="s">
        <v>64</v>
      </c>
      <c r="I731" t="s">
        <v>9</v>
      </c>
      <c r="J731">
        <v>0</v>
      </c>
      <c r="K731" s="4" t="str" cm="1">
        <f t="array" ref="K731">_xlfn.IFS(J731&lt;=5,"0-5",J731&lt;=10,"6-10",J731&lt;=15,"11-15",J731&lt;=20,"16-20",J731&gt;20,"21+")</f>
        <v>0-5</v>
      </c>
      <c r="L731">
        <v>75</v>
      </c>
      <c r="M731" s="2">
        <f>L731</f>
        <v>75</v>
      </c>
      <c r="N731" s="8">
        <f t="shared" si="155"/>
        <v>75</v>
      </c>
      <c r="O731">
        <v>3.2</v>
      </c>
      <c r="P731">
        <v>1</v>
      </c>
      <c r="Q731" t="s">
        <v>2073</v>
      </c>
      <c r="R731" s="1">
        <v>0.74</v>
      </c>
      <c r="S731" s="3">
        <f t="shared" ref="S731:S743" si="160">R731</f>
        <v>0.74</v>
      </c>
    </row>
    <row r="732" spans="1:19" x14ac:dyDescent="0.3">
      <c r="A732" t="s">
        <v>1531</v>
      </c>
      <c r="B732" t="s">
        <v>1532</v>
      </c>
      <c r="C732" t="str">
        <f t="shared" si="159"/>
        <v>John Gray</v>
      </c>
      <c r="D732" t="s">
        <v>53</v>
      </c>
      <c r="E732" t="str">
        <f t="shared" si="154"/>
        <v>Male</v>
      </c>
      <c r="F732">
        <v>42</v>
      </c>
      <c r="G732" t="s">
        <v>116</v>
      </c>
      <c r="H732" t="s">
        <v>117</v>
      </c>
      <c r="I732" t="s">
        <v>27</v>
      </c>
      <c r="J732">
        <v>7</v>
      </c>
      <c r="K732" s="4" t="str" cm="1">
        <f t="array" ref="K732">_xlfn.IFS(J732&lt;=5,"0-5",J732&lt;=10,"6-10",J732&lt;=15,"11-15",J732&lt;=20,"16-20",J732&gt;20,"21+")</f>
        <v>6-10</v>
      </c>
      <c r="L732" t="s">
        <v>306</v>
      </c>
      <c r="M732" s="2" t="str">
        <f>TRIM(MID(L732,FIND(" ",L732)+1,LEN(L732)))</f>
        <v>20</v>
      </c>
      <c r="N732" s="8">
        <f t="shared" si="155"/>
        <v>20</v>
      </c>
      <c r="P732" t="b">
        <v>0</v>
      </c>
      <c r="Q732" t="s">
        <v>2072</v>
      </c>
      <c r="R732" s="1">
        <v>1</v>
      </c>
      <c r="S732" s="3">
        <f t="shared" si="160"/>
        <v>1</v>
      </c>
    </row>
    <row r="733" spans="1:19" x14ac:dyDescent="0.3">
      <c r="A733" t="s">
        <v>1533</v>
      </c>
      <c r="B733" t="s">
        <v>1534</v>
      </c>
      <c r="C733" t="str">
        <f t="shared" si="159"/>
        <v>Shane Booker</v>
      </c>
      <c r="D733" t="s">
        <v>84</v>
      </c>
      <c r="E733" t="str">
        <f t="shared" si="154"/>
        <v>Male</v>
      </c>
      <c r="F733">
        <v>21</v>
      </c>
      <c r="G733" t="s">
        <v>59</v>
      </c>
      <c r="H733" t="s">
        <v>14</v>
      </c>
      <c r="I733" t="s">
        <v>15</v>
      </c>
      <c r="J733">
        <v>3</v>
      </c>
      <c r="K733" s="4" t="str" cm="1">
        <f t="array" ref="K733">_xlfn.IFS(J733&lt;=5,"0-5",J733&lt;=10,"6-10",J733&lt;=15,"11-15",J733&lt;=20,"16-20",J733&gt;20,"21+")</f>
        <v>0-5</v>
      </c>
      <c r="L733">
        <v>40</v>
      </c>
      <c r="M733" s="2">
        <f>L733</f>
        <v>40</v>
      </c>
      <c r="N733" s="8">
        <f t="shared" si="155"/>
        <v>40</v>
      </c>
      <c r="O733">
        <v>0</v>
      </c>
      <c r="P733">
        <v>0</v>
      </c>
      <c r="Q733" t="s">
        <v>2072</v>
      </c>
      <c r="R733" s="1">
        <v>0.87</v>
      </c>
      <c r="S733" s="3">
        <f t="shared" si="160"/>
        <v>0.87</v>
      </c>
    </row>
    <row r="734" spans="1:19" x14ac:dyDescent="0.3">
      <c r="A734" t="s">
        <v>1535</v>
      </c>
      <c r="B734" t="s">
        <v>1536</v>
      </c>
      <c r="C734" t="str">
        <f t="shared" si="159"/>
        <v>Kyle Hall</v>
      </c>
      <c r="D734" t="s">
        <v>40</v>
      </c>
      <c r="E734" t="str">
        <f t="shared" si="154"/>
        <v>Male</v>
      </c>
      <c r="F734">
        <v>39</v>
      </c>
      <c r="G734" t="s">
        <v>20</v>
      </c>
      <c r="H734" t="s">
        <v>21</v>
      </c>
      <c r="I734" t="s">
        <v>27</v>
      </c>
      <c r="J734">
        <v>21</v>
      </c>
      <c r="K734" s="4" t="str" cm="1">
        <f t="array" ref="K734">_xlfn.IFS(J734&lt;=5,"0-5",J734&lt;=10,"6-10",J734&lt;=15,"11-15",J734&lt;=20,"16-20",J734&gt;20,"21+")</f>
        <v>21+</v>
      </c>
      <c r="L734">
        <v>100</v>
      </c>
      <c r="M734" s="2">
        <f>L734</f>
        <v>100</v>
      </c>
      <c r="N734" s="8">
        <f t="shared" si="155"/>
        <v>100</v>
      </c>
      <c r="O734">
        <v>2.2000000000000002</v>
      </c>
      <c r="P734">
        <v>0</v>
      </c>
      <c r="Q734" t="s">
        <v>2072</v>
      </c>
      <c r="R734" s="1">
        <v>0.79</v>
      </c>
      <c r="S734" s="3">
        <f t="shared" si="160"/>
        <v>0.79</v>
      </c>
    </row>
    <row r="735" spans="1:19" x14ac:dyDescent="0.3">
      <c r="A735" t="s">
        <v>1537</v>
      </c>
      <c r="B735" t="s">
        <v>1538</v>
      </c>
      <c r="C735" t="str">
        <f t="shared" si="159"/>
        <v>Ronald Munoz</v>
      </c>
      <c r="D735" t="s">
        <v>40</v>
      </c>
      <c r="E735" t="str">
        <f t="shared" si="154"/>
        <v>Male</v>
      </c>
      <c r="F735">
        <v>32</v>
      </c>
      <c r="G735" t="s">
        <v>85</v>
      </c>
      <c r="H735" t="s">
        <v>86</v>
      </c>
      <c r="I735" t="s">
        <v>9</v>
      </c>
      <c r="K735" s="4" t="str" cm="1">
        <f t="array" ref="K735">_xlfn.IFS(J735&lt;=5,"0-5",J735&lt;=10,"6-10",J735&lt;=15,"11-15",J735&lt;=20,"16-20",J735&gt;20,"21+")</f>
        <v>0-5</v>
      </c>
      <c r="L735">
        <v>30</v>
      </c>
      <c r="M735" s="2">
        <f>L735</f>
        <v>30</v>
      </c>
      <c r="N735" s="8">
        <f t="shared" si="155"/>
        <v>30</v>
      </c>
      <c r="O735">
        <v>1.5</v>
      </c>
      <c r="P735">
        <v>0</v>
      </c>
      <c r="Q735" t="s">
        <v>2072</v>
      </c>
      <c r="R735" s="1">
        <v>0.68</v>
      </c>
      <c r="S735" s="3">
        <f t="shared" si="160"/>
        <v>0.68</v>
      </c>
    </row>
    <row r="736" spans="1:19" x14ac:dyDescent="0.3">
      <c r="A736" t="s">
        <v>1539</v>
      </c>
      <c r="B736" t="s">
        <v>1540</v>
      </c>
      <c r="C736" t="str">
        <f t="shared" si="159"/>
        <v>Christopher Long</v>
      </c>
      <c r="D736" t="s">
        <v>84</v>
      </c>
      <c r="E736" t="str">
        <f t="shared" si="154"/>
        <v>Male</v>
      </c>
      <c r="F736">
        <v>35</v>
      </c>
      <c r="G736" t="s">
        <v>20</v>
      </c>
      <c r="H736" t="s">
        <v>21</v>
      </c>
      <c r="I736" t="s">
        <v>43</v>
      </c>
      <c r="K736" s="4" t="str" cm="1">
        <f t="array" ref="K736">_xlfn.IFS(J736&lt;=5,"0-5",J736&lt;=10,"6-10",J736&lt;=15,"11-15",J736&lt;=20,"16-20",J736&gt;20,"21+")</f>
        <v>0-5</v>
      </c>
      <c r="L736" t="s">
        <v>16</v>
      </c>
      <c r="M736" s="2" t="str">
        <f>TRIM(MID(L736,FIND(" ",L736)+1,LEN(L736)))</f>
        <v>100</v>
      </c>
      <c r="N736" s="8">
        <f t="shared" si="155"/>
        <v>100</v>
      </c>
      <c r="P736">
        <v>0</v>
      </c>
      <c r="Q736" t="s">
        <v>2072</v>
      </c>
      <c r="R736" s="1">
        <v>0.84</v>
      </c>
      <c r="S736" s="3">
        <f t="shared" si="160"/>
        <v>0.84</v>
      </c>
    </row>
    <row r="737" spans="1:19" x14ac:dyDescent="0.3">
      <c r="A737" t="s">
        <v>1541</v>
      </c>
      <c r="B737" t="s">
        <v>1542</v>
      </c>
      <c r="C737" t="str">
        <f t="shared" si="159"/>
        <v>Sandra Ali</v>
      </c>
      <c r="D737" t="s">
        <v>6</v>
      </c>
      <c r="E737" t="str">
        <f t="shared" si="154"/>
        <v>Female</v>
      </c>
      <c r="F737">
        <v>35</v>
      </c>
      <c r="G737" t="s">
        <v>127</v>
      </c>
      <c r="H737" t="s">
        <v>128</v>
      </c>
      <c r="I737" t="s">
        <v>65</v>
      </c>
      <c r="J737">
        <v>17</v>
      </c>
      <c r="K737" s="4" t="str" cm="1">
        <f t="array" ref="K737">_xlfn.IFS(J737&lt;=5,"0-5",J737&lt;=10,"6-10",J737&lt;=15,"11-15",J737&lt;=20,"16-20",J737&gt;20,"21+")</f>
        <v>16-20</v>
      </c>
      <c r="L737">
        <v>50</v>
      </c>
      <c r="M737" s="2">
        <f>L737</f>
        <v>50</v>
      </c>
      <c r="N737" s="8">
        <f t="shared" si="155"/>
        <v>50</v>
      </c>
      <c r="O737">
        <v>3.1</v>
      </c>
      <c r="P737">
        <v>0</v>
      </c>
      <c r="Q737" t="s">
        <v>2072</v>
      </c>
      <c r="R737" s="1">
        <v>0.71</v>
      </c>
      <c r="S737" s="3">
        <f t="shared" si="160"/>
        <v>0.71</v>
      </c>
    </row>
    <row r="738" spans="1:19" x14ac:dyDescent="0.3">
      <c r="A738" t="s">
        <v>1543</v>
      </c>
      <c r="B738" t="s">
        <v>1544</v>
      </c>
      <c r="C738" t="str">
        <f t="shared" si="159"/>
        <v>Jessica Garza</v>
      </c>
      <c r="D738" t="s">
        <v>12</v>
      </c>
      <c r="E738" t="str">
        <f t="shared" si="154"/>
        <v>Female</v>
      </c>
      <c r="F738">
        <v>23</v>
      </c>
      <c r="G738" t="s">
        <v>63</v>
      </c>
      <c r="H738" t="s">
        <v>64</v>
      </c>
      <c r="I738" t="s">
        <v>65</v>
      </c>
      <c r="J738">
        <v>0</v>
      </c>
      <c r="K738" s="4" t="str" cm="1">
        <f t="array" ref="K738">_xlfn.IFS(J738&lt;=5,"0-5",J738&lt;=10,"6-10",J738&lt;=15,"11-15",J738&lt;=20,"16-20",J738&gt;20,"21+")</f>
        <v>0-5</v>
      </c>
      <c r="L738">
        <v>75</v>
      </c>
      <c r="M738" s="2">
        <f>L738</f>
        <v>75</v>
      </c>
      <c r="N738" s="8">
        <f t="shared" si="155"/>
        <v>75</v>
      </c>
      <c r="O738">
        <v>0</v>
      </c>
      <c r="P738" t="s">
        <v>151</v>
      </c>
      <c r="Q738" t="s">
        <v>2072</v>
      </c>
      <c r="R738" s="1">
        <v>0.92</v>
      </c>
      <c r="S738" s="3">
        <f t="shared" si="160"/>
        <v>0.92</v>
      </c>
    </row>
    <row r="739" spans="1:19" x14ac:dyDescent="0.3">
      <c r="A739" t="s">
        <v>1545</v>
      </c>
      <c r="B739" t="s">
        <v>1546</v>
      </c>
      <c r="C739" t="str">
        <f t="shared" si="159"/>
        <v>Gregory Waters</v>
      </c>
      <c r="D739" t="s">
        <v>84</v>
      </c>
      <c r="E739" t="str">
        <f t="shared" si="154"/>
        <v>Male</v>
      </c>
      <c r="F739">
        <v>26</v>
      </c>
      <c r="G739" t="s">
        <v>34</v>
      </c>
      <c r="H739" t="s">
        <v>35</v>
      </c>
      <c r="I739" t="s">
        <v>36</v>
      </c>
      <c r="J739">
        <v>6</v>
      </c>
      <c r="K739" s="4" t="str" cm="1">
        <f t="array" ref="K739">_xlfn.IFS(J739&lt;=5,"0-5",J739&lt;=10,"6-10",J739&lt;=15,"11-15",J739&lt;=20,"16-20",J739&gt;20,"21+")</f>
        <v>6-10</v>
      </c>
      <c r="L739" t="s">
        <v>16</v>
      </c>
      <c r="M739" s="2" t="str">
        <f>TRIM(MID(L739,FIND(" ",L739)+1,LEN(L739)))</f>
        <v>100</v>
      </c>
      <c r="N739" s="8">
        <f t="shared" si="155"/>
        <v>100</v>
      </c>
      <c r="P739" t="s">
        <v>151</v>
      </c>
      <c r="Q739" t="s">
        <v>2072</v>
      </c>
      <c r="R739" s="1">
        <v>0.69</v>
      </c>
      <c r="S739" s="3">
        <f t="shared" si="160"/>
        <v>0.69</v>
      </c>
    </row>
    <row r="740" spans="1:19" x14ac:dyDescent="0.3">
      <c r="A740" t="s">
        <v>1547</v>
      </c>
      <c r="B740" t="s">
        <v>1548</v>
      </c>
      <c r="C740" t="str">
        <f t="shared" si="159"/>
        <v>Misty Adams</v>
      </c>
      <c r="D740" t="s">
        <v>26</v>
      </c>
      <c r="E740" t="str">
        <f t="shared" si="154"/>
        <v>Female</v>
      </c>
      <c r="F740">
        <v>34</v>
      </c>
      <c r="G740" t="s">
        <v>120</v>
      </c>
      <c r="H740" t="s">
        <v>14</v>
      </c>
      <c r="I740" t="s">
        <v>106</v>
      </c>
      <c r="J740">
        <v>3</v>
      </c>
      <c r="K740" s="4" t="str" cm="1">
        <f t="array" ref="K740">_xlfn.IFS(J740&lt;=5,"0-5",J740&lt;=10,"6-10",J740&lt;=15,"11-15",J740&lt;=20,"16-20",J740&gt;20,"21+")</f>
        <v>0-5</v>
      </c>
      <c r="N740" s="8" t="str">
        <f t="shared" si="155"/>
        <v/>
      </c>
      <c r="O740">
        <v>0</v>
      </c>
      <c r="P740">
        <v>1</v>
      </c>
      <c r="Q740" t="s">
        <v>2073</v>
      </c>
      <c r="R740" s="1">
        <v>0.71</v>
      </c>
      <c r="S740" s="3">
        <f t="shared" si="160"/>
        <v>0.71</v>
      </c>
    </row>
    <row r="741" spans="1:19" x14ac:dyDescent="0.3">
      <c r="A741" t="s">
        <v>1549</v>
      </c>
      <c r="B741" t="s">
        <v>1550</v>
      </c>
      <c r="C741" t="str">
        <f t="shared" si="159"/>
        <v>Megan Brown</v>
      </c>
      <c r="D741" t="s">
        <v>69</v>
      </c>
      <c r="E741" t="str">
        <f t="shared" si="154"/>
        <v>Female</v>
      </c>
      <c r="F741">
        <v>34</v>
      </c>
      <c r="G741" t="s">
        <v>20</v>
      </c>
      <c r="H741" t="s">
        <v>21</v>
      </c>
      <c r="I741" t="s">
        <v>9</v>
      </c>
      <c r="J741">
        <v>3</v>
      </c>
      <c r="K741" s="4" t="str" cm="1">
        <f t="array" ref="K741">_xlfn.IFS(J741&lt;=5,"0-5",J741&lt;=10,"6-10",J741&lt;=15,"11-15",J741&lt;=20,"16-20",J741&gt;20,"21+")</f>
        <v>0-5</v>
      </c>
      <c r="N741" s="8" t="str">
        <f t="shared" si="155"/>
        <v/>
      </c>
      <c r="P741" t="b">
        <v>0</v>
      </c>
      <c r="Q741" t="s">
        <v>2072</v>
      </c>
      <c r="R741" s="1">
        <v>0.77</v>
      </c>
      <c r="S741" s="3">
        <f t="shared" si="160"/>
        <v>0.77</v>
      </c>
    </row>
    <row r="742" spans="1:19" x14ac:dyDescent="0.3">
      <c r="A742" t="s">
        <v>1551</v>
      </c>
      <c r="B742" t="s">
        <v>1552</v>
      </c>
      <c r="C742" t="str">
        <f t="shared" si="159"/>
        <v>Gregory Brown</v>
      </c>
      <c r="D742" t="s">
        <v>40</v>
      </c>
      <c r="E742" t="str">
        <f t="shared" si="154"/>
        <v>Male</v>
      </c>
      <c r="F742">
        <v>57</v>
      </c>
      <c r="G742" t="s">
        <v>7</v>
      </c>
      <c r="H742" t="s">
        <v>8</v>
      </c>
      <c r="I742" t="s">
        <v>27</v>
      </c>
      <c r="J742">
        <v>31</v>
      </c>
      <c r="K742" s="4" t="str" cm="1">
        <f t="array" ref="K742">_xlfn.IFS(J742&lt;=5,"0-5",J742&lt;=10,"6-10",J742&lt;=15,"11-15",J742&lt;=20,"16-20",J742&gt;20,"21+")</f>
        <v>21+</v>
      </c>
      <c r="L742">
        <v>50</v>
      </c>
      <c r="M742" s="2">
        <f>L742</f>
        <v>50</v>
      </c>
      <c r="N742" s="8">
        <f t="shared" si="155"/>
        <v>50</v>
      </c>
      <c r="O742">
        <v>3</v>
      </c>
      <c r="P742" t="b">
        <v>1</v>
      </c>
      <c r="Q742" t="s">
        <v>2073</v>
      </c>
      <c r="R742" s="1">
        <v>0.87</v>
      </c>
      <c r="S742" s="3">
        <f t="shared" si="160"/>
        <v>0.87</v>
      </c>
    </row>
    <row r="743" spans="1:19" x14ac:dyDescent="0.3">
      <c r="A743" t="s">
        <v>1553</v>
      </c>
      <c r="B743" t="s">
        <v>1554</v>
      </c>
      <c r="C743" t="str">
        <f t="shared" si="159"/>
        <v>Scott Alexander MD</v>
      </c>
      <c r="D743" t="s">
        <v>53</v>
      </c>
      <c r="E743" t="str">
        <f t="shared" si="154"/>
        <v>Male</v>
      </c>
      <c r="F743">
        <v>46</v>
      </c>
      <c r="G743" t="s">
        <v>120</v>
      </c>
      <c r="H743" t="s">
        <v>14</v>
      </c>
      <c r="I743" t="s">
        <v>27</v>
      </c>
      <c r="J743">
        <v>5</v>
      </c>
      <c r="K743" s="4" t="str" cm="1">
        <f t="array" ref="K743">_xlfn.IFS(J743&lt;=5,"0-5",J743&lt;=10,"6-10",J743&lt;=15,"11-15",J743&lt;=20,"16-20",J743&gt;20,"21+")</f>
        <v>0-5</v>
      </c>
      <c r="L743" t="s">
        <v>37</v>
      </c>
      <c r="M743" s="2" t="str">
        <f>SUBSTITUTE(L743,"$","")</f>
        <v>30</v>
      </c>
      <c r="N743" s="8">
        <f t="shared" si="155"/>
        <v>30</v>
      </c>
      <c r="O743">
        <v>2.6</v>
      </c>
      <c r="P743" t="s">
        <v>151</v>
      </c>
      <c r="Q743" t="s">
        <v>2072</v>
      </c>
      <c r="R743" s="1">
        <v>0.76</v>
      </c>
      <c r="S743" s="3">
        <f t="shared" si="160"/>
        <v>0.76</v>
      </c>
    </row>
    <row r="744" spans="1:19" x14ac:dyDescent="0.3">
      <c r="A744" t="s">
        <v>1555</v>
      </c>
      <c r="B744" t="s">
        <v>1556</v>
      </c>
      <c r="C744" t="str">
        <f t="shared" si="159"/>
        <v>Eric Nguyen</v>
      </c>
      <c r="D744" t="s">
        <v>19</v>
      </c>
      <c r="E744" t="str">
        <f t="shared" si="154"/>
        <v>Male</v>
      </c>
      <c r="F744">
        <v>55</v>
      </c>
      <c r="G744" t="s">
        <v>85</v>
      </c>
      <c r="H744" t="s">
        <v>86</v>
      </c>
      <c r="I744" t="s">
        <v>36</v>
      </c>
      <c r="J744">
        <v>37</v>
      </c>
      <c r="K744" s="4" t="str" cm="1">
        <f t="array" ref="K744">_xlfn.IFS(J744&lt;=5,"0-5",J744&lt;=10,"6-10",J744&lt;=15,"11-15",J744&lt;=20,"16-20",J744&gt;20,"21+")</f>
        <v>21+</v>
      </c>
      <c r="L744" t="s">
        <v>44</v>
      </c>
      <c r="M744" s="2" t="str">
        <f>TRIM(MID(L744,FIND(" ",L744)+1,LEN(L744)))</f>
        <v>75</v>
      </c>
      <c r="N744" s="8">
        <f t="shared" si="155"/>
        <v>75</v>
      </c>
      <c r="O744">
        <v>4.0999999999999996</v>
      </c>
      <c r="P744" t="s">
        <v>151</v>
      </c>
      <c r="Q744" t="s">
        <v>2072</v>
      </c>
    </row>
    <row r="745" spans="1:19" x14ac:dyDescent="0.3">
      <c r="A745" t="s">
        <v>1557</v>
      </c>
      <c r="B745" t="s">
        <v>1558</v>
      </c>
      <c r="C745" t="str">
        <f t="shared" si="159"/>
        <v>Wendy Boyer</v>
      </c>
      <c r="D745" t="s">
        <v>12</v>
      </c>
      <c r="E745" t="str">
        <f t="shared" si="154"/>
        <v>Female</v>
      </c>
      <c r="F745">
        <v>32</v>
      </c>
      <c r="G745" t="s">
        <v>13</v>
      </c>
      <c r="H745" t="s">
        <v>14</v>
      </c>
      <c r="I745" t="s">
        <v>81</v>
      </c>
      <c r="J745">
        <v>10</v>
      </c>
      <c r="K745" s="4" t="str" cm="1">
        <f t="array" ref="K745">_xlfn.IFS(J745&lt;=5,"0-5",J745&lt;=10,"6-10",J745&lt;=15,"11-15",J745&lt;=20,"16-20",J745&gt;20,"21+")</f>
        <v>6-10</v>
      </c>
      <c r="L745" t="s">
        <v>90</v>
      </c>
      <c r="M745" s="2" t="str">
        <f>TRIM(MID(L745,FIND(" ",L745)+1,LEN(L745)))</f>
        <v>50</v>
      </c>
      <c r="N745" s="8">
        <f t="shared" si="155"/>
        <v>50</v>
      </c>
      <c r="O745">
        <v>1.5</v>
      </c>
      <c r="P745" t="b">
        <v>0</v>
      </c>
      <c r="Q745" t="s">
        <v>2072</v>
      </c>
      <c r="R745" s="1">
        <v>0.65</v>
      </c>
      <c r="S745" s="3">
        <f t="shared" ref="S745:S746" si="161">R745</f>
        <v>0.65</v>
      </c>
    </row>
    <row r="746" spans="1:19" x14ac:dyDescent="0.3">
      <c r="A746" t="s">
        <v>1559</v>
      </c>
      <c r="B746" t="s">
        <v>1560</v>
      </c>
      <c r="C746" t="str">
        <f t="shared" si="159"/>
        <v>Mark Clark</v>
      </c>
      <c r="D746" t="s">
        <v>84</v>
      </c>
      <c r="E746" t="str">
        <f t="shared" si="154"/>
        <v>Male</v>
      </c>
      <c r="F746">
        <v>53</v>
      </c>
      <c r="G746" t="s">
        <v>41</v>
      </c>
      <c r="H746" t="s">
        <v>42</v>
      </c>
      <c r="I746" t="s">
        <v>36</v>
      </c>
      <c r="J746">
        <v>28</v>
      </c>
      <c r="K746" s="4" t="str" cm="1">
        <f t="array" ref="K746">_xlfn.IFS(J746&lt;=5,"0-5",J746&lt;=10,"6-10",J746&lt;=15,"11-15",J746&lt;=20,"16-20",J746&gt;20,"21+")</f>
        <v>21+</v>
      </c>
      <c r="L746" t="s">
        <v>90</v>
      </c>
      <c r="M746" s="2" t="str">
        <f>TRIM(MID(L746,FIND(" ",L746)+1,LEN(L746)))</f>
        <v>50</v>
      </c>
      <c r="N746" s="8">
        <f t="shared" si="155"/>
        <v>50</v>
      </c>
      <c r="O746">
        <v>2.9</v>
      </c>
      <c r="P746" t="s">
        <v>60</v>
      </c>
      <c r="Q746" t="s">
        <v>2073</v>
      </c>
      <c r="R746" s="1">
        <v>0.82</v>
      </c>
      <c r="S746" s="3">
        <f t="shared" si="161"/>
        <v>0.82</v>
      </c>
    </row>
    <row r="747" spans="1:19" x14ac:dyDescent="0.3">
      <c r="A747" t="s">
        <v>1561</v>
      </c>
      <c r="B747" t="s">
        <v>1562</v>
      </c>
      <c r="C747" t="str">
        <f t="shared" si="159"/>
        <v>Carl Kline</v>
      </c>
      <c r="D747" t="s">
        <v>19</v>
      </c>
      <c r="E747" t="str">
        <f t="shared" si="154"/>
        <v>Male</v>
      </c>
      <c r="F747">
        <v>59</v>
      </c>
      <c r="G747" t="s">
        <v>171</v>
      </c>
      <c r="H747" t="s">
        <v>64</v>
      </c>
      <c r="I747" t="s">
        <v>36</v>
      </c>
      <c r="J747">
        <v>0</v>
      </c>
      <c r="K747" s="4" t="str" cm="1">
        <f t="array" ref="K747">_xlfn.IFS(J747&lt;=5,"0-5",J747&lt;=10,"6-10",J747&lt;=15,"11-15",J747&lt;=20,"16-20",J747&gt;20,"21+")</f>
        <v>0-5</v>
      </c>
      <c r="L747">
        <v>100</v>
      </c>
      <c r="M747" s="2">
        <f>L747</f>
        <v>100</v>
      </c>
      <c r="N747" s="8">
        <f t="shared" si="155"/>
        <v>100</v>
      </c>
      <c r="O747">
        <v>0</v>
      </c>
      <c r="P747" t="s">
        <v>66</v>
      </c>
      <c r="Q747" t="s">
        <v>2073</v>
      </c>
      <c r="R747">
        <v>87</v>
      </c>
      <c r="S747" s="3">
        <f>R747/100</f>
        <v>0.87</v>
      </c>
    </row>
    <row r="748" spans="1:19" x14ac:dyDescent="0.3">
      <c r="A748" t="s">
        <v>1563</v>
      </c>
      <c r="B748" t="s">
        <v>1564</v>
      </c>
      <c r="C748" t="str">
        <f t="shared" si="159"/>
        <v>Linda Williams</v>
      </c>
      <c r="D748" t="s">
        <v>26</v>
      </c>
      <c r="E748" t="str">
        <f t="shared" si="154"/>
        <v>Female</v>
      </c>
      <c r="F748">
        <v>44</v>
      </c>
      <c r="G748" t="s">
        <v>34</v>
      </c>
      <c r="H748" t="s">
        <v>35</v>
      </c>
      <c r="I748" t="s">
        <v>106</v>
      </c>
      <c r="J748">
        <v>19</v>
      </c>
      <c r="K748" s="4" t="str" cm="1">
        <f t="array" ref="K748">_xlfn.IFS(J748&lt;=5,"0-5",J748&lt;=10,"6-10",J748&lt;=15,"11-15",J748&lt;=20,"16-20",J748&gt;20,"21+")</f>
        <v>16-20</v>
      </c>
      <c r="L748" t="s">
        <v>28</v>
      </c>
      <c r="M748" s="2" t="str">
        <f>SUBSTITUTE(L748,"$","")</f>
        <v>40</v>
      </c>
      <c r="N748" s="8">
        <f t="shared" si="155"/>
        <v>40</v>
      </c>
      <c r="O748">
        <v>4.9000000000000004</v>
      </c>
      <c r="P748" t="s">
        <v>23</v>
      </c>
      <c r="Q748" t="s">
        <v>2072</v>
      </c>
      <c r="R748" s="1">
        <v>1</v>
      </c>
      <c r="S748" s="3">
        <f>R748</f>
        <v>1</v>
      </c>
    </row>
    <row r="749" spans="1:19" x14ac:dyDescent="0.3">
      <c r="A749" t="s">
        <v>1565</v>
      </c>
      <c r="B749" t="s">
        <v>1566</v>
      </c>
      <c r="C749" t="str">
        <f t="shared" si="159"/>
        <v>Jason Edwards</v>
      </c>
      <c r="D749" t="s">
        <v>89</v>
      </c>
      <c r="E749" t="str">
        <f t="shared" si="154"/>
        <v>Male</v>
      </c>
      <c r="F749">
        <v>35</v>
      </c>
      <c r="G749" t="s">
        <v>131</v>
      </c>
      <c r="H749" t="s">
        <v>132</v>
      </c>
      <c r="I749" t="s">
        <v>9</v>
      </c>
      <c r="J749">
        <v>9</v>
      </c>
      <c r="K749" s="4" t="str" cm="1">
        <f t="array" ref="K749">_xlfn.IFS(J749&lt;=5,"0-5",J749&lt;=10,"6-10",J749&lt;=15,"11-15",J749&lt;=20,"16-20",J749&gt;20,"21+")</f>
        <v>6-10</v>
      </c>
      <c r="L749" t="s">
        <v>90</v>
      </c>
      <c r="M749" s="2" t="str">
        <f>TRIM(MID(L749,FIND(" ",L749)+1,LEN(L749)))</f>
        <v>50</v>
      </c>
      <c r="N749" s="8">
        <f t="shared" si="155"/>
        <v>50</v>
      </c>
      <c r="O749">
        <v>3</v>
      </c>
      <c r="P749" t="s">
        <v>23</v>
      </c>
      <c r="Q749" t="s">
        <v>2072</v>
      </c>
      <c r="R749">
        <v>71</v>
      </c>
      <c r="S749" s="3">
        <f t="shared" ref="S749:S751" si="162">R749/100</f>
        <v>0.71</v>
      </c>
    </row>
    <row r="750" spans="1:19" x14ac:dyDescent="0.3">
      <c r="A750" t="s">
        <v>1567</v>
      </c>
      <c r="B750" t="s">
        <v>1568</v>
      </c>
      <c r="C750" t="str">
        <f t="shared" si="159"/>
        <v>Madison Mcintosh</v>
      </c>
      <c r="D750" t="s">
        <v>6</v>
      </c>
      <c r="E750" t="str">
        <f t="shared" si="154"/>
        <v>Female</v>
      </c>
      <c r="F750">
        <v>42</v>
      </c>
      <c r="G750" t="s">
        <v>167</v>
      </c>
      <c r="H750" t="s">
        <v>168</v>
      </c>
      <c r="I750" t="s">
        <v>106</v>
      </c>
      <c r="J750">
        <v>5</v>
      </c>
      <c r="K750" s="4" t="str" cm="1">
        <f t="array" ref="K750">_xlfn.IFS(J750&lt;=5,"0-5",J750&lt;=10,"6-10",J750&lt;=15,"11-15",J750&lt;=20,"16-20",J750&gt;20,"21+")</f>
        <v>0-5</v>
      </c>
      <c r="L750">
        <v>30</v>
      </c>
      <c r="M750" s="2">
        <f>L750</f>
        <v>30</v>
      </c>
      <c r="N750" s="8">
        <f t="shared" si="155"/>
        <v>30</v>
      </c>
      <c r="O750">
        <v>4.9000000000000004</v>
      </c>
      <c r="P750">
        <v>1</v>
      </c>
      <c r="Q750" t="s">
        <v>2073</v>
      </c>
      <c r="R750">
        <v>87</v>
      </c>
      <c r="S750" s="3">
        <f t="shared" si="162"/>
        <v>0.87</v>
      </c>
    </row>
    <row r="751" spans="1:19" x14ac:dyDescent="0.3">
      <c r="A751" t="s">
        <v>1569</v>
      </c>
      <c r="B751" t="s">
        <v>1570</v>
      </c>
      <c r="C751" t="str">
        <f t="shared" si="159"/>
        <v>Desiree Winters</v>
      </c>
      <c r="D751" t="s">
        <v>6</v>
      </c>
      <c r="E751" t="str">
        <f t="shared" si="154"/>
        <v>Female</v>
      </c>
      <c r="F751">
        <v>58</v>
      </c>
      <c r="G751" t="s">
        <v>104</v>
      </c>
      <c r="H751" t="s">
        <v>105</v>
      </c>
      <c r="I751" t="s">
        <v>9</v>
      </c>
      <c r="J751">
        <v>0</v>
      </c>
      <c r="K751" s="4" t="str" cm="1">
        <f t="array" ref="K751">_xlfn.IFS(J751&lt;=5,"0-5",J751&lt;=10,"6-10",J751&lt;=15,"11-15",J751&lt;=20,"16-20",J751&gt;20,"21+")</f>
        <v>0-5</v>
      </c>
      <c r="L751" t="s">
        <v>101</v>
      </c>
      <c r="M751" s="2" t="str">
        <f>TRIM(MID(L751,FIND(" ",L751)+1,LEN(L751)))</f>
        <v>30</v>
      </c>
      <c r="N751" s="8">
        <f t="shared" si="155"/>
        <v>30</v>
      </c>
      <c r="O751">
        <v>4.5999999999999996</v>
      </c>
      <c r="P751">
        <v>0</v>
      </c>
      <c r="Q751" t="s">
        <v>2072</v>
      </c>
      <c r="R751">
        <v>70</v>
      </c>
      <c r="S751" s="3">
        <f t="shared" si="162"/>
        <v>0.7</v>
      </c>
    </row>
    <row r="752" spans="1:19" x14ac:dyDescent="0.3">
      <c r="A752" t="s">
        <v>1571</v>
      </c>
      <c r="B752" t="s">
        <v>1572</v>
      </c>
      <c r="C752" t="str">
        <f t="shared" si="159"/>
        <v>Ryan Taylor</v>
      </c>
      <c r="D752" t="s">
        <v>53</v>
      </c>
      <c r="E752" t="str">
        <f t="shared" si="154"/>
        <v>Male</v>
      </c>
      <c r="F752">
        <v>41</v>
      </c>
      <c r="G752" t="s">
        <v>34</v>
      </c>
      <c r="H752" t="s">
        <v>35</v>
      </c>
      <c r="I752" t="s">
        <v>36</v>
      </c>
      <c r="J752">
        <v>21</v>
      </c>
      <c r="K752" s="4" t="str" cm="1">
        <f t="array" ref="K752">_xlfn.IFS(J752&lt;=5,"0-5",J752&lt;=10,"6-10",J752&lt;=15,"11-15",J752&lt;=20,"16-20",J752&gt;20,"21+")</f>
        <v>21+</v>
      </c>
      <c r="L752" t="s">
        <v>16</v>
      </c>
      <c r="M752" s="2" t="str">
        <f>TRIM(MID(L752,FIND(" ",L752)+1,LEN(L752)))</f>
        <v>100</v>
      </c>
      <c r="N752" s="8">
        <f t="shared" si="155"/>
        <v>100</v>
      </c>
      <c r="O752">
        <v>2.2000000000000002</v>
      </c>
      <c r="P752">
        <v>1</v>
      </c>
      <c r="Q752" t="s">
        <v>2073</v>
      </c>
      <c r="R752" s="1">
        <v>0.83</v>
      </c>
      <c r="S752" s="3">
        <f t="shared" ref="S752:S757" si="163">R752</f>
        <v>0.83</v>
      </c>
    </row>
    <row r="753" spans="1:19" x14ac:dyDescent="0.3">
      <c r="A753" t="s">
        <v>1573</v>
      </c>
      <c r="B753" t="s">
        <v>1574</v>
      </c>
      <c r="C753" t="str">
        <f t="shared" si="159"/>
        <v>Patricia Scott</v>
      </c>
      <c r="D753" t="s">
        <v>31</v>
      </c>
      <c r="E753" t="str">
        <f t="shared" si="154"/>
        <v>Female</v>
      </c>
      <c r="G753" t="s">
        <v>63</v>
      </c>
      <c r="H753" t="s">
        <v>64</v>
      </c>
      <c r="I753" t="s">
        <v>27</v>
      </c>
      <c r="J753">
        <v>0</v>
      </c>
      <c r="K753" s="4" t="str" cm="1">
        <f t="array" ref="K753">_xlfn.IFS(J753&lt;=5,"0-5",J753&lt;=10,"6-10",J753&lt;=15,"11-15",J753&lt;=20,"16-20",J753&gt;20,"21+")</f>
        <v>0-5</v>
      </c>
      <c r="L753">
        <v>40</v>
      </c>
      <c r="M753" s="2">
        <f>L753</f>
        <v>40</v>
      </c>
      <c r="N753" s="8">
        <f t="shared" si="155"/>
        <v>40</v>
      </c>
      <c r="P753" t="s">
        <v>66</v>
      </c>
      <c r="Q753" t="s">
        <v>2073</v>
      </c>
      <c r="R753" s="1">
        <v>0.74</v>
      </c>
      <c r="S753" s="3">
        <f t="shared" si="163"/>
        <v>0.74</v>
      </c>
    </row>
    <row r="754" spans="1:19" x14ac:dyDescent="0.3">
      <c r="A754" t="s">
        <v>1575</v>
      </c>
      <c r="B754" t="s">
        <v>1576</v>
      </c>
      <c r="C754" t="str">
        <f t="shared" si="159"/>
        <v>Erin Jimenez</v>
      </c>
      <c r="D754" t="s">
        <v>12</v>
      </c>
      <c r="E754" t="str">
        <f t="shared" si="154"/>
        <v>Female</v>
      </c>
      <c r="F754">
        <v>23</v>
      </c>
      <c r="G754" t="s">
        <v>120</v>
      </c>
      <c r="H754" t="s">
        <v>14</v>
      </c>
      <c r="I754" t="s">
        <v>9</v>
      </c>
      <c r="J754">
        <v>0</v>
      </c>
      <c r="K754" s="4" t="str" cm="1">
        <f t="array" ref="K754">_xlfn.IFS(J754&lt;=5,"0-5",J754&lt;=10,"6-10",J754&lt;=15,"11-15",J754&lt;=20,"16-20",J754&gt;20,"21+")</f>
        <v>0-5</v>
      </c>
      <c r="L754">
        <v>30</v>
      </c>
      <c r="M754" s="2">
        <f>L754</f>
        <v>30</v>
      </c>
      <c r="N754" s="8">
        <f t="shared" si="155"/>
        <v>30</v>
      </c>
      <c r="O754">
        <v>1.1000000000000001</v>
      </c>
      <c r="P754" t="s">
        <v>60</v>
      </c>
      <c r="Q754" t="s">
        <v>2073</v>
      </c>
      <c r="R754" s="1">
        <v>0.86</v>
      </c>
      <c r="S754" s="3">
        <f t="shared" si="163"/>
        <v>0.86</v>
      </c>
    </row>
    <row r="755" spans="1:19" x14ac:dyDescent="0.3">
      <c r="A755" t="s">
        <v>1577</v>
      </c>
      <c r="B755" t="s">
        <v>1578</v>
      </c>
      <c r="C755" t="str">
        <f t="shared" si="159"/>
        <v>Anthony Krause</v>
      </c>
      <c r="D755" t="s">
        <v>84</v>
      </c>
      <c r="E755" t="str">
        <f t="shared" si="154"/>
        <v>Male</v>
      </c>
      <c r="F755">
        <v>51</v>
      </c>
      <c r="G755" t="s">
        <v>167</v>
      </c>
      <c r="H755" t="s">
        <v>168</v>
      </c>
      <c r="I755" t="s">
        <v>9</v>
      </c>
      <c r="J755">
        <v>17</v>
      </c>
      <c r="K755" s="4" t="str" cm="1">
        <f t="array" ref="K755">_xlfn.IFS(J755&lt;=5,"0-5",J755&lt;=10,"6-10",J755&lt;=15,"11-15",J755&lt;=20,"16-20",J755&gt;20,"21+")</f>
        <v>16-20</v>
      </c>
      <c r="L755">
        <v>40</v>
      </c>
      <c r="M755" s="2">
        <f>L755</f>
        <v>40</v>
      </c>
      <c r="N755" s="8">
        <f t="shared" si="155"/>
        <v>40</v>
      </c>
      <c r="O755">
        <v>4.5</v>
      </c>
      <c r="P755">
        <v>1</v>
      </c>
      <c r="Q755" t="s">
        <v>2073</v>
      </c>
      <c r="R755" s="1">
        <v>0.72</v>
      </c>
      <c r="S755" s="3">
        <f t="shared" si="163"/>
        <v>0.72</v>
      </c>
    </row>
    <row r="756" spans="1:19" x14ac:dyDescent="0.3">
      <c r="A756" t="s">
        <v>1579</v>
      </c>
      <c r="B756" t="s">
        <v>1580</v>
      </c>
      <c r="C756" t="str">
        <f t="shared" si="159"/>
        <v>Diane Dean</v>
      </c>
      <c r="D756" t="s">
        <v>12</v>
      </c>
      <c r="E756" t="str">
        <f t="shared" si="154"/>
        <v>Female</v>
      </c>
      <c r="F756">
        <v>42</v>
      </c>
      <c r="G756" t="s">
        <v>127</v>
      </c>
      <c r="H756" t="s">
        <v>128</v>
      </c>
      <c r="I756" t="s">
        <v>36</v>
      </c>
      <c r="J756">
        <v>21</v>
      </c>
      <c r="K756" s="4" t="str" cm="1">
        <f t="array" ref="K756">_xlfn.IFS(J756&lt;=5,"0-5",J756&lt;=10,"6-10",J756&lt;=15,"11-15",J756&lt;=20,"16-20",J756&gt;20,"21+")</f>
        <v>21+</v>
      </c>
      <c r="N756" s="8" t="str">
        <f t="shared" si="155"/>
        <v/>
      </c>
      <c r="O756">
        <v>2.5</v>
      </c>
      <c r="P756" t="b">
        <v>1</v>
      </c>
      <c r="Q756" t="s">
        <v>2073</v>
      </c>
      <c r="R756" s="1">
        <v>0.73</v>
      </c>
      <c r="S756" s="3">
        <f t="shared" si="163"/>
        <v>0.73</v>
      </c>
    </row>
    <row r="757" spans="1:19" x14ac:dyDescent="0.3">
      <c r="A757" t="s">
        <v>1581</v>
      </c>
      <c r="B757" t="s">
        <v>1582</v>
      </c>
      <c r="C757" t="str">
        <f t="shared" si="159"/>
        <v>Stuart Mckinney</v>
      </c>
      <c r="D757" t="s">
        <v>53</v>
      </c>
      <c r="E757" t="str">
        <f t="shared" si="154"/>
        <v>Male</v>
      </c>
      <c r="F757">
        <v>26</v>
      </c>
      <c r="G757" t="s">
        <v>77</v>
      </c>
      <c r="H757" t="s">
        <v>78</v>
      </c>
      <c r="I757" t="s">
        <v>43</v>
      </c>
      <c r="J757">
        <v>7</v>
      </c>
      <c r="K757" s="4" t="str" cm="1">
        <f t="array" ref="K757">_xlfn.IFS(J757&lt;=5,"0-5",J757&lt;=10,"6-10",J757&lt;=15,"11-15",J757&lt;=20,"16-20",J757&gt;20,"21+")</f>
        <v>6-10</v>
      </c>
      <c r="L757" t="s">
        <v>44</v>
      </c>
      <c r="M757" s="2" t="str">
        <f>TRIM(MID(L757,FIND(" ",L757)+1,LEN(L757)))</f>
        <v>75</v>
      </c>
      <c r="N757" s="8">
        <f t="shared" si="155"/>
        <v>75</v>
      </c>
      <c r="O757">
        <v>2.9</v>
      </c>
      <c r="P757">
        <v>0</v>
      </c>
      <c r="Q757" t="s">
        <v>2072</v>
      </c>
      <c r="R757" s="1">
        <v>0.78</v>
      </c>
      <c r="S757" s="3">
        <f t="shared" si="163"/>
        <v>0.78</v>
      </c>
    </row>
    <row r="758" spans="1:19" x14ac:dyDescent="0.3">
      <c r="A758" t="s">
        <v>1583</v>
      </c>
      <c r="B758" t="s">
        <v>1584</v>
      </c>
      <c r="C758" t="str">
        <f t="shared" si="159"/>
        <v>Kellie Le</v>
      </c>
      <c r="D758" t="s">
        <v>6</v>
      </c>
      <c r="E758" t="str">
        <f t="shared" si="154"/>
        <v>Female</v>
      </c>
      <c r="F758">
        <v>49</v>
      </c>
      <c r="G758" t="s">
        <v>41</v>
      </c>
      <c r="H758" t="s">
        <v>42</v>
      </c>
      <c r="I758" t="s">
        <v>36</v>
      </c>
      <c r="J758">
        <v>22</v>
      </c>
      <c r="K758" s="4" t="str" cm="1">
        <f t="array" ref="K758">_xlfn.IFS(J758&lt;=5,"0-5",J758&lt;=10,"6-10",J758&lt;=15,"11-15",J758&lt;=20,"16-20",J758&gt;20,"21+")</f>
        <v>21+</v>
      </c>
      <c r="L758">
        <v>75</v>
      </c>
      <c r="M758" s="2">
        <f>L758</f>
        <v>75</v>
      </c>
      <c r="N758" s="8">
        <f t="shared" si="155"/>
        <v>75</v>
      </c>
      <c r="O758">
        <v>0</v>
      </c>
      <c r="P758" t="b">
        <v>1</v>
      </c>
      <c r="Q758" t="s">
        <v>2073</v>
      </c>
    </row>
    <row r="759" spans="1:19" x14ac:dyDescent="0.3">
      <c r="A759" t="s">
        <v>1585</v>
      </c>
      <c r="B759" t="s">
        <v>1586</v>
      </c>
      <c r="C759" t="str">
        <f t="shared" si="159"/>
        <v>Lauren Henry</v>
      </c>
      <c r="D759" t="s">
        <v>31</v>
      </c>
      <c r="E759" t="str">
        <f t="shared" si="154"/>
        <v>Female</v>
      </c>
      <c r="F759">
        <v>37</v>
      </c>
      <c r="G759" t="s">
        <v>7</v>
      </c>
      <c r="H759" t="s">
        <v>8</v>
      </c>
      <c r="I759" t="s">
        <v>81</v>
      </c>
      <c r="K759" s="4" t="str" cm="1">
        <f t="array" ref="K759">_xlfn.IFS(J759&lt;=5,"0-5",J759&lt;=10,"6-10",J759&lt;=15,"11-15",J759&lt;=20,"16-20",J759&gt;20,"21+")</f>
        <v>0-5</v>
      </c>
      <c r="L759" t="s">
        <v>44</v>
      </c>
      <c r="M759" s="2" t="str">
        <f>TRIM(MID(L759,FIND(" ",L759)+1,LEN(L759)))</f>
        <v>75</v>
      </c>
      <c r="N759" s="8">
        <f t="shared" si="155"/>
        <v>75</v>
      </c>
      <c r="O759">
        <v>3.5</v>
      </c>
      <c r="P759" t="s">
        <v>23</v>
      </c>
      <c r="Q759" t="s">
        <v>2072</v>
      </c>
      <c r="R759" s="1">
        <v>0.75</v>
      </c>
      <c r="S759" s="3">
        <f t="shared" ref="S759:S769" si="164">R759</f>
        <v>0.75</v>
      </c>
    </row>
    <row r="760" spans="1:19" x14ac:dyDescent="0.3">
      <c r="A760" t="s">
        <v>1587</v>
      </c>
      <c r="B760" t="s">
        <v>1588</v>
      </c>
      <c r="C760" t="str">
        <f t="shared" si="159"/>
        <v>Brandon Fox</v>
      </c>
      <c r="D760" t="s">
        <v>84</v>
      </c>
      <c r="E760" t="str">
        <f t="shared" si="154"/>
        <v>Male</v>
      </c>
      <c r="F760">
        <v>31</v>
      </c>
      <c r="G760" t="s">
        <v>13</v>
      </c>
      <c r="H760" t="s">
        <v>14</v>
      </c>
      <c r="I760" t="s">
        <v>36</v>
      </c>
      <c r="J760">
        <v>1</v>
      </c>
      <c r="K760" s="4" t="str" cm="1">
        <f t="array" ref="K760">_xlfn.IFS(J760&lt;=5,"0-5",J760&lt;=10,"6-10",J760&lt;=15,"11-15",J760&lt;=20,"16-20",J760&gt;20,"21+")</f>
        <v>0-5</v>
      </c>
      <c r="L760">
        <v>40</v>
      </c>
      <c r="M760" s="2">
        <f>L760</f>
        <v>40</v>
      </c>
      <c r="N760" s="8">
        <f t="shared" si="155"/>
        <v>40</v>
      </c>
      <c r="O760">
        <v>4.5</v>
      </c>
      <c r="P760">
        <v>0</v>
      </c>
      <c r="Q760" t="s">
        <v>2072</v>
      </c>
      <c r="R760" s="1">
        <v>0.96</v>
      </c>
      <c r="S760" s="3">
        <f t="shared" si="164"/>
        <v>0.96</v>
      </c>
    </row>
    <row r="761" spans="1:19" x14ac:dyDescent="0.3">
      <c r="A761" t="s">
        <v>1589</v>
      </c>
      <c r="B761" t="s">
        <v>1590</v>
      </c>
      <c r="C761" t="str">
        <f t="shared" si="159"/>
        <v>Richard Smith</v>
      </c>
      <c r="D761" t="s">
        <v>53</v>
      </c>
      <c r="E761" t="str">
        <f t="shared" si="154"/>
        <v>Male</v>
      </c>
      <c r="F761">
        <v>51</v>
      </c>
      <c r="G761" t="s">
        <v>104</v>
      </c>
      <c r="H761" t="s">
        <v>105</v>
      </c>
      <c r="I761" t="s">
        <v>15</v>
      </c>
      <c r="J761">
        <v>5</v>
      </c>
      <c r="K761" s="4" t="str" cm="1">
        <f t="array" ref="K761">_xlfn.IFS(J761&lt;=5,"0-5",J761&lt;=10,"6-10",J761&lt;=15,"11-15",J761&lt;=20,"16-20",J761&gt;20,"21+")</f>
        <v>0-5</v>
      </c>
      <c r="L761" t="s">
        <v>47</v>
      </c>
      <c r="M761" s="2" t="str">
        <f>TRIM(MID(L761,FIND(" ",L761)+1,LEN(L761)))</f>
        <v>40</v>
      </c>
      <c r="N761" s="8">
        <f t="shared" si="155"/>
        <v>40</v>
      </c>
      <c r="O761">
        <v>1.7</v>
      </c>
      <c r="P761" t="s">
        <v>60</v>
      </c>
      <c r="Q761" t="s">
        <v>2073</v>
      </c>
      <c r="R761" s="1">
        <v>0.61</v>
      </c>
      <c r="S761" s="3">
        <f t="shared" si="164"/>
        <v>0.61</v>
      </c>
    </row>
    <row r="762" spans="1:19" x14ac:dyDescent="0.3">
      <c r="A762" t="s">
        <v>1591</v>
      </c>
      <c r="B762" t="s">
        <v>1592</v>
      </c>
      <c r="C762" t="str">
        <f t="shared" si="159"/>
        <v>John White</v>
      </c>
      <c r="D762" t="s">
        <v>40</v>
      </c>
      <c r="E762" t="str">
        <f t="shared" si="154"/>
        <v>Male</v>
      </c>
      <c r="F762">
        <v>60</v>
      </c>
      <c r="G762" t="s">
        <v>167</v>
      </c>
      <c r="H762" t="s">
        <v>168</v>
      </c>
      <c r="I762" t="s">
        <v>81</v>
      </c>
      <c r="J762">
        <v>40</v>
      </c>
      <c r="K762" s="4" t="str" cm="1">
        <f t="array" ref="K762">_xlfn.IFS(J762&lt;=5,"0-5",J762&lt;=10,"6-10",J762&lt;=15,"11-15",J762&lt;=20,"16-20",J762&gt;20,"21+")</f>
        <v>21+</v>
      </c>
      <c r="L762">
        <v>50</v>
      </c>
      <c r="M762" s="2">
        <f>L762</f>
        <v>50</v>
      </c>
      <c r="N762" s="8">
        <f t="shared" si="155"/>
        <v>50</v>
      </c>
      <c r="O762">
        <v>4.5999999999999996</v>
      </c>
      <c r="P762" t="b">
        <v>1</v>
      </c>
      <c r="Q762" t="s">
        <v>2073</v>
      </c>
      <c r="R762" s="1">
        <v>1</v>
      </c>
      <c r="S762" s="3">
        <f t="shared" si="164"/>
        <v>1</v>
      </c>
    </row>
    <row r="763" spans="1:19" x14ac:dyDescent="0.3">
      <c r="A763" t="s">
        <v>1593</v>
      </c>
      <c r="B763" t="s">
        <v>1594</v>
      </c>
      <c r="C763" t="str">
        <f t="shared" si="159"/>
        <v>Gilbert Mcintyre</v>
      </c>
      <c r="D763" t="s">
        <v>84</v>
      </c>
      <c r="E763" t="str">
        <f t="shared" si="154"/>
        <v>Male</v>
      </c>
      <c r="F763">
        <v>51</v>
      </c>
      <c r="G763" t="s">
        <v>120</v>
      </c>
      <c r="H763" t="s">
        <v>14</v>
      </c>
      <c r="I763" t="s">
        <v>9</v>
      </c>
      <c r="J763">
        <v>19</v>
      </c>
      <c r="K763" s="4" t="str" cm="1">
        <f t="array" ref="K763">_xlfn.IFS(J763&lt;=5,"0-5",J763&lt;=10,"6-10",J763&lt;=15,"11-15",J763&lt;=20,"16-20",J763&gt;20,"21+")</f>
        <v>16-20</v>
      </c>
      <c r="L763">
        <v>50</v>
      </c>
      <c r="M763" s="2">
        <f>L763</f>
        <v>50</v>
      </c>
      <c r="N763" s="8">
        <f t="shared" si="155"/>
        <v>50</v>
      </c>
      <c r="P763" t="s">
        <v>66</v>
      </c>
      <c r="Q763" t="s">
        <v>2073</v>
      </c>
      <c r="R763" s="1">
        <v>0.82</v>
      </c>
      <c r="S763" s="3">
        <f t="shared" si="164"/>
        <v>0.82</v>
      </c>
    </row>
    <row r="764" spans="1:19" x14ac:dyDescent="0.3">
      <c r="A764" t="s">
        <v>1595</v>
      </c>
      <c r="B764" t="s">
        <v>1596</v>
      </c>
      <c r="C764" t="str">
        <f t="shared" si="159"/>
        <v>Christopher Sparks</v>
      </c>
      <c r="D764" t="s">
        <v>40</v>
      </c>
      <c r="E764" t="str">
        <f t="shared" si="154"/>
        <v>Male</v>
      </c>
      <c r="F764">
        <v>37</v>
      </c>
      <c r="G764" t="s">
        <v>20</v>
      </c>
      <c r="H764" t="s">
        <v>21</v>
      </c>
      <c r="I764" t="s">
        <v>22</v>
      </c>
      <c r="J764">
        <v>12</v>
      </c>
      <c r="K764" s="4" t="str" cm="1">
        <f t="array" ref="K764">_xlfn.IFS(J764&lt;=5,"0-5",J764&lt;=10,"6-10",J764&lt;=15,"11-15",J764&lt;=20,"16-20",J764&gt;20,"21+")</f>
        <v>11-15</v>
      </c>
      <c r="N764" s="8" t="str">
        <f t="shared" si="155"/>
        <v/>
      </c>
      <c r="O764">
        <v>4.9000000000000004</v>
      </c>
      <c r="P764">
        <v>1</v>
      </c>
      <c r="Q764" t="s">
        <v>2073</v>
      </c>
      <c r="R764" s="1">
        <v>0.8</v>
      </c>
      <c r="S764" s="3">
        <f t="shared" si="164"/>
        <v>0.8</v>
      </c>
    </row>
    <row r="765" spans="1:19" x14ac:dyDescent="0.3">
      <c r="A765" t="s">
        <v>1597</v>
      </c>
      <c r="B765" t="s">
        <v>1598</v>
      </c>
      <c r="C765" t="str">
        <f t="shared" si="159"/>
        <v>Aaron Hicks</v>
      </c>
      <c r="D765" t="s">
        <v>19</v>
      </c>
      <c r="E765" t="str">
        <f t="shared" si="154"/>
        <v>Male</v>
      </c>
      <c r="F765">
        <v>52</v>
      </c>
      <c r="G765" t="s">
        <v>85</v>
      </c>
      <c r="H765" t="s">
        <v>86</v>
      </c>
      <c r="I765" t="s">
        <v>9</v>
      </c>
      <c r="J765">
        <v>7</v>
      </c>
      <c r="K765" s="4" t="str" cm="1">
        <f t="array" ref="K765">_xlfn.IFS(J765&lt;=5,"0-5",J765&lt;=10,"6-10",J765&lt;=15,"11-15",J765&lt;=20,"16-20",J765&gt;20,"21+")</f>
        <v>6-10</v>
      </c>
      <c r="L765">
        <v>40</v>
      </c>
      <c r="M765" s="2">
        <f>L765</f>
        <v>40</v>
      </c>
      <c r="N765" s="8">
        <f t="shared" si="155"/>
        <v>40</v>
      </c>
      <c r="O765">
        <v>2.2000000000000002</v>
      </c>
      <c r="R765" s="1">
        <v>0.96</v>
      </c>
      <c r="S765" s="3">
        <f t="shared" si="164"/>
        <v>0.96</v>
      </c>
    </row>
    <row r="766" spans="1:19" x14ac:dyDescent="0.3">
      <c r="A766" t="s">
        <v>1599</v>
      </c>
      <c r="B766" t="s">
        <v>1600</v>
      </c>
      <c r="C766" t="str">
        <f t="shared" si="159"/>
        <v>Jose Patterson</v>
      </c>
      <c r="D766" t="s">
        <v>40</v>
      </c>
      <c r="E766" t="str">
        <f t="shared" si="154"/>
        <v>Male</v>
      </c>
      <c r="F766">
        <v>27</v>
      </c>
      <c r="G766" t="s">
        <v>41</v>
      </c>
      <c r="H766" t="s">
        <v>42</v>
      </c>
      <c r="I766" t="s">
        <v>9</v>
      </c>
      <c r="J766">
        <v>4</v>
      </c>
      <c r="K766" s="4" t="str" cm="1">
        <f t="array" ref="K766">_xlfn.IFS(J766&lt;=5,"0-5",J766&lt;=10,"6-10",J766&lt;=15,"11-15",J766&lt;=20,"16-20",J766&gt;20,"21+")</f>
        <v>0-5</v>
      </c>
      <c r="L766">
        <v>20</v>
      </c>
      <c r="M766" s="2">
        <f>L766</f>
        <v>20</v>
      </c>
      <c r="N766" s="8">
        <f t="shared" si="155"/>
        <v>20</v>
      </c>
      <c r="P766">
        <v>0</v>
      </c>
      <c r="Q766" t="s">
        <v>2072</v>
      </c>
      <c r="R766" s="1">
        <v>0.63</v>
      </c>
      <c r="S766" s="3">
        <f t="shared" si="164"/>
        <v>0.63</v>
      </c>
    </row>
    <row r="767" spans="1:19" x14ac:dyDescent="0.3">
      <c r="A767" t="s">
        <v>1601</v>
      </c>
      <c r="B767" t="s">
        <v>1602</v>
      </c>
      <c r="C767" t="str">
        <f t="shared" si="159"/>
        <v>Bryan Long</v>
      </c>
      <c r="D767" t="s">
        <v>40</v>
      </c>
      <c r="E767" t="str">
        <f t="shared" si="154"/>
        <v>Male</v>
      </c>
      <c r="F767">
        <v>48</v>
      </c>
      <c r="G767" t="s">
        <v>13</v>
      </c>
      <c r="H767" t="s">
        <v>14</v>
      </c>
      <c r="I767" t="s">
        <v>22</v>
      </c>
      <c r="J767">
        <v>24</v>
      </c>
      <c r="K767" s="4" t="str" cm="1">
        <f t="array" ref="K767">_xlfn.IFS(J767&lt;=5,"0-5",J767&lt;=10,"6-10",J767&lt;=15,"11-15",J767&lt;=20,"16-20",J767&gt;20,"21+")</f>
        <v>21+</v>
      </c>
      <c r="L767" t="s">
        <v>28</v>
      </c>
      <c r="M767" s="2" t="str">
        <f>SUBSTITUTE(L767,"$","")</f>
        <v>40</v>
      </c>
      <c r="N767" s="8">
        <f t="shared" si="155"/>
        <v>40</v>
      </c>
      <c r="O767">
        <v>2.2000000000000002</v>
      </c>
      <c r="P767">
        <v>0</v>
      </c>
      <c r="Q767" t="s">
        <v>2072</v>
      </c>
      <c r="R767" s="1">
        <v>0.67</v>
      </c>
      <c r="S767" s="3">
        <f t="shared" si="164"/>
        <v>0.67</v>
      </c>
    </row>
    <row r="768" spans="1:19" x14ac:dyDescent="0.3">
      <c r="A768" t="s">
        <v>1603</v>
      </c>
      <c r="B768" t="s">
        <v>1604</v>
      </c>
      <c r="C768" t="str">
        <f t="shared" si="159"/>
        <v>Tammy Gomez</v>
      </c>
      <c r="D768" t="s">
        <v>26</v>
      </c>
      <c r="E768" t="str">
        <f t="shared" si="154"/>
        <v>Female</v>
      </c>
      <c r="F768">
        <v>22</v>
      </c>
      <c r="G768" t="s">
        <v>77</v>
      </c>
      <c r="H768" t="s">
        <v>78</v>
      </c>
      <c r="I768" t="s">
        <v>43</v>
      </c>
      <c r="J768">
        <v>1</v>
      </c>
      <c r="K768" s="4" t="str" cm="1">
        <f t="array" ref="K768">_xlfn.IFS(J768&lt;=5,"0-5",J768&lt;=10,"6-10",J768&lt;=15,"11-15",J768&lt;=20,"16-20",J768&gt;20,"21+")</f>
        <v>0-5</v>
      </c>
      <c r="L768" t="s">
        <v>101</v>
      </c>
      <c r="M768" s="2" t="str">
        <f>TRIM(MID(L768,FIND(" ",L768)+1,LEN(L768)))</f>
        <v>30</v>
      </c>
      <c r="N768" s="8">
        <f t="shared" si="155"/>
        <v>30</v>
      </c>
      <c r="O768">
        <v>3.3</v>
      </c>
      <c r="P768">
        <v>1</v>
      </c>
      <c r="Q768" t="s">
        <v>2073</v>
      </c>
      <c r="R768" s="1">
        <v>0.61</v>
      </c>
      <c r="S768" s="3">
        <f t="shared" si="164"/>
        <v>0.61</v>
      </c>
    </row>
    <row r="769" spans="1:19" x14ac:dyDescent="0.3">
      <c r="A769" t="s">
        <v>1605</v>
      </c>
      <c r="B769" t="s">
        <v>1606</v>
      </c>
      <c r="C769" t="str">
        <f t="shared" si="159"/>
        <v>Diana Raymond</v>
      </c>
      <c r="D769" t="s">
        <v>12</v>
      </c>
      <c r="E769" t="str">
        <f t="shared" si="154"/>
        <v>Female</v>
      </c>
      <c r="F769">
        <v>48</v>
      </c>
      <c r="G769" t="s">
        <v>20</v>
      </c>
      <c r="H769" t="s">
        <v>21</v>
      </c>
      <c r="I769" t="s">
        <v>15</v>
      </c>
      <c r="J769">
        <v>28</v>
      </c>
      <c r="K769" s="4" t="str" cm="1">
        <f t="array" ref="K769">_xlfn.IFS(J769&lt;=5,"0-5",J769&lt;=10,"6-10",J769&lt;=15,"11-15",J769&lt;=20,"16-20",J769&gt;20,"21+")</f>
        <v>21+</v>
      </c>
      <c r="L769" t="s">
        <v>101</v>
      </c>
      <c r="M769" s="2" t="str">
        <f>TRIM(MID(L769,FIND(" ",L769)+1,LEN(L769)))</f>
        <v>30</v>
      </c>
      <c r="N769" s="8">
        <f t="shared" si="155"/>
        <v>30</v>
      </c>
      <c r="O769">
        <v>4.9000000000000004</v>
      </c>
      <c r="P769">
        <v>0</v>
      </c>
      <c r="Q769" t="s">
        <v>2072</v>
      </c>
      <c r="R769" s="1">
        <v>0.77</v>
      </c>
      <c r="S769" s="3">
        <f t="shared" si="164"/>
        <v>0.77</v>
      </c>
    </row>
    <row r="770" spans="1:19" x14ac:dyDescent="0.3">
      <c r="A770" t="s">
        <v>1607</v>
      </c>
      <c r="B770" t="s">
        <v>1608</v>
      </c>
      <c r="C770" t="str">
        <f t="shared" si="159"/>
        <v>Jessica Armstrong</v>
      </c>
      <c r="D770" t="s">
        <v>26</v>
      </c>
      <c r="E770" t="str">
        <f t="shared" ref="E770:E833" si="165">IF(LOWER(LEFT(D770,1))="f","Female","Male")</f>
        <v>Female</v>
      </c>
      <c r="F770">
        <v>54</v>
      </c>
      <c r="G770" t="s">
        <v>50</v>
      </c>
      <c r="H770" t="s">
        <v>14</v>
      </c>
      <c r="I770" t="s">
        <v>15</v>
      </c>
      <c r="J770">
        <v>19</v>
      </c>
      <c r="K770" s="4" t="str" cm="1">
        <f t="array" ref="K770">_xlfn.IFS(J770&lt;=5,"0-5",J770&lt;=10,"6-10",J770&lt;=15,"11-15",J770&lt;=20,"16-20",J770&gt;20,"21+")</f>
        <v>16-20</v>
      </c>
      <c r="L770">
        <v>75</v>
      </c>
      <c r="M770" s="2">
        <f>L770</f>
        <v>75</v>
      </c>
      <c r="N770" s="8">
        <f t="shared" si="155"/>
        <v>75</v>
      </c>
      <c r="O770">
        <v>0</v>
      </c>
    </row>
    <row r="771" spans="1:19" x14ac:dyDescent="0.3">
      <c r="A771" t="s">
        <v>1609</v>
      </c>
      <c r="B771" t="s">
        <v>1610</v>
      </c>
      <c r="C771" t="str">
        <f t="shared" si="159"/>
        <v>Amanda Martin</v>
      </c>
      <c r="D771" t="s">
        <v>69</v>
      </c>
      <c r="E771" t="str">
        <f t="shared" si="165"/>
        <v>Female</v>
      </c>
      <c r="F771">
        <v>52</v>
      </c>
      <c r="G771" t="s">
        <v>104</v>
      </c>
      <c r="H771" t="s">
        <v>105</v>
      </c>
      <c r="I771" t="s">
        <v>43</v>
      </c>
      <c r="J771">
        <v>4</v>
      </c>
      <c r="K771" s="4" t="str" cm="1">
        <f t="array" ref="K771">_xlfn.IFS(J771&lt;=5,"0-5",J771&lt;=10,"6-10",J771&lt;=15,"11-15",J771&lt;=20,"16-20",J771&gt;20,"21+")</f>
        <v>0-5</v>
      </c>
      <c r="L771">
        <v>50</v>
      </c>
      <c r="M771" s="2">
        <f>L771</f>
        <v>50</v>
      </c>
      <c r="N771" s="8">
        <f t="shared" ref="N771:N834" si="166">IF(M771="", "", VALUE(M771))</f>
        <v>50</v>
      </c>
      <c r="P771" t="s">
        <v>23</v>
      </c>
      <c r="Q771" t="s">
        <v>2072</v>
      </c>
      <c r="R771" s="1">
        <v>0.84</v>
      </c>
      <c r="S771" s="3">
        <f t="shared" ref="S771:S782" si="167">R771</f>
        <v>0.84</v>
      </c>
    </row>
    <row r="772" spans="1:19" x14ac:dyDescent="0.3">
      <c r="A772" t="s">
        <v>1611</v>
      </c>
      <c r="B772" t="s">
        <v>1612</v>
      </c>
      <c r="C772" t="str">
        <f t="shared" si="159"/>
        <v>Anne Hamilton</v>
      </c>
      <c r="D772" t="s">
        <v>31</v>
      </c>
      <c r="E772" t="str">
        <f t="shared" si="165"/>
        <v>Female</v>
      </c>
      <c r="F772">
        <v>39</v>
      </c>
      <c r="G772" t="s">
        <v>54</v>
      </c>
      <c r="H772" t="s">
        <v>55</v>
      </c>
      <c r="I772" t="s">
        <v>27</v>
      </c>
      <c r="J772">
        <v>20</v>
      </c>
      <c r="K772" s="4" t="str" cm="1">
        <f t="array" ref="K772">_xlfn.IFS(J772&lt;=5,"0-5",J772&lt;=10,"6-10",J772&lt;=15,"11-15",J772&lt;=20,"16-20",J772&gt;20,"21+")</f>
        <v>16-20</v>
      </c>
      <c r="L772" t="s">
        <v>16</v>
      </c>
      <c r="M772" s="2" t="str">
        <f>TRIM(MID(L772,FIND(" ",L772)+1,LEN(L772)))</f>
        <v>100</v>
      </c>
      <c r="N772" s="8">
        <f t="shared" si="166"/>
        <v>100</v>
      </c>
      <c r="P772" t="s">
        <v>66</v>
      </c>
      <c r="Q772" t="s">
        <v>2073</v>
      </c>
      <c r="R772" s="1">
        <v>0.89</v>
      </c>
      <c r="S772" s="3">
        <f t="shared" si="167"/>
        <v>0.89</v>
      </c>
    </row>
    <row r="773" spans="1:19" x14ac:dyDescent="0.3">
      <c r="A773" t="s">
        <v>1613</v>
      </c>
      <c r="B773" t="s">
        <v>1614</v>
      </c>
      <c r="C773" t="str">
        <f t="shared" si="159"/>
        <v>Heather Curtis</v>
      </c>
      <c r="D773" t="s">
        <v>6</v>
      </c>
      <c r="E773" t="str">
        <f t="shared" si="165"/>
        <v>Female</v>
      </c>
      <c r="F773">
        <v>54</v>
      </c>
      <c r="G773" t="s">
        <v>116</v>
      </c>
      <c r="H773" t="s">
        <v>117</v>
      </c>
      <c r="I773" t="s">
        <v>15</v>
      </c>
      <c r="J773">
        <v>19</v>
      </c>
      <c r="K773" s="4" t="str" cm="1">
        <f t="array" ref="K773">_xlfn.IFS(J773&lt;=5,"0-5",J773&lt;=10,"6-10",J773&lt;=15,"11-15",J773&lt;=20,"16-20",J773&gt;20,"21+")</f>
        <v>16-20</v>
      </c>
      <c r="L773" t="s">
        <v>101</v>
      </c>
      <c r="M773" s="2" t="str">
        <f>TRIM(MID(L773,FIND(" ",L773)+1,LEN(L773)))</f>
        <v>30</v>
      </c>
      <c r="N773" s="8">
        <f t="shared" si="166"/>
        <v>30</v>
      </c>
      <c r="O773">
        <v>4</v>
      </c>
      <c r="R773" s="1">
        <v>0.9</v>
      </c>
      <c r="S773" s="3">
        <f t="shared" si="167"/>
        <v>0.9</v>
      </c>
    </row>
    <row r="774" spans="1:19" x14ac:dyDescent="0.3">
      <c r="A774" t="s">
        <v>1615</v>
      </c>
      <c r="B774" t="s">
        <v>1616</v>
      </c>
      <c r="C774" t="str">
        <f t="shared" si="159"/>
        <v>Tiffany Moses</v>
      </c>
      <c r="D774" t="s">
        <v>69</v>
      </c>
      <c r="E774" t="str">
        <f t="shared" si="165"/>
        <v>Female</v>
      </c>
      <c r="F774">
        <v>22</v>
      </c>
      <c r="G774" t="s">
        <v>50</v>
      </c>
      <c r="H774" t="s">
        <v>14</v>
      </c>
      <c r="I774" t="s">
        <v>70</v>
      </c>
      <c r="J774">
        <v>1</v>
      </c>
      <c r="K774" s="4" t="str" cm="1">
        <f t="array" ref="K774">_xlfn.IFS(J774&lt;=5,"0-5",J774&lt;=10,"6-10",J774&lt;=15,"11-15",J774&lt;=20,"16-20",J774&gt;20,"21+")</f>
        <v>0-5</v>
      </c>
      <c r="L774">
        <v>20</v>
      </c>
      <c r="M774" s="2">
        <f>L774</f>
        <v>20</v>
      </c>
      <c r="N774" s="8">
        <f t="shared" si="166"/>
        <v>20</v>
      </c>
      <c r="O774">
        <v>4.8</v>
      </c>
      <c r="P774" t="b">
        <v>0</v>
      </c>
      <c r="Q774" t="s">
        <v>2072</v>
      </c>
      <c r="R774" s="1">
        <v>0.87</v>
      </c>
      <c r="S774" s="3">
        <f t="shared" si="167"/>
        <v>0.87</v>
      </c>
    </row>
    <row r="775" spans="1:19" x14ac:dyDescent="0.3">
      <c r="A775" t="s">
        <v>1617</v>
      </c>
      <c r="B775" t="s">
        <v>1618</v>
      </c>
      <c r="C775" t="str">
        <f t="shared" si="159"/>
        <v>Jacqueline Moon</v>
      </c>
      <c r="D775" t="s">
        <v>12</v>
      </c>
      <c r="E775" t="str">
        <f t="shared" si="165"/>
        <v>Female</v>
      </c>
      <c r="F775">
        <v>29</v>
      </c>
      <c r="G775" t="s">
        <v>145</v>
      </c>
      <c r="H775" t="s">
        <v>146</v>
      </c>
      <c r="I775" t="s">
        <v>15</v>
      </c>
      <c r="J775">
        <v>8</v>
      </c>
      <c r="K775" s="4" t="str" cm="1">
        <f t="array" ref="K775">_xlfn.IFS(J775&lt;=5,"0-5",J775&lt;=10,"6-10",J775&lt;=15,"11-15",J775&lt;=20,"16-20",J775&gt;20,"21+")</f>
        <v>6-10</v>
      </c>
      <c r="L775">
        <v>50</v>
      </c>
      <c r="M775" s="2">
        <f>L775</f>
        <v>50</v>
      </c>
      <c r="N775" s="8">
        <f t="shared" si="166"/>
        <v>50</v>
      </c>
      <c r="O775">
        <v>0</v>
      </c>
      <c r="P775">
        <v>0</v>
      </c>
      <c r="Q775" t="s">
        <v>2072</v>
      </c>
      <c r="R775" s="1">
        <v>0.77</v>
      </c>
      <c r="S775" s="3">
        <f t="shared" si="167"/>
        <v>0.77</v>
      </c>
    </row>
    <row r="776" spans="1:19" x14ac:dyDescent="0.3">
      <c r="A776" t="s">
        <v>1619</v>
      </c>
      <c r="B776" t="s">
        <v>1620</v>
      </c>
      <c r="C776" t="str">
        <f t="shared" si="159"/>
        <v>James Campbell</v>
      </c>
      <c r="D776" t="s">
        <v>84</v>
      </c>
      <c r="E776" t="str">
        <f t="shared" si="165"/>
        <v>Male</v>
      </c>
      <c r="F776">
        <v>23</v>
      </c>
      <c r="G776" t="s">
        <v>182</v>
      </c>
      <c r="H776" t="s">
        <v>64</v>
      </c>
      <c r="I776" t="s">
        <v>81</v>
      </c>
      <c r="J776">
        <v>3</v>
      </c>
      <c r="K776" s="4" t="str" cm="1">
        <f t="array" ref="K776">_xlfn.IFS(J776&lt;=5,"0-5",J776&lt;=10,"6-10",J776&lt;=15,"11-15",J776&lt;=20,"16-20",J776&gt;20,"21+")</f>
        <v>0-5</v>
      </c>
      <c r="L776" t="s">
        <v>101</v>
      </c>
      <c r="M776" s="2" t="str">
        <f>TRIM(MID(L776,FIND(" ",L776)+1,LEN(L776)))</f>
        <v>30</v>
      </c>
      <c r="N776" s="8">
        <f t="shared" si="166"/>
        <v>30</v>
      </c>
      <c r="O776">
        <v>1.6</v>
      </c>
      <c r="P776" t="s">
        <v>66</v>
      </c>
      <c r="Q776" t="s">
        <v>2073</v>
      </c>
      <c r="R776" s="1">
        <v>0.72</v>
      </c>
      <c r="S776" s="3">
        <f t="shared" si="167"/>
        <v>0.72</v>
      </c>
    </row>
    <row r="777" spans="1:19" x14ac:dyDescent="0.3">
      <c r="A777" t="s">
        <v>1621</v>
      </c>
      <c r="B777" t="s">
        <v>1622</v>
      </c>
      <c r="C777" t="str">
        <f t="shared" si="159"/>
        <v>Melissa Vasquez</v>
      </c>
      <c r="D777" t="s">
        <v>26</v>
      </c>
      <c r="E777" t="str">
        <f t="shared" si="165"/>
        <v>Female</v>
      </c>
      <c r="F777">
        <v>58</v>
      </c>
      <c r="G777" t="s">
        <v>171</v>
      </c>
      <c r="H777" t="s">
        <v>64</v>
      </c>
      <c r="I777" t="s">
        <v>81</v>
      </c>
      <c r="J777">
        <v>30</v>
      </c>
      <c r="K777" s="4" t="str" cm="1">
        <f t="array" ref="K777">_xlfn.IFS(J777&lt;=5,"0-5",J777&lt;=10,"6-10",J777&lt;=15,"11-15",J777&lt;=20,"16-20",J777&gt;20,"21+")</f>
        <v>21+</v>
      </c>
      <c r="L777">
        <v>50</v>
      </c>
      <c r="M777" s="2">
        <f>L777</f>
        <v>50</v>
      </c>
      <c r="N777" s="8">
        <f t="shared" si="166"/>
        <v>50</v>
      </c>
      <c r="O777">
        <v>1.3</v>
      </c>
      <c r="P777" t="s">
        <v>60</v>
      </c>
      <c r="Q777" t="s">
        <v>2073</v>
      </c>
      <c r="R777" s="1">
        <v>0.87</v>
      </c>
      <c r="S777" s="3">
        <f t="shared" si="167"/>
        <v>0.87</v>
      </c>
    </row>
    <row r="778" spans="1:19" x14ac:dyDescent="0.3">
      <c r="A778" t="s">
        <v>1623</v>
      </c>
      <c r="B778" t="s">
        <v>1624</v>
      </c>
      <c r="C778" t="str">
        <f t="shared" si="159"/>
        <v>Katherine Carlson</v>
      </c>
      <c r="D778" t="s">
        <v>6</v>
      </c>
      <c r="E778" t="str">
        <f t="shared" si="165"/>
        <v>Female</v>
      </c>
      <c r="F778">
        <v>56</v>
      </c>
      <c r="G778" t="s">
        <v>167</v>
      </c>
      <c r="H778" t="s">
        <v>168</v>
      </c>
      <c r="I778" t="s">
        <v>9</v>
      </c>
      <c r="J778">
        <v>3</v>
      </c>
      <c r="K778" s="4" t="str" cm="1">
        <f t="array" ref="K778">_xlfn.IFS(J778&lt;=5,"0-5",J778&lt;=10,"6-10",J778&lt;=15,"11-15",J778&lt;=20,"16-20",J778&gt;20,"21+")</f>
        <v>0-5</v>
      </c>
      <c r="L778">
        <v>40</v>
      </c>
      <c r="M778" s="2">
        <f>L778</f>
        <v>40</v>
      </c>
      <c r="N778" s="8">
        <f t="shared" si="166"/>
        <v>40</v>
      </c>
      <c r="O778">
        <v>4.0999999999999996</v>
      </c>
      <c r="P778" t="b">
        <v>1</v>
      </c>
      <c r="Q778" t="s">
        <v>2073</v>
      </c>
      <c r="R778" s="1">
        <v>0.89</v>
      </c>
      <c r="S778" s="3">
        <f t="shared" si="167"/>
        <v>0.89</v>
      </c>
    </row>
    <row r="779" spans="1:19" x14ac:dyDescent="0.3">
      <c r="A779" t="s">
        <v>1625</v>
      </c>
      <c r="B779" t="s">
        <v>1626</v>
      </c>
      <c r="C779" t="str">
        <f t="shared" si="159"/>
        <v>Adam Clay</v>
      </c>
      <c r="D779" t="s">
        <v>84</v>
      </c>
      <c r="E779" t="str">
        <f t="shared" si="165"/>
        <v>Male</v>
      </c>
      <c r="F779">
        <v>48</v>
      </c>
      <c r="G779" t="s">
        <v>54</v>
      </c>
      <c r="H779" t="s">
        <v>55</v>
      </c>
      <c r="I779" t="s">
        <v>27</v>
      </c>
      <c r="J779">
        <v>19</v>
      </c>
      <c r="K779" s="4" t="str" cm="1">
        <f t="array" ref="K779">_xlfn.IFS(J779&lt;=5,"0-5",J779&lt;=10,"6-10",J779&lt;=15,"11-15",J779&lt;=20,"16-20",J779&gt;20,"21+")</f>
        <v>16-20</v>
      </c>
      <c r="L779">
        <v>40</v>
      </c>
      <c r="M779" s="2">
        <f>L779</f>
        <v>40</v>
      </c>
      <c r="N779" s="8">
        <f t="shared" si="166"/>
        <v>40</v>
      </c>
      <c r="O779">
        <v>1.5</v>
      </c>
      <c r="P779">
        <v>0</v>
      </c>
      <c r="Q779" t="s">
        <v>2072</v>
      </c>
      <c r="R779" s="1">
        <v>0.87</v>
      </c>
      <c r="S779" s="3">
        <f t="shared" si="167"/>
        <v>0.87</v>
      </c>
    </row>
    <row r="780" spans="1:19" x14ac:dyDescent="0.3">
      <c r="A780" t="s">
        <v>1627</v>
      </c>
      <c r="B780" t="s">
        <v>1628</v>
      </c>
      <c r="C780" t="str">
        <f t="shared" si="159"/>
        <v>Amy Combs</v>
      </c>
      <c r="D780" t="s">
        <v>69</v>
      </c>
      <c r="E780" t="str">
        <f t="shared" si="165"/>
        <v>Female</v>
      </c>
      <c r="F780">
        <v>31</v>
      </c>
      <c r="G780" t="s">
        <v>116</v>
      </c>
      <c r="H780" t="s">
        <v>117</v>
      </c>
      <c r="I780" t="s">
        <v>15</v>
      </c>
      <c r="J780">
        <v>11</v>
      </c>
      <c r="K780" s="4" t="str" cm="1">
        <f t="array" ref="K780">_xlfn.IFS(J780&lt;=5,"0-5",J780&lt;=10,"6-10",J780&lt;=15,"11-15",J780&lt;=20,"16-20",J780&gt;20,"21+")</f>
        <v>11-15</v>
      </c>
      <c r="L780" t="s">
        <v>47</v>
      </c>
      <c r="M780" s="2" t="str">
        <f>TRIM(MID(L780,FIND(" ",L780)+1,LEN(L780)))</f>
        <v>40</v>
      </c>
      <c r="N780" s="8">
        <f t="shared" si="166"/>
        <v>40</v>
      </c>
      <c r="O780">
        <v>4.3</v>
      </c>
      <c r="P780" t="s">
        <v>66</v>
      </c>
      <c r="Q780" t="s">
        <v>2073</v>
      </c>
      <c r="R780" s="1">
        <v>0.76</v>
      </c>
      <c r="S780" s="3">
        <f t="shared" si="167"/>
        <v>0.76</v>
      </c>
    </row>
    <row r="781" spans="1:19" x14ac:dyDescent="0.3">
      <c r="A781" t="s">
        <v>1629</v>
      </c>
      <c r="B781" t="s">
        <v>1630</v>
      </c>
      <c r="C781" t="str">
        <f t="shared" si="159"/>
        <v>Anthony Case</v>
      </c>
      <c r="D781" t="s">
        <v>84</v>
      </c>
      <c r="E781" t="str">
        <f t="shared" si="165"/>
        <v>Male</v>
      </c>
      <c r="F781">
        <v>44</v>
      </c>
      <c r="G781" t="s">
        <v>13</v>
      </c>
      <c r="H781" t="s">
        <v>14</v>
      </c>
      <c r="I781" t="s">
        <v>106</v>
      </c>
      <c r="J781">
        <v>26</v>
      </c>
      <c r="K781" s="4" t="str" cm="1">
        <f t="array" ref="K781">_xlfn.IFS(J781&lt;=5,"0-5",J781&lt;=10,"6-10",J781&lt;=15,"11-15",J781&lt;=20,"16-20",J781&gt;20,"21+")</f>
        <v>21+</v>
      </c>
      <c r="L781">
        <v>50</v>
      </c>
      <c r="M781" s="2">
        <f>L781</f>
        <v>50</v>
      </c>
      <c r="N781" s="8">
        <f t="shared" si="166"/>
        <v>50</v>
      </c>
      <c r="O781">
        <v>1.6</v>
      </c>
      <c r="R781" s="1">
        <v>1</v>
      </c>
      <c r="S781" s="3">
        <f t="shared" si="167"/>
        <v>1</v>
      </c>
    </row>
    <row r="782" spans="1:19" x14ac:dyDescent="0.3">
      <c r="A782" t="s">
        <v>1631</v>
      </c>
      <c r="B782" t="s">
        <v>1632</v>
      </c>
      <c r="C782" t="str">
        <f t="shared" si="159"/>
        <v>Kimberly Brown</v>
      </c>
      <c r="D782" t="s">
        <v>26</v>
      </c>
      <c r="E782" t="str">
        <f t="shared" si="165"/>
        <v>Female</v>
      </c>
      <c r="F782">
        <v>42</v>
      </c>
      <c r="G782" t="s">
        <v>131</v>
      </c>
      <c r="H782" t="s">
        <v>132</v>
      </c>
      <c r="I782" t="s">
        <v>15</v>
      </c>
      <c r="J782">
        <v>10</v>
      </c>
      <c r="K782" s="4" t="str" cm="1">
        <f t="array" ref="K782">_xlfn.IFS(J782&lt;=5,"0-5",J782&lt;=10,"6-10",J782&lt;=15,"11-15",J782&lt;=20,"16-20",J782&gt;20,"21+")</f>
        <v>6-10</v>
      </c>
      <c r="L782">
        <v>100</v>
      </c>
      <c r="M782" s="2">
        <f>L782</f>
        <v>100</v>
      </c>
      <c r="N782" s="8">
        <f t="shared" si="166"/>
        <v>100</v>
      </c>
      <c r="O782">
        <v>3.7</v>
      </c>
      <c r="P782" t="s">
        <v>66</v>
      </c>
      <c r="Q782" t="s">
        <v>2073</v>
      </c>
      <c r="R782" s="1">
        <v>0.94</v>
      </c>
      <c r="S782" s="3">
        <f t="shared" si="167"/>
        <v>0.94</v>
      </c>
    </row>
    <row r="783" spans="1:19" x14ac:dyDescent="0.3">
      <c r="A783" t="s">
        <v>1633</v>
      </c>
      <c r="B783" t="s">
        <v>1634</v>
      </c>
      <c r="C783" t="str">
        <f t="shared" si="159"/>
        <v>Joshua Holloway</v>
      </c>
      <c r="D783" t="s">
        <v>89</v>
      </c>
      <c r="E783" t="str">
        <f t="shared" si="165"/>
        <v>Male</v>
      </c>
      <c r="F783">
        <v>59</v>
      </c>
      <c r="G783" t="s">
        <v>50</v>
      </c>
      <c r="H783" t="s">
        <v>14</v>
      </c>
      <c r="I783" t="s">
        <v>70</v>
      </c>
      <c r="J783">
        <v>17</v>
      </c>
      <c r="K783" s="4" t="str" cm="1">
        <f t="array" ref="K783">_xlfn.IFS(J783&lt;=5,"0-5",J783&lt;=10,"6-10",J783&lt;=15,"11-15",J783&lt;=20,"16-20",J783&gt;20,"21+")</f>
        <v>16-20</v>
      </c>
      <c r="L783">
        <v>50</v>
      </c>
      <c r="M783" s="2">
        <f>L783</f>
        <v>50</v>
      </c>
      <c r="N783" s="8">
        <f t="shared" si="166"/>
        <v>50</v>
      </c>
      <c r="O783">
        <v>1.4</v>
      </c>
      <c r="P783" t="s">
        <v>60</v>
      </c>
      <c r="Q783" t="s">
        <v>2073</v>
      </c>
    </row>
    <row r="784" spans="1:19" x14ac:dyDescent="0.3">
      <c r="A784" t="s">
        <v>1635</v>
      </c>
      <c r="B784" t="s">
        <v>1636</v>
      </c>
      <c r="C784" t="str">
        <f t="shared" si="159"/>
        <v>Cynthia Walton</v>
      </c>
      <c r="D784" t="s">
        <v>26</v>
      </c>
      <c r="E784" t="str">
        <f t="shared" si="165"/>
        <v>Female</v>
      </c>
      <c r="G784" t="s">
        <v>63</v>
      </c>
      <c r="H784" t="s">
        <v>64</v>
      </c>
      <c r="I784" t="s">
        <v>9</v>
      </c>
      <c r="J784">
        <v>9</v>
      </c>
      <c r="K784" s="4" t="str" cm="1">
        <f t="array" ref="K784">_xlfn.IFS(J784&lt;=5,"0-5",J784&lt;=10,"6-10",J784&lt;=15,"11-15",J784&lt;=20,"16-20",J784&gt;20,"21+")</f>
        <v>6-10</v>
      </c>
      <c r="L784" t="s">
        <v>221</v>
      </c>
      <c r="M784" s="2" t="str">
        <f>SUBSTITUTE(L784,"$","")</f>
        <v>100</v>
      </c>
      <c r="N784" s="8">
        <f t="shared" si="166"/>
        <v>100</v>
      </c>
      <c r="O784">
        <v>4.5</v>
      </c>
      <c r="P784" t="s">
        <v>66</v>
      </c>
      <c r="Q784" t="s">
        <v>2073</v>
      </c>
      <c r="R784">
        <v>83</v>
      </c>
      <c r="S784" s="3">
        <f>R784/100</f>
        <v>0.83</v>
      </c>
    </row>
    <row r="785" spans="1:19" x14ac:dyDescent="0.3">
      <c r="A785" t="s">
        <v>1637</v>
      </c>
      <c r="B785" t="s">
        <v>1638</v>
      </c>
      <c r="C785" t="str">
        <f t="shared" si="159"/>
        <v>Shawn Delgado</v>
      </c>
      <c r="D785" t="s">
        <v>84</v>
      </c>
      <c r="E785" t="str">
        <f t="shared" si="165"/>
        <v>Male</v>
      </c>
      <c r="F785">
        <v>21</v>
      </c>
      <c r="G785" t="s">
        <v>167</v>
      </c>
      <c r="H785" t="s">
        <v>168</v>
      </c>
      <c r="I785" t="s">
        <v>43</v>
      </c>
      <c r="J785">
        <v>0</v>
      </c>
      <c r="K785" s="4" t="str" cm="1">
        <f t="array" ref="K785">_xlfn.IFS(J785&lt;=5,"0-5",J785&lt;=10,"6-10",J785&lt;=15,"11-15",J785&lt;=20,"16-20",J785&gt;20,"21+")</f>
        <v>0-5</v>
      </c>
      <c r="L785" t="s">
        <v>47</v>
      </c>
      <c r="M785" s="2" t="str">
        <f>TRIM(MID(L785,FIND(" ",L785)+1,LEN(L785)))</f>
        <v>40</v>
      </c>
      <c r="N785" s="8">
        <f t="shared" si="166"/>
        <v>40</v>
      </c>
      <c r="O785">
        <v>3.7</v>
      </c>
      <c r="P785">
        <v>0</v>
      </c>
      <c r="Q785" t="s">
        <v>2072</v>
      </c>
      <c r="R785" s="1">
        <v>0.74</v>
      </c>
      <c r="S785" s="3">
        <f>R785</f>
        <v>0.74</v>
      </c>
    </row>
    <row r="786" spans="1:19" x14ac:dyDescent="0.3">
      <c r="A786" t="s">
        <v>1639</v>
      </c>
      <c r="B786" t="s">
        <v>1640</v>
      </c>
      <c r="C786" t="str">
        <f t="shared" si="159"/>
        <v>Jeremy Smith</v>
      </c>
      <c r="D786" t="s">
        <v>89</v>
      </c>
      <c r="E786" t="str">
        <f t="shared" si="165"/>
        <v>Male</v>
      </c>
      <c r="F786">
        <v>53</v>
      </c>
      <c r="G786" t="s">
        <v>59</v>
      </c>
      <c r="H786" t="s">
        <v>14</v>
      </c>
      <c r="I786" t="s">
        <v>81</v>
      </c>
      <c r="J786">
        <v>5</v>
      </c>
      <c r="K786" s="4" t="str" cm="1">
        <f t="array" ref="K786">_xlfn.IFS(J786&lt;=5,"0-5",J786&lt;=10,"6-10",J786&lt;=15,"11-15",J786&lt;=20,"16-20",J786&gt;20,"21+")</f>
        <v>0-5</v>
      </c>
      <c r="L786">
        <v>75</v>
      </c>
      <c r="M786" s="2">
        <f>L786</f>
        <v>75</v>
      </c>
      <c r="N786" s="8">
        <f t="shared" si="166"/>
        <v>75</v>
      </c>
      <c r="O786">
        <v>1.1000000000000001</v>
      </c>
      <c r="P786">
        <v>0</v>
      </c>
      <c r="Q786" t="s">
        <v>2072</v>
      </c>
      <c r="R786">
        <v>92</v>
      </c>
      <c r="S786" s="3">
        <f>R786/100</f>
        <v>0.92</v>
      </c>
    </row>
    <row r="787" spans="1:19" x14ac:dyDescent="0.3">
      <c r="A787" t="s">
        <v>1641</v>
      </c>
      <c r="B787" t="s">
        <v>1642</v>
      </c>
      <c r="C787" t="str">
        <f t="shared" si="159"/>
        <v>Marc Ortiz</v>
      </c>
      <c r="D787" t="s">
        <v>84</v>
      </c>
      <c r="E787" t="str">
        <f t="shared" si="165"/>
        <v>Male</v>
      </c>
      <c r="F787">
        <v>35</v>
      </c>
      <c r="G787" t="s">
        <v>63</v>
      </c>
      <c r="H787" t="s">
        <v>64</v>
      </c>
      <c r="I787" t="s">
        <v>15</v>
      </c>
      <c r="J787">
        <v>15</v>
      </c>
      <c r="K787" s="4" t="str" cm="1">
        <f t="array" ref="K787">_xlfn.IFS(J787&lt;=5,"0-5",J787&lt;=10,"6-10",J787&lt;=15,"11-15",J787&lt;=20,"16-20",J787&gt;20,"21+")</f>
        <v>11-15</v>
      </c>
      <c r="N787" s="8" t="str">
        <f t="shared" si="166"/>
        <v/>
      </c>
      <c r="O787">
        <v>3.7</v>
      </c>
      <c r="P787" t="b">
        <v>0</v>
      </c>
      <c r="Q787" t="s">
        <v>2072</v>
      </c>
      <c r="R787" s="1">
        <v>0.66</v>
      </c>
      <c r="S787" s="3">
        <f t="shared" ref="S787:S789" si="168">R787</f>
        <v>0.66</v>
      </c>
    </row>
    <row r="788" spans="1:19" x14ac:dyDescent="0.3">
      <c r="A788" t="s">
        <v>1643</v>
      </c>
      <c r="B788" t="s">
        <v>1644</v>
      </c>
      <c r="C788" t="str">
        <f t="shared" si="159"/>
        <v>Michelle Gregory</v>
      </c>
      <c r="D788" t="s">
        <v>69</v>
      </c>
      <c r="E788" t="str">
        <f t="shared" si="165"/>
        <v>Female</v>
      </c>
      <c r="F788">
        <v>25</v>
      </c>
      <c r="G788" t="s">
        <v>99</v>
      </c>
      <c r="H788" t="s">
        <v>100</v>
      </c>
      <c r="I788" t="s">
        <v>106</v>
      </c>
      <c r="J788">
        <v>3</v>
      </c>
      <c r="K788" s="4" t="str" cm="1">
        <f t="array" ref="K788">_xlfn.IFS(J788&lt;=5,"0-5",J788&lt;=10,"6-10",J788&lt;=15,"11-15",J788&lt;=20,"16-20",J788&gt;20,"21+")</f>
        <v>0-5</v>
      </c>
      <c r="L788" t="s">
        <v>56</v>
      </c>
      <c r="M788" s="2" t="str">
        <f>SUBSTITUTE(L788,"$","")</f>
        <v>50</v>
      </c>
      <c r="N788" s="8">
        <f t="shared" si="166"/>
        <v>50</v>
      </c>
      <c r="O788">
        <v>3.2</v>
      </c>
      <c r="P788" t="b">
        <v>1</v>
      </c>
      <c r="Q788" t="s">
        <v>2073</v>
      </c>
      <c r="R788" s="1">
        <v>0.74</v>
      </c>
      <c r="S788" s="3">
        <f t="shared" si="168"/>
        <v>0.74</v>
      </c>
    </row>
    <row r="789" spans="1:19" x14ac:dyDescent="0.3">
      <c r="A789" t="s">
        <v>1645</v>
      </c>
      <c r="B789" t="s">
        <v>1646</v>
      </c>
      <c r="C789" t="str">
        <f t="shared" si="159"/>
        <v>Melanie Gay</v>
      </c>
      <c r="D789" t="s">
        <v>31</v>
      </c>
      <c r="E789" t="str">
        <f t="shared" si="165"/>
        <v>Female</v>
      </c>
      <c r="F789">
        <v>23</v>
      </c>
      <c r="G789" t="s">
        <v>7</v>
      </c>
      <c r="H789" t="s">
        <v>8</v>
      </c>
      <c r="I789" t="s">
        <v>65</v>
      </c>
      <c r="J789">
        <v>1</v>
      </c>
      <c r="K789" s="4" t="str" cm="1">
        <f t="array" ref="K789">_xlfn.IFS(J789&lt;=5,"0-5",J789&lt;=10,"6-10",J789&lt;=15,"11-15",J789&lt;=20,"16-20",J789&gt;20,"21+")</f>
        <v>0-5</v>
      </c>
      <c r="L789">
        <v>30</v>
      </c>
      <c r="M789" s="2">
        <f>L789</f>
        <v>30</v>
      </c>
      <c r="N789" s="8">
        <f t="shared" si="166"/>
        <v>30</v>
      </c>
      <c r="O789">
        <v>5</v>
      </c>
      <c r="P789" t="s">
        <v>23</v>
      </c>
      <c r="Q789" t="s">
        <v>2072</v>
      </c>
      <c r="R789" s="1">
        <v>0.97</v>
      </c>
      <c r="S789" s="3">
        <f t="shared" si="168"/>
        <v>0.97</v>
      </c>
    </row>
    <row r="790" spans="1:19" x14ac:dyDescent="0.3">
      <c r="A790" t="s">
        <v>1647</v>
      </c>
      <c r="B790" t="s">
        <v>1648</v>
      </c>
      <c r="C790" t="str">
        <f t="shared" si="159"/>
        <v>Brittany Lambert</v>
      </c>
      <c r="D790" t="s">
        <v>26</v>
      </c>
      <c r="E790" t="str">
        <f t="shared" si="165"/>
        <v>Female</v>
      </c>
      <c r="F790">
        <v>56</v>
      </c>
      <c r="G790" t="s">
        <v>131</v>
      </c>
      <c r="H790" t="s">
        <v>132</v>
      </c>
      <c r="I790" t="s">
        <v>22</v>
      </c>
      <c r="J790">
        <v>13</v>
      </c>
      <c r="K790" s="4" t="str" cm="1">
        <f t="array" ref="K790">_xlfn.IFS(J790&lt;=5,"0-5",J790&lt;=10,"6-10",J790&lt;=15,"11-15",J790&lt;=20,"16-20",J790&gt;20,"21+")</f>
        <v>11-15</v>
      </c>
      <c r="L790">
        <v>30</v>
      </c>
      <c r="M790" s="2">
        <f>L790</f>
        <v>30</v>
      </c>
      <c r="N790" s="8">
        <f t="shared" si="166"/>
        <v>30</v>
      </c>
      <c r="O790">
        <v>0</v>
      </c>
      <c r="R790">
        <v>77</v>
      </c>
      <c r="S790" s="3">
        <f>R790/100</f>
        <v>0.77</v>
      </c>
    </row>
    <row r="791" spans="1:19" x14ac:dyDescent="0.3">
      <c r="A791" t="s">
        <v>1649</v>
      </c>
      <c r="B791" t="s">
        <v>1650</v>
      </c>
      <c r="C791" t="str">
        <f t="shared" si="159"/>
        <v>Mary Hernandez</v>
      </c>
      <c r="D791" t="s">
        <v>31</v>
      </c>
      <c r="E791" t="str">
        <f t="shared" si="165"/>
        <v>Female</v>
      </c>
      <c r="F791">
        <v>31</v>
      </c>
      <c r="G791" t="s">
        <v>171</v>
      </c>
      <c r="H791" t="s">
        <v>64</v>
      </c>
      <c r="I791" t="s">
        <v>65</v>
      </c>
      <c r="J791">
        <v>6</v>
      </c>
      <c r="K791" s="4" t="str" cm="1">
        <f t="array" ref="K791">_xlfn.IFS(J791&lt;=5,"0-5",J791&lt;=10,"6-10",J791&lt;=15,"11-15",J791&lt;=20,"16-20",J791&gt;20,"21+")</f>
        <v>6-10</v>
      </c>
      <c r="N791" s="8" t="str">
        <f t="shared" si="166"/>
        <v/>
      </c>
      <c r="O791">
        <v>3.5</v>
      </c>
      <c r="P791" t="s">
        <v>151</v>
      </c>
      <c r="Q791" t="s">
        <v>2072</v>
      </c>
      <c r="R791" s="1">
        <v>0.86</v>
      </c>
      <c r="S791" s="3">
        <f t="shared" ref="S791:S795" si="169">R791</f>
        <v>0.86</v>
      </c>
    </row>
    <row r="792" spans="1:19" x14ac:dyDescent="0.3">
      <c r="A792" t="s">
        <v>1651</v>
      </c>
      <c r="B792" t="s">
        <v>1652</v>
      </c>
      <c r="C792" t="str">
        <f t="shared" si="159"/>
        <v>Jonathan Jones</v>
      </c>
      <c r="D792" t="s">
        <v>84</v>
      </c>
      <c r="E792" t="str">
        <f t="shared" si="165"/>
        <v>Male</v>
      </c>
      <c r="F792">
        <v>24</v>
      </c>
      <c r="G792" t="s">
        <v>50</v>
      </c>
      <c r="H792" t="s">
        <v>14</v>
      </c>
      <c r="I792" t="s">
        <v>70</v>
      </c>
      <c r="J792">
        <v>4</v>
      </c>
      <c r="K792" s="4" t="str" cm="1">
        <f t="array" ref="K792">_xlfn.IFS(J792&lt;=5,"0-5",J792&lt;=10,"6-10",J792&lt;=15,"11-15",J792&lt;=20,"16-20",J792&gt;20,"21+")</f>
        <v>0-5</v>
      </c>
      <c r="L792">
        <v>50</v>
      </c>
      <c r="M792" s="2">
        <f>L792</f>
        <v>50</v>
      </c>
      <c r="N792" s="8">
        <f t="shared" si="166"/>
        <v>50</v>
      </c>
      <c r="O792">
        <v>3.1</v>
      </c>
      <c r="P792" t="b">
        <v>0</v>
      </c>
      <c r="Q792" t="s">
        <v>2072</v>
      </c>
      <c r="R792" s="1">
        <v>0.95</v>
      </c>
      <c r="S792" s="3">
        <f t="shared" si="169"/>
        <v>0.95</v>
      </c>
    </row>
    <row r="793" spans="1:19" x14ac:dyDescent="0.3">
      <c r="A793" t="s">
        <v>1653</v>
      </c>
      <c r="B793" t="s">
        <v>1654</v>
      </c>
      <c r="C793" t="str">
        <f t="shared" si="159"/>
        <v>Gina Williams</v>
      </c>
      <c r="D793" t="s">
        <v>12</v>
      </c>
      <c r="E793" t="str">
        <f t="shared" si="165"/>
        <v>Female</v>
      </c>
      <c r="F793">
        <v>35</v>
      </c>
      <c r="G793" t="s">
        <v>99</v>
      </c>
      <c r="H793" t="s">
        <v>100</v>
      </c>
      <c r="I793" t="s">
        <v>70</v>
      </c>
      <c r="J793">
        <v>7</v>
      </c>
      <c r="K793" s="4" t="str" cm="1">
        <f t="array" ref="K793">_xlfn.IFS(J793&lt;=5,"0-5",J793&lt;=10,"6-10",J793&lt;=15,"11-15",J793&lt;=20,"16-20",J793&gt;20,"21+")</f>
        <v>6-10</v>
      </c>
      <c r="N793" s="8" t="str">
        <f t="shared" si="166"/>
        <v/>
      </c>
      <c r="O793">
        <v>3.9</v>
      </c>
      <c r="P793">
        <v>0</v>
      </c>
      <c r="Q793" t="s">
        <v>2072</v>
      </c>
      <c r="R793" s="1">
        <v>0.72</v>
      </c>
      <c r="S793" s="3">
        <f t="shared" si="169"/>
        <v>0.72</v>
      </c>
    </row>
    <row r="794" spans="1:19" x14ac:dyDescent="0.3">
      <c r="A794" t="s">
        <v>1655</v>
      </c>
      <c r="B794" t="s">
        <v>1656</v>
      </c>
      <c r="C794" t="str">
        <f t="shared" si="159"/>
        <v>Kelly Lawson</v>
      </c>
      <c r="D794" t="s">
        <v>12</v>
      </c>
      <c r="E794" t="str">
        <f t="shared" si="165"/>
        <v>Female</v>
      </c>
      <c r="F794">
        <v>20</v>
      </c>
      <c r="G794" t="s">
        <v>182</v>
      </c>
      <c r="H794" t="s">
        <v>64</v>
      </c>
      <c r="I794" t="s">
        <v>36</v>
      </c>
      <c r="J794">
        <v>1</v>
      </c>
      <c r="K794" s="4" t="str" cm="1">
        <f t="array" ref="K794">_xlfn.IFS(J794&lt;=5,"0-5",J794&lt;=10,"6-10",J794&lt;=15,"11-15",J794&lt;=20,"16-20",J794&gt;20,"21+")</f>
        <v>0-5</v>
      </c>
      <c r="N794" s="8" t="str">
        <f t="shared" si="166"/>
        <v/>
      </c>
      <c r="O794">
        <v>3.5</v>
      </c>
      <c r="P794">
        <v>0</v>
      </c>
      <c r="Q794" t="s">
        <v>2072</v>
      </c>
      <c r="R794" s="1">
        <v>0.71</v>
      </c>
      <c r="S794" s="3">
        <f t="shared" si="169"/>
        <v>0.71</v>
      </c>
    </row>
    <row r="795" spans="1:19" x14ac:dyDescent="0.3">
      <c r="A795" t="s">
        <v>1657</v>
      </c>
      <c r="B795" t="s">
        <v>1658</v>
      </c>
      <c r="C795" t="str">
        <f t="shared" ref="C795:C809" si="170">B795</f>
        <v>Keith Smith</v>
      </c>
      <c r="D795" t="s">
        <v>89</v>
      </c>
      <c r="E795" t="str">
        <f t="shared" si="165"/>
        <v>Male</v>
      </c>
      <c r="F795">
        <v>26</v>
      </c>
      <c r="G795" t="s">
        <v>13</v>
      </c>
      <c r="H795" t="s">
        <v>14</v>
      </c>
      <c r="I795" t="s">
        <v>43</v>
      </c>
      <c r="J795">
        <v>5</v>
      </c>
      <c r="K795" s="4" t="str" cm="1">
        <f t="array" ref="K795">_xlfn.IFS(J795&lt;=5,"0-5",J795&lt;=10,"6-10",J795&lt;=15,"11-15",J795&lt;=20,"16-20",J795&gt;20,"21+")</f>
        <v>0-5</v>
      </c>
      <c r="L795" t="s">
        <v>221</v>
      </c>
      <c r="M795" s="2" t="str">
        <f>SUBSTITUTE(L795,"$","")</f>
        <v>100</v>
      </c>
      <c r="N795" s="8">
        <f t="shared" si="166"/>
        <v>100</v>
      </c>
      <c r="O795">
        <v>2.5</v>
      </c>
      <c r="P795" t="b">
        <v>1</v>
      </c>
      <c r="Q795" t="s">
        <v>2073</v>
      </c>
      <c r="R795" s="1">
        <v>0.93</v>
      </c>
      <c r="S795" s="3">
        <f t="shared" si="169"/>
        <v>0.93</v>
      </c>
    </row>
    <row r="796" spans="1:19" x14ac:dyDescent="0.3">
      <c r="A796" t="s">
        <v>1659</v>
      </c>
      <c r="B796" t="s">
        <v>1660</v>
      </c>
      <c r="C796" t="str">
        <f t="shared" si="170"/>
        <v>Christopher Hunter</v>
      </c>
      <c r="D796" t="s">
        <v>84</v>
      </c>
      <c r="E796" t="str">
        <f t="shared" si="165"/>
        <v>Male</v>
      </c>
      <c r="F796">
        <v>54</v>
      </c>
      <c r="G796" t="s">
        <v>59</v>
      </c>
      <c r="H796" t="s">
        <v>14</v>
      </c>
      <c r="I796" t="s">
        <v>81</v>
      </c>
      <c r="J796">
        <v>29</v>
      </c>
      <c r="K796" s="4" t="str" cm="1">
        <f t="array" ref="K796">_xlfn.IFS(J796&lt;=5,"0-5",J796&lt;=10,"6-10",J796&lt;=15,"11-15",J796&lt;=20,"16-20",J796&gt;20,"21+")</f>
        <v>21+</v>
      </c>
      <c r="L796" t="s">
        <v>47</v>
      </c>
      <c r="M796" s="2" t="str">
        <f>TRIM(MID(L796,FIND(" ",L796)+1,LEN(L796)))</f>
        <v>40</v>
      </c>
      <c r="N796" s="8">
        <f t="shared" si="166"/>
        <v>40</v>
      </c>
      <c r="O796">
        <v>3.1</v>
      </c>
      <c r="P796">
        <v>1</v>
      </c>
      <c r="Q796" t="s">
        <v>2073</v>
      </c>
    </row>
    <row r="797" spans="1:19" x14ac:dyDescent="0.3">
      <c r="A797" t="s">
        <v>1661</v>
      </c>
      <c r="B797" t="s">
        <v>1662</v>
      </c>
      <c r="C797" t="str">
        <f t="shared" si="170"/>
        <v>Dwayne Parks</v>
      </c>
      <c r="D797" t="s">
        <v>40</v>
      </c>
      <c r="E797" t="str">
        <f t="shared" si="165"/>
        <v>Male</v>
      </c>
      <c r="F797">
        <v>53</v>
      </c>
      <c r="G797" t="s">
        <v>116</v>
      </c>
      <c r="H797" t="s">
        <v>117</v>
      </c>
      <c r="I797" t="s">
        <v>70</v>
      </c>
      <c r="J797">
        <v>12</v>
      </c>
      <c r="K797" s="4" t="str" cm="1">
        <f t="array" ref="K797">_xlfn.IFS(J797&lt;=5,"0-5",J797&lt;=10,"6-10",J797&lt;=15,"11-15",J797&lt;=20,"16-20",J797&gt;20,"21+")</f>
        <v>11-15</v>
      </c>
      <c r="L797">
        <v>100</v>
      </c>
      <c r="M797" s="2">
        <f>L797</f>
        <v>100</v>
      </c>
      <c r="N797" s="8">
        <f t="shared" si="166"/>
        <v>100</v>
      </c>
      <c r="O797">
        <v>4.7</v>
      </c>
      <c r="P797">
        <v>1</v>
      </c>
      <c r="Q797" t="s">
        <v>2073</v>
      </c>
      <c r="R797" s="1">
        <v>0.87</v>
      </c>
      <c r="S797" s="3">
        <f>R797</f>
        <v>0.87</v>
      </c>
    </row>
    <row r="798" spans="1:19" x14ac:dyDescent="0.3">
      <c r="A798" t="s">
        <v>1663</v>
      </c>
      <c r="B798" t="s">
        <v>1664</v>
      </c>
      <c r="C798" t="str">
        <f t="shared" si="170"/>
        <v>Mary Hall</v>
      </c>
      <c r="D798" t="s">
        <v>69</v>
      </c>
      <c r="E798" t="str">
        <f t="shared" si="165"/>
        <v>Female</v>
      </c>
      <c r="F798">
        <v>33</v>
      </c>
      <c r="G798" t="s">
        <v>120</v>
      </c>
      <c r="H798" t="s">
        <v>14</v>
      </c>
      <c r="I798" t="s">
        <v>81</v>
      </c>
      <c r="J798">
        <v>4</v>
      </c>
      <c r="K798" s="4" t="str" cm="1">
        <f t="array" ref="K798">_xlfn.IFS(J798&lt;=5,"0-5",J798&lt;=10,"6-10",J798&lt;=15,"11-15",J798&lt;=20,"16-20",J798&gt;20,"21+")</f>
        <v>0-5</v>
      </c>
      <c r="N798" s="8" t="str">
        <f t="shared" si="166"/>
        <v/>
      </c>
      <c r="O798">
        <v>1.9</v>
      </c>
      <c r="P798" t="b">
        <v>0</v>
      </c>
      <c r="Q798" t="s">
        <v>2072</v>
      </c>
      <c r="R798">
        <v>73</v>
      </c>
      <c r="S798" s="3">
        <f>R798/100</f>
        <v>0.73</v>
      </c>
    </row>
    <row r="799" spans="1:19" x14ac:dyDescent="0.3">
      <c r="A799" t="s">
        <v>1665</v>
      </c>
      <c r="B799" t="s">
        <v>1666</v>
      </c>
      <c r="C799" t="str">
        <f t="shared" si="170"/>
        <v>Jake Gilmore</v>
      </c>
      <c r="D799" t="s">
        <v>40</v>
      </c>
      <c r="E799" t="str">
        <f t="shared" si="165"/>
        <v>Male</v>
      </c>
      <c r="F799">
        <v>43</v>
      </c>
      <c r="G799" t="s">
        <v>34</v>
      </c>
      <c r="H799" t="s">
        <v>35</v>
      </c>
      <c r="I799" t="s">
        <v>27</v>
      </c>
      <c r="J799">
        <v>12</v>
      </c>
      <c r="K799" s="4" t="str" cm="1">
        <f t="array" ref="K799">_xlfn.IFS(J799&lt;=5,"0-5",J799&lt;=10,"6-10",J799&lt;=15,"11-15",J799&lt;=20,"16-20",J799&gt;20,"21+")</f>
        <v>11-15</v>
      </c>
      <c r="N799" s="8" t="str">
        <f t="shared" si="166"/>
        <v/>
      </c>
      <c r="O799">
        <v>1.6</v>
      </c>
      <c r="P799">
        <v>1</v>
      </c>
      <c r="Q799" t="s">
        <v>2073</v>
      </c>
      <c r="R799" s="1">
        <v>0.74</v>
      </c>
      <c r="S799" s="3">
        <f t="shared" ref="S799:S802" si="171">R799</f>
        <v>0.74</v>
      </c>
    </row>
    <row r="800" spans="1:19" x14ac:dyDescent="0.3">
      <c r="A800" t="s">
        <v>1667</v>
      </c>
      <c r="B800" t="s">
        <v>1668</v>
      </c>
      <c r="C800" t="str">
        <f t="shared" si="170"/>
        <v>Mark Lopez</v>
      </c>
      <c r="D800" t="s">
        <v>84</v>
      </c>
      <c r="E800" t="str">
        <f t="shared" si="165"/>
        <v>Male</v>
      </c>
      <c r="F800">
        <v>37</v>
      </c>
      <c r="G800" t="s">
        <v>120</v>
      </c>
      <c r="H800" t="s">
        <v>14</v>
      </c>
      <c r="I800" t="s">
        <v>81</v>
      </c>
      <c r="J800">
        <v>3</v>
      </c>
      <c r="K800" s="4" t="str" cm="1">
        <f t="array" ref="K800">_xlfn.IFS(J800&lt;=5,"0-5",J800&lt;=10,"6-10",J800&lt;=15,"11-15",J800&lt;=20,"16-20",J800&gt;20,"21+")</f>
        <v>0-5</v>
      </c>
      <c r="L800">
        <v>20</v>
      </c>
      <c r="M800" s="2">
        <f>L800</f>
        <v>20</v>
      </c>
      <c r="N800" s="8">
        <f t="shared" si="166"/>
        <v>20</v>
      </c>
      <c r="O800">
        <v>2.5</v>
      </c>
      <c r="P800" t="s">
        <v>23</v>
      </c>
      <c r="Q800" t="s">
        <v>2072</v>
      </c>
      <c r="R800" s="1">
        <v>0.62</v>
      </c>
      <c r="S800" s="3">
        <f t="shared" si="171"/>
        <v>0.62</v>
      </c>
    </row>
    <row r="801" spans="1:19" x14ac:dyDescent="0.3">
      <c r="A801" t="s">
        <v>1669</v>
      </c>
      <c r="B801" t="s">
        <v>1670</v>
      </c>
      <c r="C801" t="str">
        <f t="shared" si="170"/>
        <v>Dana Rice</v>
      </c>
      <c r="D801" t="s">
        <v>31</v>
      </c>
      <c r="E801" t="str">
        <f t="shared" si="165"/>
        <v>Female</v>
      </c>
      <c r="F801">
        <v>58</v>
      </c>
      <c r="G801" t="s">
        <v>127</v>
      </c>
      <c r="H801" t="s">
        <v>128</v>
      </c>
      <c r="I801" t="s">
        <v>43</v>
      </c>
      <c r="J801">
        <v>15</v>
      </c>
      <c r="K801" s="4" t="str" cm="1">
        <f t="array" ref="K801">_xlfn.IFS(J801&lt;=5,"0-5",J801&lt;=10,"6-10",J801&lt;=15,"11-15",J801&lt;=20,"16-20",J801&gt;20,"21+")</f>
        <v>11-15</v>
      </c>
      <c r="L801">
        <v>20</v>
      </c>
      <c r="M801" s="2">
        <f>L801</f>
        <v>20</v>
      </c>
      <c r="N801" s="8">
        <f t="shared" si="166"/>
        <v>20</v>
      </c>
      <c r="O801">
        <v>3.5</v>
      </c>
      <c r="R801" s="1">
        <v>0.98</v>
      </c>
      <c r="S801" s="3">
        <f t="shared" si="171"/>
        <v>0.98</v>
      </c>
    </row>
    <row r="802" spans="1:19" x14ac:dyDescent="0.3">
      <c r="A802" t="s">
        <v>1671</v>
      </c>
      <c r="B802" t="s">
        <v>1672</v>
      </c>
      <c r="C802" t="str">
        <f t="shared" si="170"/>
        <v>Beth Young</v>
      </c>
      <c r="D802" t="s">
        <v>12</v>
      </c>
      <c r="E802" t="str">
        <f t="shared" si="165"/>
        <v>Female</v>
      </c>
      <c r="F802">
        <v>39</v>
      </c>
      <c r="G802" t="s">
        <v>182</v>
      </c>
      <c r="H802" t="s">
        <v>64</v>
      </c>
      <c r="I802" t="s">
        <v>15</v>
      </c>
      <c r="J802">
        <v>15</v>
      </c>
      <c r="K802" s="4" t="str" cm="1">
        <f t="array" ref="K802">_xlfn.IFS(J802&lt;=5,"0-5",J802&lt;=10,"6-10",J802&lt;=15,"11-15",J802&lt;=20,"16-20",J802&gt;20,"21+")</f>
        <v>11-15</v>
      </c>
      <c r="L802">
        <v>50</v>
      </c>
      <c r="M802" s="2">
        <f>L802</f>
        <v>50</v>
      </c>
      <c r="N802" s="8">
        <f t="shared" si="166"/>
        <v>50</v>
      </c>
      <c r="P802">
        <v>0</v>
      </c>
      <c r="Q802" t="s">
        <v>2072</v>
      </c>
      <c r="R802" s="1">
        <v>0.8</v>
      </c>
      <c r="S802" s="3">
        <f t="shared" si="171"/>
        <v>0.8</v>
      </c>
    </row>
    <row r="803" spans="1:19" x14ac:dyDescent="0.3">
      <c r="A803" t="s">
        <v>1673</v>
      </c>
      <c r="B803" t="s">
        <v>1674</v>
      </c>
      <c r="C803" t="str">
        <f t="shared" si="170"/>
        <v>Ryan Powell</v>
      </c>
      <c r="D803" t="s">
        <v>19</v>
      </c>
      <c r="E803" t="str">
        <f t="shared" si="165"/>
        <v>Male</v>
      </c>
      <c r="F803">
        <v>43</v>
      </c>
      <c r="G803" t="s">
        <v>54</v>
      </c>
      <c r="H803" t="s">
        <v>55</v>
      </c>
      <c r="I803" t="s">
        <v>22</v>
      </c>
      <c r="J803">
        <v>13</v>
      </c>
      <c r="K803" s="4" t="str" cm="1">
        <f t="array" ref="K803">_xlfn.IFS(J803&lt;=5,"0-5",J803&lt;=10,"6-10",J803&lt;=15,"11-15",J803&lt;=20,"16-20",J803&gt;20,"21+")</f>
        <v>11-15</v>
      </c>
      <c r="L803" t="s">
        <v>306</v>
      </c>
      <c r="M803" s="2" t="str">
        <f>TRIM(MID(L803,FIND(" ",L803)+1,LEN(L803)))</f>
        <v>20</v>
      </c>
      <c r="N803" s="8">
        <f t="shared" si="166"/>
        <v>20</v>
      </c>
      <c r="O803">
        <v>1.2</v>
      </c>
      <c r="P803" t="s">
        <v>66</v>
      </c>
      <c r="Q803" t="s">
        <v>2073</v>
      </c>
      <c r="R803">
        <v>69</v>
      </c>
      <c r="S803" s="3">
        <f t="shared" ref="S803:S804" si="172">R803/100</f>
        <v>0.69</v>
      </c>
    </row>
    <row r="804" spans="1:19" x14ac:dyDescent="0.3">
      <c r="A804" t="s">
        <v>1675</v>
      </c>
      <c r="B804" t="s">
        <v>1676</v>
      </c>
      <c r="C804" t="str">
        <f t="shared" si="170"/>
        <v>Amanda Fowler</v>
      </c>
      <c r="D804" t="s">
        <v>69</v>
      </c>
      <c r="E804" t="str">
        <f t="shared" si="165"/>
        <v>Female</v>
      </c>
      <c r="F804">
        <v>40</v>
      </c>
      <c r="G804" t="s">
        <v>182</v>
      </c>
      <c r="H804" t="s">
        <v>64</v>
      </c>
      <c r="I804" t="s">
        <v>9</v>
      </c>
      <c r="J804">
        <v>20</v>
      </c>
      <c r="K804" s="4" t="str" cm="1">
        <f t="array" ref="K804">_xlfn.IFS(J804&lt;=5,"0-5",J804&lt;=10,"6-10",J804&lt;=15,"11-15",J804&lt;=20,"16-20",J804&gt;20,"21+")</f>
        <v>16-20</v>
      </c>
      <c r="L804" t="s">
        <v>101</v>
      </c>
      <c r="M804" s="2" t="str">
        <f>TRIM(MID(L804,FIND(" ",L804)+1,LEN(L804)))</f>
        <v>30</v>
      </c>
      <c r="N804" s="8">
        <f t="shared" si="166"/>
        <v>30</v>
      </c>
      <c r="P804" t="b">
        <v>0</v>
      </c>
      <c r="Q804" t="s">
        <v>2072</v>
      </c>
      <c r="R804">
        <v>90</v>
      </c>
      <c r="S804" s="3">
        <f t="shared" si="172"/>
        <v>0.9</v>
      </c>
    </row>
    <row r="805" spans="1:19" x14ac:dyDescent="0.3">
      <c r="A805" t="s">
        <v>1677</v>
      </c>
      <c r="B805" t="s">
        <v>1678</v>
      </c>
      <c r="C805" t="str">
        <f t="shared" si="170"/>
        <v>Lindsay Rivera</v>
      </c>
      <c r="D805" t="s">
        <v>6</v>
      </c>
      <c r="E805" t="str">
        <f t="shared" si="165"/>
        <v>Female</v>
      </c>
      <c r="F805">
        <v>51</v>
      </c>
      <c r="G805" t="s">
        <v>59</v>
      </c>
      <c r="H805" t="s">
        <v>14</v>
      </c>
      <c r="I805" t="s">
        <v>106</v>
      </c>
      <c r="J805">
        <v>30</v>
      </c>
      <c r="K805" s="4" t="str" cm="1">
        <f t="array" ref="K805">_xlfn.IFS(J805&lt;=5,"0-5",J805&lt;=10,"6-10",J805&lt;=15,"11-15",J805&lt;=20,"16-20",J805&gt;20,"21+")</f>
        <v>21+</v>
      </c>
      <c r="L805">
        <v>75</v>
      </c>
      <c r="M805" s="2">
        <f>L805</f>
        <v>75</v>
      </c>
      <c r="N805" s="8">
        <f t="shared" si="166"/>
        <v>75</v>
      </c>
      <c r="P805" t="b">
        <v>1</v>
      </c>
      <c r="Q805" t="s">
        <v>2073</v>
      </c>
      <c r="R805" s="1">
        <v>0.74</v>
      </c>
      <c r="S805" s="3">
        <f t="shared" ref="S805:S808" si="173">R805</f>
        <v>0.74</v>
      </c>
    </row>
    <row r="806" spans="1:19" x14ac:dyDescent="0.3">
      <c r="A806" t="s">
        <v>1679</v>
      </c>
      <c r="B806" t="s">
        <v>1680</v>
      </c>
      <c r="C806" t="str">
        <f t="shared" si="170"/>
        <v>Mark Ward</v>
      </c>
      <c r="D806" t="s">
        <v>19</v>
      </c>
      <c r="E806" t="str">
        <f t="shared" si="165"/>
        <v>Male</v>
      </c>
      <c r="F806">
        <v>23</v>
      </c>
      <c r="G806" t="s">
        <v>20</v>
      </c>
      <c r="H806" t="s">
        <v>21</v>
      </c>
      <c r="I806" t="s">
        <v>36</v>
      </c>
      <c r="J806">
        <v>4</v>
      </c>
      <c r="K806" s="4" t="str" cm="1">
        <f t="array" ref="K806">_xlfn.IFS(J806&lt;=5,"0-5",J806&lt;=10,"6-10",J806&lt;=15,"11-15",J806&lt;=20,"16-20",J806&gt;20,"21+")</f>
        <v>0-5</v>
      </c>
      <c r="L806">
        <v>50</v>
      </c>
      <c r="M806" s="2">
        <f>L806</f>
        <v>50</v>
      </c>
      <c r="N806" s="8">
        <f t="shared" si="166"/>
        <v>50</v>
      </c>
      <c r="O806">
        <v>4.5</v>
      </c>
      <c r="P806" t="s">
        <v>23</v>
      </c>
      <c r="Q806" t="s">
        <v>2072</v>
      </c>
      <c r="R806" s="1">
        <v>0.98</v>
      </c>
      <c r="S806" s="3">
        <f t="shared" si="173"/>
        <v>0.98</v>
      </c>
    </row>
    <row r="807" spans="1:19" x14ac:dyDescent="0.3">
      <c r="A807" t="s">
        <v>1681</v>
      </c>
      <c r="B807" t="s">
        <v>1682</v>
      </c>
      <c r="C807" t="str">
        <f t="shared" si="170"/>
        <v>Amanda Smith</v>
      </c>
      <c r="D807" t="s">
        <v>6</v>
      </c>
      <c r="E807" t="str">
        <f t="shared" si="165"/>
        <v>Female</v>
      </c>
      <c r="F807">
        <v>31</v>
      </c>
      <c r="G807" t="s">
        <v>41</v>
      </c>
      <c r="H807" t="s">
        <v>42</v>
      </c>
      <c r="I807" t="s">
        <v>22</v>
      </c>
      <c r="K807" s="4" t="str" cm="1">
        <f t="array" ref="K807">_xlfn.IFS(J807&lt;=5,"0-5",J807&lt;=10,"6-10",J807&lt;=15,"11-15",J807&lt;=20,"16-20",J807&gt;20,"21+")</f>
        <v>0-5</v>
      </c>
      <c r="L807" t="s">
        <v>306</v>
      </c>
      <c r="M807" s="2" t="str">
        <f>TRIM(MID(L807,FIND(" ",L807)+1,LEN(L807)))</f>
        <v>20</v>
      </c>
      <c r="N807" s="8">
        <f t="shared" si="166"/>
        <v>20</v>
      </c>
      <c r="P807" t="s">
        <v>66</v>
      </c>
      <c r="Q807" t="s">
        <v>2073</v>
      </c>
      <c r="R807" s="1">
        <v>0.84</v>
      </c>
      <c r="S807" s="3">
        <f t="shared" si="173"/>
        <v>0.84</v>
      </c>
    </row>
    <row r="808" spans="1:19" x14ac:dyDescent="0.3">
      <c r="A808" t="s">
        <v>1683</v>
      </c>
      <c r="B808" t="s">
        <v>1684</v>
      </c>
      <c r="C808" t="str">
        <f t="shared" si="170"/>
        <v>Emily Brown</v>
      </c>
      <c r="D808" t="s">
        <v>12</v>
      </c>
      <c r="E808" t="str">
        <f t="shared" si="165"/>
        <v>Female</v>
      </c>
      <c r="F808">
        <v>44</v>
      </c>
      <c r="G808" t="s">
        <v>116</v>
      </c>
      <c r="H808" t="s">
        <v>117</v>
      </c>
      <c r="I808" t="s">
        <v>27</v>
      </c>
      <c r="J808">
        <v>3</v>
      </c>
      <c r="K808" s="4" t="str" cm="1">
        <f t="array" ref="K808">_xlfn.IFS(J808&lt;=5,"0-5",J808&lt;=10,"6-10",J808&lt;=15,"11-15",J808&lt;=20,"16-20",J808&gt;20,"21+")</f>
        <v>0-5</v>
      </c>
      <c r="L808" t="s">
        <v>113</v>
      </c>
      <c r="M808" s="2" t="str">
        <f>SUBSTITUTE(L808,"$","")</f>
        <v>20</v>
      </c>
      <c r="N808" s="8">
        <f t="shared" si="166"/>
        <v>20</v>
      </c>
      <c r="O808">
        <v>5</v>
      </c>
      <c r="P808" t="s">
        <v>60</v>
      </c>
      <c r="Q808" t="s">
        <v>2073</v>
      </c>
      <c r="R808" s="1">
        <v>0.75</v>
      </c>
      <c r="S808" s="3">
        <f t="shared" si="173"/>
        <v>0.75</v>
      </c>
    </row>
    <row r="809" spans="1:19" x14ac:dyDescent="0.3">
      <c r="A809" t="s">
        <v>1685</v>
      </c>
      <c r="B809" t="s">
        <v>1686</v>
      </c>
      <c r="C809" t="str">
        <f t="shared" si="170"/>
        <v>Dwayne Cardenas</v>
      </c>
      <c r="D809" t="s">
        <v>89</v>
      </c>
      <c r="E809" t="str">
        <f t="shared" si="165"/>
        <v>Male</v>
      </c>
      <c r="F809">
        <v>56</v>
      </c>
      <c r="G809" t="s">
        <v>20</v>
      </c>
      <c r="H809" t="s">
        <v>21</v>
      </c>
      <c r="I809" t="s">
        <v>15</v>
      </c>
      <c r="J809">
        <v>23</v>
      </c>
      <c r="K809" s="4" t="str" cm="1">
        <f t="array" ref="K809">_xlfn.IFS(J809&lt;=5,"0-5",J809&lt;=10,"6-10",J809&lt;=15,"11-15",J809&lt;=20,"16-20",J809&gt;20,"21+")</f>
        <v>21+</v>
      </c>
      <c r="L809">
        <v>75</v>
      </c>
      <c r="M809" s="2">
        <f>L809</f>
        <v>75</v>
      </c>
      <c r="N809" s="8">
        <f t="shared" si="166"/>
        <v>75</v>
      </c>
      <c r="O809">
        <v>3.9</v>
      </c>
      <c r="P809">
        <v>1</v>
      </c>
      <c r="Q809" t="s">
        <v>2073</v>
      </c>
    </row>
    <row r="810" spans="1:19" x14ac:dyDescent="0.3">
      <c r="A810" t="s">
        <v>1687</v>
      </c>
      <c r="B810" t="s">
        <v>1688</v>
      </c>
      <c r="C810" t="str">
        <f>TRIM(MID(B810,FIND(" ",B810)+1,LEN(B810)))</f>
        <v>Rhonda Hernandez</v>
      </c>
      <c r="D810" t="s">
        <v>12</v>
      </c>
      <c r="E810" t="str">
        <f t="shared" si="165"/>
        <v>Female</v>
      </c>
      <c r="F810">
        <v>48</v>
      </c>
      <c r="G810" t="s">
        <v>13</v>
      </c>
      <c r="H810" t="s">
        <v>14</v>
      </c>
      <c r="I810" t="s">
        <v>70</v>
      </c>
      <c r="J810">
        <v>5</v>
      </c>
      <c r="K810" s="4" t="str" cm="1">
        <f t="array" ref="K810">_xlfn.IFS(J810&lt;=5,"0-5",J810&lt;=10,"6-10",J810&lt;=15,"11-15",J810&lt;=20,"16-20",J810&gt;20,"21+")</f>
        <v>0-5</v>
      </c>
      <c r="L810" t="s">
        <v>221</v>
      </c>
      <c r="M810" s="2" t="str">
        <f>SUBSTITUTE(L810,"$","")</f>
        <v>100</v>
      </c>
      <c r="N810" s="8">
        <f t="shared" si="166"/>
        <v>100</v>
      </c>
      <c r="O810">
        <v>1.8</v>
      </c>
      <c r="P810" t="b">
        <v>1</v>
      </c>
      <c r="Q810" t="s">
        <v>2073</v>
      </c>
      <c r="R810" s="1">
        <v>0.97</v>
      </c>
      <c r="S810" s="3">
        <f>R810</f>
        <v>0.97</v>
      </c>
    </row>
    <row r="811" spans="1:19" x14ac:dyDescent="0.3">
      <c r="A811" t="s">
        <v>1689</v>
      </c>
      <c r="B811" t="s">
        <v>1690</v>
      </c>
      <c r="C811" t="str">
        <f t="shared" ref="C811:C874" si="174">B811</f>
        <v>Melody Barker</v>
      </c>
      <c r="D811" t="s">
        <v>6</v>
      </c>
      <c r="E811" t="str">
        <f t="shared" si="165"/>
        <v>Female</v>
      </c>
      <c r="F811">
        <v>46</v>
      </c>
      <c r="G811" t="s">
        <v>116</v>
      </c>
      <c r="H811" t="s">
        <v>117</v>
      </c>
      <c r="I811" t="s">
        <v>27</v>
      </c>
      <c r="J811">
        <v>28</v>
      </c>
      <c r="K811" s="4" t="str" cm="1">
        <f t="array" ref="K811">_xlfn.IFS(J811&lt;=5,"0-5",J811&lt;=10,"6-10",J811&lt;=15,"11-15",J811&lt;=20,"16-20",J811&gt;20,"21+")</f>
        <v>21+</v>
      </c>
      <c r="L811">
        <v>30</v>
      </c>
      <c r="M811" s="2">
        <f>L811</f>
        <v>30</v>
      </c>
      <c r="N811" s="8">
        <f t="shared" si="166"/>
        <v>30</v>
      </c>
      <c r="O811">
        <v>4.2</v>
      </c>
      <c r="P811" t="b">
        <v>1</v>
      </c>
      <c r="Q811" t="s">
        <v>2073</v>
      </c>
    </row>
    <row r="812" spans="1:19" x14ac:dyDescent="0.3">
      <c r="A812" t="s">
        <v>1691</v>
      </c>
      <c r="B812" t="s">
        <v>1692</v>
      </c>
      <c r="C812" t="str">
        <f t="shared" si="174"/>
        <v>Russell Carpenter</v>
      </c>
      <c r="D812" t="s">
        <v>84</v>
      </c>
      <c r="E812" t="str">
        <f t="shared" si="165"/>
        <v>Male</v>
      </c>
      <c r="F812">
        <v>21</v>
      </c>
      <c r="G812" t="s">
        <v>131</v>
      </c>
      <c r="H812" t="s">
        <v>132</v>
      </c>
      <c r="I812" t="s">
        <v>36</v>
      </c>
      <c r="J812">
        <v>0</v>
      </c>
      <c r="K812" s="4" t="str" cm="1">
        <f t="array" ref="K812">_xlfn.IFS(J812&lt;=5,"0-5",J812&lt;=10,"6-10",J812&lt;=15,"11-15",J812&lt;=20,"16-20",J812&gt;20,"21+")</f>
        <v>0-5</v>
      </c>
      <c r="L812">
        <v>20</v>
      </c>
      <c r="M812" s="2">
        <f>L812</f>
        <v>20</v>
      </c>
      <c r="N812" s="8">
        <f t="shared" si="166"/>
        <v>20</v>
      </c>
      <c r="O812">
        <v>2.6</v>
      </c>
      <c r="P812" t="s">
        <v>151</v>
      </c>
      <c r="Q812" t="s">
        <v>2072</v>
      </c>
      <c r="R812" s="1">
        <v>0.64</v>
      </c>
      <c r="S812" s="3">
        <f t="shared" ref="S812:S819" si="175">R812</f>
        <v>0.64</v>
      </c>
    </row>
    <row r="813" spans="1:19" x14ac:dyDescent="0.3">
      <c r="A813" t="s">
        <v>1693</v>
      </c>
      <c r="B813" t="s">
        <v>1694</v>
      </c>
      <c r="C813" t="str">
        <f t="shared" si="174"/>
        <v>Richard Hill</v>
      </c>
      <c r="D813" t="s">
        <v>40</v>
      </c>
      <c r="E813" t="str">
        <f t="shared" si="165"/>
        <v>Male</v>
      </c>
      <c r="F813">
        <v>52</v>
      </c>
      <c r="G813" t="s">
        <v>116</v>
      </c>
      <c r="H813" t="s">
        <v>117</v>
      </c>
      <c r="I813" t="s">
        <v>43</v>
      </c>
      <c r="J813">
        <v>30</v>
      </c>
      <c r="K813" s="4" t="str" cm="1">
        <f t="array" ref="K813">_xlfn.IFS(J813&lt;=5,"0-5",J813&lt;=10,"6-10",J813&lt;=15,"11-15",J813&lt;=20,"16-20",J813&gt;20,"21+")</f>
        <v>21+</v>
      </c>
      <c r="L813">
        <v>30</v>
      </c>
      <c r="M813" s="2">
        <f>L813</f>
        <v>30</v>
      </c>
      <c r="N813" s="8">
        <f t="shared" si="166"/>
        <v>30</v>
      </c>
      <c r="O813">
        <v>2</v>
      </c>
      <c r="P813">
        <v>1</v>
      </c>
      <c r="Q813" t="s">
        <v>2073</v>
      </c>
      <c r="R813" s="1">
        <v>0.68</v>
      </c>
      <c r="S813" s="3">
        <f t="shared" si="175"/>
        <v>0.68</v>
      </c>
    </row>
    <row r="814" spans="1:19" x14ac:dyDescent="0.3">
      <c r="A814" t="s">
        <v>1695</v>
      </c>
      <c r="B814" t="s">
        <v>1696</v>
      </c>
      <c r="C814" t="str">
        <f t="shared" si="174"/>
        <v>Lindsay Potts</v>
      </c>
      <c r="D814" t="s">
        <v>6</v>
      </c>
      <c r="E814" t="str">
        <f t="shared" si="165"/>
        <v>Female</v>
      </c>
      <c r="F814">
        <v>39</v>
      </c>
      <c r="G814" t="s">
        <v>116</v>
      </c>
      <c r="H814" t="s">
        <v>117</v>
      </c>
      <c r="I814" t="s">
        <v>22</v>
      </c>
      <c r="J814">
        <v>20</v>
      </c>
      <c r="K814" s="4" t="str" cm="1">
        <f t="array" ref="K814">_xlfn.IFS(J814&lt;=5,"0-5",J814&lt;=10,"6-10",J814&lt;=15,"11-15",J814&lt;=20,"16-20",J814&gt;20,"21+")</f>
        <v>16-20</v>
      </c>
      <c r="L814" t="s">
        <v>162</v>
      </c>
      <c r="M814" s="2" t="str">
        <f>SUBSTITUTE(L814,"$","")</f>
        <v>75</v>
      </c>
      <c r="N814" s="8">
        <f t="shared" si="166"/>
        <v>75</v>
      </c>
      <c r="O814">
        <v>2.7</v>
      </c>
      <c r="P814">
        <v>1</v>
      </c>
      <c r="Q814" t="s">
        <v>2073</v>
      </c>
      <c r="R814" s="1">
        <v>0.67</v>
      </c>
      <c r="S814" s="3">
        <f t="shared" si="175"/>
        <v>0.67</v>
      </c>
    </row>
    <row r="815" spans="1:19" x14ac:dyDescent="0.3">
      <c r="A815" t="s">
        <v>1697</v>
      </c>
      <c r="B815" t="s">
        <v>1698</v>
      </c>
      <c r="C815" t="str">
        <f t="shared" si="174"/>
        <v>Michelle Campbell</v>
      </c>
      <c r="D815" t="s">
        <v>6</v>
      </c>
      <c r="E815" t="str">
        <f t="shared" si="165"/>
        <v>Female</v>
      </c>
      <c r="F815">
        <v>31</v>
      </c>
      <c r="G815" t="s">
        <v>13</v>
      </c>
      <c r="H815" t="s">
        <v>14</v>
      </c>
      <c r="I815" t="s">
        <v>15</v>
      </c>
      <c r="J815">
        <v>0</v>
      </c>
      <c r="K815" s="4" t="str" cm="1">
        <f t="array" ref="K815">_xlfn.IFS(J815&lt;=5,"0-5",J815&lt;=10,"6-10",J815&lt;=15,"11-15",J815&lt;=20,"16-20",J815&gt;20,"21+")</f>
        <v>0-5</v>
      </c>
      <c r="L815">
        <v>30</v>
      </c>
      <c r="M815" s="2">
        <f>L815</f>
        <v>30</v>
      </c>
      <c r="N815" s="8">
        <f t="shared" si="166"/>
        <v>30</v>
      </c>
      <c r="O815">
        <v>2.2999999999999998</v>
      </c>
      <c r="P815" t="s">
        <v>151</v>
      </c>
      <c r="Q815" t="s">
        <v>2072</v>
      </c>
      <c r="R815" s="1">
        <v>0.79</v>
      </c>
      <c r="S815" s="3">
        <f t="shared" si="175"/>
        <v>0.79</v>
      </c>
    </row>
    <row r="816" spans="1:19" x14ac:dyDescent="0.3">
      <c r="A816" t="s">
        <v>1699</v>
      </c>
      <c r="B816" t="s">
        <v>1700</v>
      </c>
      <c r="C816" t="str">
        <f t="shared" si="174"/>
        <v>Alan Williams</v>
      </c>
      <c r="D816" t="s">
        <v>40</v>
      </c>
      <c r="E816" t="str">
        <f t="shared" si="165"/>
        <v>Male</v>
      </c>
      <c r="F816">
        <v>22</v>
      </c>
      <c r="G816" t="s">
        <v>104</v>
      </c>
      <c r="H816" t="s">
        <v>105</v>
      </c>
      <c r="I816" t="s">
        <v>65</v>
      </c>
      <c r="J816">
        <v>4</v>
      </c>
      <c r="K816" s="4" t="str" cm="1">
        <f t="array" ref="K816">_xlfn.IFS(J816&lt;=5,"0-5",J816&lt;=10,"6-10",J816&lt;=15,"11-15",J816&lt;=20,"16-20",J816&gt;20,"21+")</f>
        <v>0-5</v>
      </c>
      <c r="L816" t="s">
        <v>28</v>
      </c>
      <c r="M816" s="2" t="str">
        <f>SUBSTITUTE(L816,"$","")</f>
        <v>40</v>
      </c>
      <c r="N816" s="8">
        <f t="shared" si="166"/>
        <v>40</v>
      </c>
      <c r="O816">
        <v>3.8</v>
      </c>
      <c r="P816" t="b">
        <v>1</v>
      </c>
      <c r="Q816" t="s">
        <v>2073</v>
      </c>
      <c r="R816" s="1">
        <v>1</v>
      </c>
      <c r="S816" s="3">
        <f t="shared" si="175"/>
        <v>1</v>
      </c>
    </row>
    <row r="817" spans="1:19" x14ac:dyDescent="0.3">
      <c r="A817" t="s">
        <v>1701</v>
      </c>
      <c r="B817" t="s">
        <v>1702</v>
      </c>
      <c r="C817" t="str">
        <f t="shared" si="174"/>
        <v>Robin Hinton</v>
      </c>
      <c r="D817" t="s">
        <v>6</v>
      </c>
      <c r="E817" t="str">
        <f t="shared" si="165"/>
        <v>Female</v>
      </c>
      <c r="F817">
        <v>38</v>
      </c>
      <c r="G817" t="s">
        <v>59</v>
      </c>
      <c r="H817" t="s">
        <v>14</v>
      </c>
      <c r="I817" t="s">
        <v>65</v>
      </c>
      <c r="J817">
        <v>10</v>
      </c>
      <c r="K817" s="4" t="str" cm="1">
        <f t="array" ref="K817">_xlfn.IFS(J817&lt;=5,"0-5",J817&lt;=10,"6-10",J817&lt;=15,"11-15",J817&lt;=20,"16-20",J817&gt;20,"21+")</f>
        <v>6-10</v>
      </c>
      <c r="L817">
        <v>40</v>
      </c>
      <c r="M817" s="2">
        <f>L817</f>
        <v>40</v>
      </c>
      <c r="N817" s="8">
        <f t="shared" si="166"/>
        <v>40</v>
      </c>
      <c r="P817" t="s">
        <v>23</v>
      </c>
      <c r="Q817" t="s">
        <v>2072</v>
      </c>
      <c r="R817" s="1">
        <v>0.66</v>
      </c>
      <c r="S817" s="3">
        <f t="shared" si="175"/>
        <v>0.66</v>
      </c>
    </row>
    <row r="818" spans="1:19" x14ac:dyDescent="0.3">
      <c r="A818" t="s">
        <v>1703</v>
      </c>
      <c r="B818" t="s">
        <v>1704</v>
      </c>
      <c r="C818" t="str">
        <f t="shared" si="174"/>
        <v>Brian Holland</v>
      </c>
      <c r="D818" t="s">
        <v>89</v>
      </c>
      <c r="E818" t="str">
        <f t="shared" si="165"/>
        <v>Male</v>
      </c>
      <c r="F818">
        <v>44</v>
      </c>
      <c r="G818" t="s">
        <v>63</v>
      </c>
      <c r="H818" t="s">
        <v>64</v>
      </c>
      <c r="I818" t="s">
        <v>22</v>
      </c>
      <c r="J818">
        <v>24</v>
      </c>
      <c r="K818" s="4" t="str" cm="1">
        <f t="array" ref="K818">_xlfn.IFS(J818&lt;=5,"0-5",J818&lt;=10,"6-10",J818&lt;=15,"11-15",J818&lt;=20,"16-20",J818&gt;20,"21+")</f>
        <v>21+</v>
      </c>
      <c r="L818" t="s">
        <v>44</v>
      </c>
      <c r="M818" s="2" t="str">
        <f>TRIM(MID(L818,FIND(" ",L818)+1,LEN(L818)))</f>
        <v>75</v>
      </c>
      <c r="N818" s="8">
        <f t="shared" si="166"/>
        <v>75</v>
      </c>
      <c r="O818">
        <v>4.5999999999999996</v>
      </c>
      <c r="P818" t="s">
        <v>151</v>
      </c>
      <c r="Q818" t="s">
        <v>2072</v>
      </c>
      <c r="R818" s="1">
        <v>0.97</v>
      </c>
      <c r="S818" s="3">
        <f t="shared" si="175"/>
        <v>0.97</v>
      </c>
    </row>
    <row r="819" spans="1:19" x14ac:dyDescent="0.3">
      <c r="A819" t="s">
        <v>1705</v>
      </c>
      <c r="B819" t="s">
        <v>1706</v>
      </c>
      <c r="C819" t="str">
        <f t="shared" si="174"/>
        <v>Adam Stone</v>
      </c>
      <c r="D819" t="s">
        <v>84</v>
      </c>
      <c r="E819" t="str">
        <f t="shared" si="165"/>
        <v>Male</v>
      </c>
      <c r="F819">
        <v>53</v>
      </c>
      <c r="G819" t="s">
        <v>41</v>
      </c>
      <c r="H819" t="s">
        <v>42</v>
      </c>
      <c r="I819" t="s">
        <v>106</v>
      </c>
      <c r="J819">
        <v>21</v>
      </c>
      <c r="K819" s="4" t="str" cm="1">
        <f t="array" ref="K819">_xlfn.IFS(J819&lt;=5,"0-5",J819&lt;=10,"6-10",J819&lt;=15,"11-15",J819&lt;=20,"16-20",J819&gt;20,"21+")</f>
        <v>21+</v>
      </c>
      <c r="L819">
        <v>100</v>
      </c>
      <c r="M819" s="2">
        <f>L819</f>
        <v>100</v>
      </c>
      <c r="N819" s="8">
        <f t="shared" si="166"/>
        <v>100</v>
      </c>
      <c r="O819">
        <v>3.4</v>
      </c>
      <c r="P819">
        <v>0</v>
      </c>
      <c r="Q819" t="s">
        <v>2072</v>
      </c>
      <c r="R819" s="1">
        <v>0.62</v>
      </c>
      <c r="S819" s="3">
        <f t="shared" si="175"/>
        <v>0.62</v>
      </c>
    </row>
    <row r="820" spans="1:19" x14ac:dyDescent="0.3">
      <c r="A820" t="s">
        <v>1707</v>
      </c>
      <c r="B820" t="s">
        <v>1708</v>
      </c>
      <c r="C820" t="str">
        <f t="shared" si="174"/>
        <v>Curtis Lambert</v>
      </c>
      <c r="D820" t="s">
        <v>89</v>
      </c>
      <c r="E820" t="str">
        <f t="shared" si="165"/>
        <v>Male</v>
      </c>
      <c r="F820">
        <v>22</v>
      </c>
      <c r="G820" t="s">
        <v>167</v>
      </c>
      <c r="H820" t="s">
        <v>168</v>
      </c>
      <c r="I820" t="s">
        <v>43</v>
      </c>
      <c r="J820">
        <v>2</v>
      </c>
      <c r="K820" s="4" t="str" cm="1">
        <f t="array" ref="K820">_xlfn.IFS(J820&lt;=5,"0-5",J820&lt;=10,"6-10",J820&lt;=15,"11-15",J820&lt;=20,"16-20",J820&gt;20,"21+")</f>
        <v>0-5</v>
      </c>
      <c r="L820" t="s">
        <v>306</v>
      </c>
      <c r="M820" s="2" t="str">
        <f>TRIM(MID(L820,FIND(" ",L820)+1,LEN(L820)))</f>
        <v>20</v>
      </c>
      <c r="N820" s="8">
        <f t="shared" si="166"/>
        <v>20</v>
      </c>
      <c r="P820" t="s">
        <v>151</v>
      </c>
      <c r="Q820" t="s">
        <v>2072</v>
      </c>
    </row>
    <row r="821" spans="1:19" x14ac:dyDescent="0.3">
      <c r="A821" t="s">
        <v>1709</v>
      </c>
      <c r="B821" t="s">
        <v>1710</v>
      </c>
      <c r="C821" t="str">
        <f t="shared" si="174"/>
        <v>Alexandra Sims</v>
      </c>
      <c r="D821" t="s">
        <v>69</v>
      </c>
      <c r="E821" t="str">
        <f t="shared" si="165"/>
        <v>Female</v>
      </c>
      <c r="F821">
        <v>40</v>
      </c>
      <c r="G821" t="s">
        <v>85</v>
      </c>
      <c r="H821" t="s">
        <v>86</v>
      </c>
      <c r="I821" t="s">
        <v>9</v>
      </c>
      <c r="J821">
        <v>14</v>
      </c>
      <c r="K821" s="4" t="str" cm="1">
        <f t="array" ref="K821">_xlfn.IFS(J821&lt;=5,"0-5",J821&lt;=10,"6-10",J821&lt;=15,"11-15",J821&lt;=20,"16-20",J821&gt;20,"21+")</f>
        <v>11-15</v>
      </c>
      <c r="L821">
        <v>75</v>
      </c>
      <c r="M821" s="2">
        <f>L821</f>
        <v>75</v>
      </c>
      <c r="N821" s="8">
        <f t="shared" si="166"/>
        <v>75</v>
      </c>
      <c r="O821">
        <v>0</v>
      </c>
      <c r="P821">
        <v>1</v>
      </c>
      <c r="Q821" t="s">
        <v>2073</v>
      </c>
      <c r="R821" s="1">
        <v>0.79</v>
      </c>
      <c r="S821" s="3">
        <f t="shared" ref="S821:S824" si="176">R821</f>
        <v>0.79</v>
      </c>
    </row>
    <row r="822" spans="1:19" x14ac:dyDescent="0.3">
      <c r="A822" t="s">
        <v>1711</v>
      </c>
      <c r="B822" t="s">
        <v>1712</v>
      </c>
      <c r="C822" t="str">
        <f t="shared" si="174"/>
        <v>Brenda Spencer</v>
      </c>
      <c r="D822" t="s">
        <v>31</v>
      </c>
      <c r="E822" t="str">
        <f t="shared" si="165"/>
        <v>Female</v>
      </c>
      <c r="F822">
        <v>49</v>
      </c>
      <c r="G822" t="s">
        <v>167</v>
      </c>
      <c r="H822" t="s">
        <v>168</v>
      </c>
      <c r="I822" t="s">
        <v>15</v>
      </c>
      <c r="J822">
        <v>15</v>
      </c>
      <c r="K822" s="4" t="str" cm="1">
        <f t="array" ref="K822">_xlfn.IFS(J822&lt;=5,"0-5",J822&lt;=10,"6-10",J822&lt;=15,"11-15",J822&lt;=20,"16-20",J822&gt;20,"21+")</f>
        <v>11-15</v>
      </c>
      <c r="L822">
        <v>40</v>
      </c>
      <c r="M822" s="2">
        <f>L822</f>
        <v>40</v>
      </c>
      <c r="N822" s="8">
        <f t="shared" si="166"/>
        <v>40</v>
      </c>
      <c r="O822">
        <v>3.9</v>
      </c>
      <c r="P822" t="b">
        <v>0</v>
      </c>
      <c r="Q822" t="s">
        <v>2072</v>
      </c>
      <c r="R822" s="1">
        <v>0.86</v>
      </c>
      <c r="S822" s="3">
        <f t="shared" si="176"/>
        <v>0.86</v>
      </c>
    </row>
    <row r="823" spans="1:19" x14ac:dyDescent="0.3">
      <c r="A823" t="s">
        <v>1713</v>
      </c>
      <c r="B823" t="s">
        <v>1714</v>
      </c>
      <c r="C823" t="str">
        <f t="shared" si="174"/>
        <v>Joshua Bush</v>
      </c>
      <c r="D823" t="s">
        <v>53</v>
      </c>
      <c r="E823" t="str">
        <f t="shared" si="165"/>
        <v>Male</v>
      </c>
      <c r="F823">
        <v>30</v>
      </c>
      <c r="G823" t="s">
        <v>13</v>
      </c>
      <c r="H823" t="s">
        <v>14</v>
      </c>
      <c r="I823" t="s">
        <v>65</v>
      </c>
      <c r="J823">
        <v>11</v>
      </c>
      <c r="K823" s="4" t="str" cm="1">
        <f t="array" ref="K823">_xlfn.IFS(J823&lt;=5,"0-5",J823&lt;=10,"6-10",J823&lt;=15,"11-15",J823&lt;=20,"16-20",J823&gt;20,"21+")</f>
        <v>11-15</v>
      </c>
      <c r="L823" t="s">
        <v>37</v>
      </c>
      <c r="M823" s="2" t="str">
        <f>SUBSTITUTE(L823,"$","")</f>
        <v>30</v>
      </c>
      <c r="N823" s="8">
        <f t="shared" si="166"/>
        <v>30</v>
      </c>
      <c r="O823">
        <v>4.2</v>
      </c>
      <c r="P823">
        <v>0</v>
      </c>
      <c r="Q823" t="s">
        <v>2072</v>
      </c>
      <c r="R823" s="1">
        <v>0.65</v>
      </c>
      <c r="S823" s="3">
        <f t="shared" si="176"/>
        <v>0.65</v>
      </c>
    </row>
    <row r="824" spans="1:19" x14ac:dyDescent="0.3">
      <c r="A824" t="s">
        <v>1715</v>
      </c>
      <c r="B824" t="s">
        <v>1716</v>
      </c>
      <c r="C824" t="str">
        <f t="shared" si="174"/>
        <v>Erin Martin</v>
      </c>
      <c r="D824" t="s">
        <v>31</v>
      </c>
      <c r="E824" t="str">
        <f t="shared" si="165"/>
        <v>Female</v>
      </c>
      <c r="F824">
        <v>37</v>
      </c>
      <c r="G824" t="s">
        <v>77</v>
      </c>
      <c r="H824" t="s">
        <v>78</v>
      </c>
      <c r="I824" t="s">
        <v>36</v>
      </c>
      <c r="J824">
        <v>6</v>
      </c>
      <c r="K824" s="4" t="str" cm="1">
        <f t="array" ref="K824">_xlfn.IFS(J824&lt;=5,"0-5",J824&lt;=10,"6-10",J824&lt;=15,"11-15",J824&lt;=20,"16-20",J824&gt;20,"21+")</f>
        <v>6-10</v>
      </c>
      <c r="L824">
        <v>20</v>
      </c>
      <c r="M824" s="2">
        <f>L824</f>
        <v>20</v>
      </c>
      <c r="N824" s="8">
        <f t="shared" si="166"/>
        <v>20</v>
      </c>
      <c r="R824" s="1">
        <v>0.99</v>
      </c>
      <c r="S824" s="3">
        <f t="shared" si="176"/>
        <v>0.99</v>
      </c>
    </row>
    <row r="825" spans="1:19" x14ac:dyDescent="0.3">
      <c r="A825" t="s">
        <v>1717</v>
      </c>
      <c r="B825" t="s">
        <v>1718</v>
      </c>
      <c r="C825" t="str">
        <f t="shared" si="174"/>
        <v>Alexander Hogan</v>
      </c>
      <c r="D825" t="s">
        <v>19</v>
      </c>
      <c r="E825" t="str">
        <f t="shared" si="165"/>
        <v>Male</v>
      </c>
      <c r="F825">
        <v>21</v>
      </c>
      <c r="G825" t="s">
        <v>131</v>
      </c>
      <c r="H825" t="s">
        <v>132</v>
      </c>
      <c r="I825" t="s">
        <v>22</v>
      </c>
      <c r="J825">
        <v>2</v>
      </c>
      <c r="K825" s="4" t="str" cm="1">
        <f t="array" ref="K825">_xlfn.IFS(J825&lt;=5,"0-5",J825&lt;=10,"6-10",J825&lt;=15,"11-15",J825&lt;=20,"16-20",J825&gt;20,"21+")</f>
        <v>0-5</v>
      </c>
      <c r="L825">
        <v>100</v>
      </c>
      <c r="M825" s="2">
        <f>L825</f>
        <v>100</v>
      </c>
      <c r="N825" s="8">
        <f t="shared" si="166"/>
        <v>100</v>
      </c>
      <c r="O825">
        <v>3.6</v>
      </c>
      <c r="P825" t="b">
        <v>0</v>
      </c>
      <c r="Q825" t="s">
        <v>2072</v>
      </c>
      <c r="R825">
        <v>85</v>
      </c>
      <c r="S825" s="3">
        <f>R825/100</f>
        <v>0.85</v>
      </c>
    </row>
    <row r="826" spans="1:19" x14ac:dyDescent="0.3">
      <c r="A826" t="s">
        <v>1719</v>
      </c>
      <c r="B826" t="s">
        <v>1720</v>
      </c>
      <c r="C826" t="str">
        <f t="shared" si="174"/>
        <v>William Harris</v>
      </c>
      <c r="D826" t="s">
        <v>89</v>
      </c>
      <c r="E826" t="str">
        <f t="shared" si="165"/>
        <v>Male</v>
      </c>
      <c r="F826">
        <v>20</v>
      </c>
      <c r="G826" t="s">
        <v>104</v>
      </c>
      <c r="H826" t="s">
        <v>105</v>
      </c>
      <c r="I826" t="s">
        <v>36</v>
      </c>
      <c r="J826">
        <v>1</v>
      </c>
      <c r="K826" s="4" t="str" cm="1">
        <f t="array" ref="K826">_xlfn.IFS(J826&lt;=5,"0-5",J826&lt;=10,"6-10",J826&lt;=15,"11-15",J826&lt;=20,"16-20",J826&gt;20,"21+")</f>
        <v>0-5</v>
      </c>
      <c r="L826" t="s">
        <v>90</v>
      </c>
      <c r="M826" s="2" t="str">
        <f>TRIM(MID(L826,FIND(" ",L826)+1,LEN(L826)))</f>
        <v>50</v>
      </c>
      <c r="N826" s="8">
        <f t="shared" si="166"/>
        <v>50</v>
      </c>
      <c r="P826" t="s">
        <v>60</v>
      </c>
      <c r="Q826" t="s">
        <v>2073</v>
      </c>
      <c r="R826" s="1">
        <v>0.81</v>
      </c>
      <c r="S826" s="3">
        <f t="shared" ref="S826:S829" si="177">R826</f>
        <v>0.81</v>
      </c>
    </row>
    <row r="827" spans="1:19" x14ac:dyDescent="0.3">
      <c r="A827" t="s">
        <v>1721</v>
      </c>
      <c r="B827" t="s">
        <v>1722</v>
      </c>
      <c r="C827" t="str">
        <f t="shared" si="174"/>
        <v>Michael Mcmahon</v>
      </c>
      <c r="D827" t="s">
        <v>19</v>
      </c>
      <c r="E827" t="str">
        <f t="shared" si="165"/>
        <v>Male</v>
      </c>
      <c r="F827">
        <v>20</v>
      </c>
      <c r="G827" t="s">
        <v>167</v>
      </c>
      <c r="H827" t="s">
        <v>168</v>
      </c>
      <c r="I827" t="s">
        <v>43</v>
      </c>
      <c r="J827">
        <v>2</v>
      </c>
      <c r="K827" s="4" t="str" cm="1">
        <f t="array" ref="K827">_xlfn.IFS(J827&lt;=5,"0-5",J827&lt;=10,"6-10",J827&lt;=15,"11-15",J827&lt;=20,"16-20",J827&gt;20,"21+")</f>
        <v>0-5</v>
      </c>
      <c r="L827" t="s">
        <v>28</v>
      </c>
      <c r="M827" s="2" t="str">
        <f>SUBSTITUTE(L827,"$","")</f>
        <v>40</v>
      </c>
      <c r="N827" s="8">
        <f t="shared" si="166"/>
        <v>40</v>
      </c>
      <c r="O827">
        <v>2.1</v>
      </c>
      <c r="P827" t="s">
        <v>23</v>
      </c>
      <c r="Q827" t="s">
        <v>2072</v>
      </c>
      <c r="R827" s="1">
        <v>0.64</v>
      </c>
      <c r="S827" s="3">
        <f t="shared" si="177"/>
        <v>0.64</v>
      </c>
    </row>
    <row r="828" spans="1:19" x14ac:dyDescent="0.3">
      <c r="A828" t="s">
        <v>1723</v>
      </c>
      <c r="B828" t="s">
        <v>1724</v>
      </c>
      <c r="C828" t="str">
        <f t="shared" si="174"/>
        <v>Michael Watson</v>
      </c>
      <c r="D828" t="s">
        <v>53</v>
      </c>
      <c r="E828" t="str">
        <f t="shared" si="165"/>
        <v>Male</v>
      </c>
      <c r="F828">
        <v>20</v>
      </c>
      <c r="G828" t="s">
        <v>63</v>
      </c>
      <c r="H828" t="s">
        <v>64</v>
      </c>
      <c r="I828" t="s">
        <v>106</v>
      </c>
      <c r="J828">
        <v>2</v>
      </c>
      <c r="K828" s="4" t="str" cm="1">
        <f t="array" ref="K828">_xlfn.IFS(J828&lt;=5,"0-5",J828&lt;=10,"6-10",J828&lt;=15,"11-15",J828&lt;=20,"16-20",J828&gt;20,"21+")</f>
        <v>0-5</v>
      </c>
      <c r="L828">
        <v>20</v>
      </c>
      <c r="M828" s="2">
        <f>L828</f>
        <v>20</v>
      </c>
      <c r="N828" s="8">
        <f t="shared" si="166"/>
        <v>20</v>
      </c>
      <c r="O828">
        <v>3.9</v>
      </c>
      <c r="P828" t="b">
        <v>0</v>
      </c>
      <c r="Q828" t="s">
        <v>2072</v>
      </c>
      <c r="R828" s="1">
        <v>0.84</v>
      </c>
      <c r="S828" s="3">
        <f t="shared" si="177"/>
        <v>0.84</v>
      </c>
    </row>
    <row r="829" spans="1:19" x14ac:dyDescent="0.3">
      <c r="A829" t="s">
        <v>1725</v>
      </c>
      <c r="B829" t="s">
        <v>1726</v>
      </c>
      <c r="C829" t="str">
        <f t="shared" si="174"/>
        <v>Lori Perez</v>
      </c>
      <c r="D829" t="s">
        <v>6</v>
      </c>
      <c r="E829" t="str">
        <f t="shared" si="165"/>
        <v>Female</v>
      </c>
      <c r="F829">
        <v>26</v>
      </c>
      <c r="G829" t="s">
        <v>116</v>
      </c>
      <c r="H829" t="s">
        <v>117</v>
      </c>
      <c r="I829" t="s">
        <v>106</v>
      </c>
      <c r="J829">
        <v>2</v>
      </c>
      <c r="K829" s="4" t="str" cm="1">
        <f t="array" ref="K829">_xlfn.IFS(J829&lt;=5,"0-5",J829&lt;=10,"6-10",J829&lt;=15,"11-15",J829&lt;=20,"16-20",J829&gt;20,"21+")</f>
        <v>0-5</v>
      </c>
      <c r="L829">
        <v>40</v>
      </c>
      <c r="M829" s="2">
        <f>L829</f>
        <v>40</v>
      </c>
      <c r="N829" s="8">
        <f t="shared" si="166"/>
        <v>40</v>
      </c>
      <c r="O829">
        <v>0</v>
      </c>
      <c r="R829" s="1">
        <v>0.66</v>
      </c>
      <c r="S829" s="3">
        <f t="shared" si="177"/>
        <v>0.66</v>
      </c>
    </row>
    <row r="830" spans="1:19" x14ac:dyDescent="0.3">
      <c r="A830" t="s">
        <v>1727</v>
      </c>
      <c r="B830" t="s">
        <v>1728</v>
      </c>
      <c r="C830" t="str">
        <f t="shared" si="174"/>
        <v>Lindsay Le</v>
      </c>
      <c r="D830" t="s">
        <v>31</v>
      </c>
      <c r="E830" t="str">
        <f t="shared" si="165"/>
        <v>Female</v>
      </c>
      <c r="F830">
        <v>50</v>
      </c>
      <c r="G830" t="s">
        <v>104</v>
      </c>
      <c r="H830" t="s">
        <v>105</v>
      </c>
      <c r="I830" t="s">
        <v>27</v>
      </c>
      <c r="J830">
        <v>12</v>
      </c>
      <c r="K830" s="4" t="str" cm="1">
        <f t="array" ref="K830">_xlfn.IFS(J830&lt;=5,"0-5",J830&lt;=10,"6-10",J830&lt;=15,"11-15",J830&lt;=20,"16-20",J830&gt;20,"21+")</f>
        <v>11-15</v>
      </c>
      <c r="L830" t="s">
        <v>162</v>
      </c>
      <c r="M830" s="2" t="str">
        <f>SUBSTITUTE(L830,"$","")</f>
        <v>75</v>
      </c>
      <c r="N830" s="8">
        <f t="shared" si="166"/>
        <v>75</v>
      </c>
      <c r="O830">
        <v>0</v>
      </c>
      <c r="P830" t="b">
        <v>0</v>
      </c>
      <c r="Q830" t="s">
        <v>2072</v>
      </c>
      <c r="R830">
        <v>75</v>
      </c>
      <c r="S830" s="3">
        <f>R830/100</f>
        <v>0.75</v>
      </c>
    </row>
    <row r="831" spans="1:19" x14ac:dyDescent="0.3">
      <c r="A831" t="s">
        <v>1729</v>
      </c>
      <c r="B831" t="s">
        <v>1730</v>
      </c>
      <c r="C831" t="str">
        <f t="shared" si="174"/>
        <v>Scott Long</v>
      </c>
      <c r="D831" t="s">
        <v>89</v>
      </c>
      <c r="E831" t="str">
        <f t="shared" si="165"/>
        <v>Male</v>
      </c>
      <c r="F831">
        <v>50</v>
      </c>
      <c r="G831" t="s">
        <v>182</v>
      </c>
      <c r="H831" t="s">
        <v>64</v>
      </c>
      <c r="I831" t="s">
        <v>36</v>
      </c>
      <c r="J831">
        <v>28</v>
      </c>
      <c r="K831" s="4" t="str" cm="1">
        <f t="array" ref="K831">_xlfn.IFS(J831&lt;=5,"0-5",J831&lt;=10,"6-10",J831&lt;=15,"11-15",J831&lt;=20,"16-20",J831&gt;20,"21+")</f>
        <v>21+</v>
      </c>
      <c r="L831">
        <v>30</v>
      </c>
      <c r="M831" s="2">
        <f>L831</f>
        <v>30</v>
      </c>
      <c r="N831" s="8">
        <f t="shared" si="166"/>
        <v>30</v>
      </c>
      <c r="O831">
        <v>1.8</v>
      </c>
    </row>
    <row r="832" spans="1:19" x14ac:dyDescent="0.3">
      <c r="A832" t="s">
        <v>1731</v>
      </c>
      <c r="B832" t="s">
        <v>1732</v>
      </c>
      <c r="C832" t="str">
        <f t="shared" si="174"/>
        <v>Diana Ferguson</v>
      </c>
      <c r="D832" t="s">
        <v>69</v>
      </c>
      <c r="E832" t="str">
        <f t="shared" si="165"/>
        <v>Female</v>
      </c>
      <c r="F832">
        <v>54</v>
      </c>
      <c r="G832" t="s">
        <v>41</v>
      </c>
      <c r="H832" t="s">
        <v>42</v>
      </c>
      <c r="I832" t="s">
        <v>36</v>
      </c>
      <c r="J832">
        <v>4</v>
      </c>
      <c r="K832" s="4" t="str" cm="1">
        <f t="array" ref="K832">_xlfn.IFS(J832&lt;=5,"0-5",J832&lt;=10,"6-10",J832&lt;=15,"11-15",J832&lt;=20,"16-20",J832&gt;20,"21+")</f>
        <v>0-5</v>
      </c>
      <c r="L832">
        <v>20</v>
      </c>
      <c r="M832" s="2">
        <f>L832</f>
        <v>20</v>
      </c>
      <c r="N832" s="8">
        <f t="shared" si="166"/>
        <v>20</v>
      </c>
      <c r="O832">
        <v>1.1000000000000001</v>
      </c>
      <c r="P832">
        <v>1</v>
      </c>
      <c r="Q832" t="s">
        <v>2073</v>
      </c>
      <c r="R832" s="1">
        <v>0.63</v>
      </c>
      <c r="S832" s="3">
        <f t="shared" ref="S832:S834" si="178">R832</f>
        <v>0.63</v>
      </c>
    </row>
    <row r="833" spans="1:19" x14ac:dyDescent="0.3">
      <c r="A833" t="s">
        <v>1733</v>
      </c>
      <c r="B833" t="s">
        <v>1734</v>
      </c>
      <c r="C833" t="str">
        <f t="shared" si="174"/>
        <v>Joseph Miller</v>
      </c>
      <c r="D833" t="s">
        <v>19</v>
      </c>
      <c r="E833" t="str">
        <f t="shared" si="165"/>
        <v>Male</v>
      </c>
      <c r="F833">
        <v>54</v>
      </c>
      <c r="G833" t="s">
        <v>182</v>
      </c>
      <c r="H833" t="s">
        <v>64</v>
      </c>
      <c r="I833" t="s">
        <v>9</v>
      </c>
      <c r="J833">
        <v>3</v>
      </c>
      <c r="K833" s="4" t="str" cm="1">
        <f t="array" ref="K833">_xlfn.IFS(J833&lt;=5,"0-5",J833&lt;=10,"6-10",J833&lt;=15,"11-15",J833&lt;=20,"16-20",J833&gt;20,"21+")</f>
        <v>0-5</v>
      </c>
      <c r="L833">
        <v>20</v>
      </c>
      <c r="M833" s="2">
        <f>L833</f>
        <v>20</v>
      </c>
      <c r="N833" s="8">
        <f t="shared" si="166"/>
        <v>20</v>
      </c>
      <c r="O833">
        <v>1.6</v>
      </c>
      <c r="P833" t="s">
        <v>66</v>
      </c>
      <c r="Q833" t="s">
        <v>2073</v>
      </c>
      <c r="R833" s="1">
        <v>0.7</v>
      </c>
      <c r="S833" s="3">
        <f t="shared" si="178"/>
        <v>0.7</v>
      </c>
    </row>
    <row r="834" spans="1:19" x14ac:dyDescent="0.3">
      <c r="A834" t="s">
        <v>1735</v>
      </c>
      <c r="B834" t="s">
        <v>1736</v>
      </c>
      <c r="C834" t="str">
        <f t="shared" si="174"/>
        <v>Julia Reid</v>
      </c>
      <c r="D834" t="s">
        <v>69</v>
      </c>
      <c r="E834" t="str">
        <f t="shared" ref="E834:E897" si="179">IF(LOWER(LEFT(D834,1))="f","Female","Male")</f>
        <v>Female</v>
      </c>
      <c r="F834">
        <v>34</v>
      </c>
      <c r="G834" t="s">
        <v>131</v>
      </c>
      <c r="H834" t="s">
        <v>132</v>
      </c>
      <c r="I834" t="s">
        <v>106</v>
      </c>
      <c r="J834">
        <v>4</v>
      </c>
      <c r="K834" s="4" t="str" cm="1">
        <f t="array" ref="K834">_xlfn.IFS(J834&lt;=5,"0-5",J834&lt;=10,"6-10",J834&lt;=15,"11-15",J834&lt;=20,"16-20",J834&gt;20,"21+")</f>
        <v>0-5</v>
      </c>
      <c r="L834" t="s">
        <v>37</v>
      </c>
      <c r="M834" s="2" t="str">
        <f>SUBSTITUTE(L834,"$","")</f>
        <v>30</v>
      </c>
      <c r="N834" s="8">
        <f t="shared" si="166"/>
        <v>30</v>
      </c>
      <c r="O834">
        <v>3.1</v>
      </c>
      <c r="R834" s="1">
        <v>0.9</v>
      </c>
      <c r="S834" s="3">
        <f t="shared" si="178"/>
        <v>0.9</v>
      </c>
    </row>
    <row r="835" spans="1:19" x14ac:dyDescent="0.3">
      <c r="A835" t="s">
        <v>1737</v>
      </c>
      <c r="B835" t="s">
        <v>1738</v>
      </c>
      <c r="C835" t="str">
        <f t="shared" si="174"/>
        <v>Samantha Matthews</v>
      </c>
      <c r="D835" t="s">
        <v>69</v>
      </c>
      <c r="E835" t="str">
        <f t="shared" si="179"/>
        <v>Female</v>
      </c>
      <c r="F835">
        <v>20</v>
      </c>
      <c r="G835" t="s">
        <v>7</v>
      </c>
      <c r="H835" t="s">
        <v>8</v>
      </c>
      <c r="I835" t="s">
        <v>81</v>
      </c>
      <c r="J835">
        <v>1</v>
      </c>
      <c r="K835" s="4" t="str" cm="1">
        <f t="array" ref="K835">_xlfn.IFS(J835&lt;=5,"0-5",J835&lt;=10,"6-10",J835&lt;=15,"11-15",J835&lt;=20,"16-20",J835&gt;20,"21+")</f>
        <v>0-5</v>
      </c>
      <c r="L835">
        <v>50</v>
      </c>
      <c r="M835" s="2">
        <f>L835</f>
        <v>50</v>
      </c>
      <c r="N835" s="8">
        <f t="shared" ref="N835:N898" si="180">IF(M835="", "", VALUE(M835))</f>
        <v>50</v>
      </c>
      <c r="O835">
        <v>3.4</v>
      </c>
      <c r="P835">
        <v>1</v>
      </c>
      <c r="Q835" t="s">
        <v>2073</v>
      </c>
      <c r="R835">
        <v>79</v>
      </c>
      <c r="S835" s="3">
        <f>R835/100</f>
        <v>0.79</v>
      </c>
    </row>
    <row r="836" spans="1:19" x14ac:dyDescent="0.3">
      <c r="A836" t="s">
        <v>1739</v>
      </c>
      <c r="B836" t="s">
        <v>1740</v>
      </c>
      <c r="C836" t="str">
        <f t="shared" si="174"/>
        <v>Brian Bailey</v>
      </c>
      <c r="D836" t="s">
        <v>19</v>
      </c>
      <c r="E836" t="str">
        <f t="shared" si="179"/>
        <v>Male</v>
      </c>
      <c r="F836">
        <v>29</v>
      </c>
      <c r="G836" t="s">
        <v>20</v>
      </c>
      <c r="H836" t="s">
        <v>21</v>
      </c>
      <c r="I836" t="s">
        <v>36</v>
      </c>
      <c r="J836">
        <v>8</v>
      </c>
      <c r="K836" s="4" t="str" cm="1">
        <f t="array" ref="K836">_xlfn.IFS(J836&lt;=5,"0-5",J836&lt;=10,"6-10",J836&lt;=15,"11-15",J836&lt;=20,"16-20",J836&gt;20,"21+")</f>
        <v>6-10</v>
      </c>
      <c r="L836">
        <v>40</v>
      </c>
      <c r="M836" s="2">
        <f>L836</f>
        <v>40</v>
      </c>
      <c r="N836" s="8">
        <f t="shared" si="180"/>
        <v>40</v>
      </c>
      <c r="O836">
        <v>3.1</v>
      </c>
      <c r="P836" t="s">
        <v>23</v>
      </c>
      <c r="Q836" t="s">
        <v>2072</v>
      </c>
      <c r="R836" s="1">
        <v>0.6</v>
      </c>
      <c r="S836" s="3">
        <f>R836</f>
        <v>0.6</v>
      </c>
    </row>
    <row r="837" spans="1:19" x14ac:dyDescent="0.3">
      <c r="A837" t="s">
        <v>1741</v>
      </c>
      <c r="B837" t="s">
        <v>1742</v>
      </c>
      <c r="C837" t="str">
        <f t="shared" si="174"/>
        <v>Toni Hinton</v>
      </c>
      <c r="D837" t="s">
        <v>31</v>
      </c>
      <c r="E837" t="str">
        <f t="shared" si="179"/>
        <v>Female</v>
      </c>
      <c r="F837">
        <v>57</v>
      </c>
      <c r="G837" t="s">
        <v>59</v>
      </c>
      <c r="H837" t="s">
        <v>14</v>
      </c>
      <c r="I837" t="s">
        <v>81</v>
      </c>
      <c r="J837">
        <v>11</v>
      </c>
      <c r="K837" s="4" t="str" cm="1">
        <f t="array" ref="K837">_xlfn.IFS(J837&lt;=5,"0-5",J837&lt;=10,"6-10",J837&lt;=15,"11-15",J837&lt;=20,"16-20",J837&gt;20,"21+")</f>
        <v>11-15</v>
      </c>
      <c r="L837" t="s">
        <v>44</v>
      </c>
      <c r="M837" s="2" t="str">
        <f>TRIM(MID(L837,FIND(" ",L837)+1,LEN(L837)))</f>
        <v>75</v>
      </c>
      <c r="N837" s="8">
        <f t="shared" si="180"/>
        <v>75</v>
      </c>
      <c r="O837">
        <v>2.2999999999999998</v>
      </c>
      <c r="P837">
        <v>0</v>
      </c>
      <c r="Q837" t="s">
        <v>2072</v>
      </c>
    </row>
    <row r="838" spans="1:19" x14ac:dyDescent="0.3">
      <c r="A838" t="s">
        <v>1743</v>
      </c>
      <c r="B838" t="s">
        <v>1744</v>
      </c>
      <c r="C838" t="str">
        <f t="shared" si="174"/>
        <v>Robin Ortiz</v>
      </c>
      <c r="D838" t="s">
        <v>26</v>
      </c>
      <c r="E838" t="str">
        <f t="shared" si="179"/>
        <v>Female</v>
      </c>
      <c r="F838">
        <v>36</v>
      </c>
      <c r="G838" t="s">
        <v>34</v>
      </c>
      <c r="H838" t="s">
        <v>35</v>
      </c>
      <c r="I838" t="s">
        <v>36</v>
      </c>
      <c r="J838">
        <v>8</v>
      </c>
      <c r="K838" s="4" t="str" cm="1">
        <f t="array" ref="K838">_xlfn.IFS(J838&lt;=5,"0-5",J838&lt;=10,"6-10",J838&lt;=15,"11-15",J838&lt;=20,"16-20",J838&gt;20,"21+")</f>
        <v>6-10</v>
      </c>
      <c r="L838" t="s">
        <v>47</v>
      </c>
      <c r="M838" s="2" t="str">
        <f>TRIM(MID(L838,FIND(" ",L838)+1,LEN(L838)))</f>
        <v>40</v>
      </c>
      <c r="N838" s="8">
        <f t="shared" si="180"/>
        <v>40</v>
      </c>
      <c r="P838" t="s">
        <v>23</v>
      </c>
      <c r="Q838" t="s">
        <v>2072</v>
      </c>
      <c r="R838" s="1">
        <v>0.8</v>
      </c>
      <c r="S838" s="3">
        <f>R838</f>
        <v>0.8</v>
      </c>
    </row>
    <row r="839" spans="1:19" x14ac:dyDescent="0.3">
      <c r="A839" t="s">
        <v>1745</v>
      </c>
      <c r="B839" t="s">
        <v>1746</v>
      </c>
      <c r="C839" t="str">
        <f t="shared" si="174"/>
        <v>Adam Griffith</v>
      </c>
      <c r="D839" t="s">
        <v>89</v>
      </c>
      <c r="E839" t="str">
        <f t="shared" si="179"/>
        <v>Male</v>
      </c>
      <c r="F839">
        <v>51</v>
      </c>
      <c r="G839" t="s">
        <v>104</v>
      </c>
      <c r="H839" t="s">
        <v>105</v>
      </c>
      <c r="I839" t="s">
        <v>27</v>
      </c>
      <c r="J839">
        <v>32</v>
      </c>
      <c r="K839" s="4" t="str" cm="1">
        <f t="array" ref="K839">_xlfn.IFS(J839&lt;=5,"0-5",J839&lt;=10,"6-10",J839&lt;=15,"11-15",J839&lt;=20,"16-20",J839&gt;20,"21+")</f>
        <v>21+</v>
      </c>
      <c r="L839" t="s">
        <v>56</v>
      </c>
      <c r="M839" s="2" t="str">
        <f>SUBSTITUTE(L839,"$","")</f>
        <v>50</v>
      </c>
      <c r="N839" s="8">
        <f t="shared" si="180"/>
        <v>50</v>
      </c>
      <c r="O839">
        <v>3.2</v>
      </c>
      <c r="P839">
        <v>0</v>
      </c>
      <c r="Q839" t="s">
        <v>2072</v>
      </c>
      <c r="R839">
        <v>88</v>
      </c>
      <c r="S839" s="3">
        <f>R839/100</f>
        <v>0.88</v>
      </c>
    </row>
    <row r="840" spans="1:19" x14ac:dyDescent="0.3">
      <c r="A840" t="s">
        <v>1747</v>
      </c>
      <c r="B840" t="s">
        <v>1748</v>
      </c>
      <c r="C840" t="str">
        <f t="shared" si="174"/>
        <v>Daniel Roberson</v>
      </c>
      <c r="D840" t="s">
        <v>40</v>
      </c>
      <c r="E840" t="str">
        <f t="shared" si="179"/>
        <v>Male</v>
      </c>
      <c r="F840">
        <v>44</v>
      </c>
      <c r="G840" t="s">
        <v>85</v>
      </c>
      <c r="H840" t="s">
        <v>86</v>
      </c>
      <c r="I840" t="s">
        <v>65</v>
      </c>
      <c r="J840">
        <v>4</v>
      </c>
      <c r="K840" s="4" t="str" cm="1">
        <f t="array" ref="K840">_xlfn.IFS(J840&lt;=5,"0-5",J840&lt;=10,"6-10",J840&lt;=15,"11-15",J840&lt;=20,"16-20",J840&gt;20,"21+")</f>
        <v>0-5</v>
      </c>
      <c r="L840" t="s">
        <v>101</v>
      </c>
      <c r="M840" s="2" t="str">
        <f>TRIM(MID(L840,FIND(" ",L840)+1,LEN(L840)))</f>
        <v>30</v>
      </c>
      <c r="N840" s="8">
        <f t="shared" si="180"/>
        <v>30</v>
      </c>
      <c r="O840">
        <v>0</v>
      </c>
      <c r="P840" t="s">
        <v>23</v>
      </c>
      <c r="Q840" t="s">
        <v>2072</v>
      </c>
      <c r="R840" s="1">
        <v>0.8</v>
      </c>
      <c r="S840" s="3">
        <f t="shared" ref="S840:S843" si="181">R840</f>
        <v>0.8</v>
      </c>
    </row>
    <row r="841" spans="1:19" x14ac:dyDescent="0.3">
      <c r="A841" t="s">
        <v>1749</v>
      </c>
      <c r="B841" t="s">
        <v>1750</v>
      </c>
      <c r="C841" t="str">
        <f t="shared" si="174"/>
        <v>Dale Haynes</v>
      </c>
      <c r="D841" t="s">
        <v>89</v>
      </c>
      <c r="E841" t="str">
        <f t="shared" si="179"/>
        <v>Male</v>
      </c>
      <c r="F841">
        <v>58</v>
      </c>
      <c r="G841" t="s">
        <v>182</v>
      </c>
      <c r="H841" t="s">
        <v>64</v>
      </c>
      <c r="I841" t="s">
        <v>70</v>
      </c>
      <c r="J841">
        <v>33</v>
      </c>
      <c r="K841" s="4" t="str" cm="1">
        <f t="array" ref="K841">_xlfn.IFS(J841&lt;=5,"0-5",J841&lt;=10,"6-10",J841&lt;=15,"11-15",J841&lt;=20,"16-20",J841&gt;20,"21+")</f>
        <v>21+</v>
      </c>
      <c r="L841">
        <v>30</v>
      </c>
      <c r="M841" s="2">
        <f>L841</f>
        <v>30</v>
      </c>
      <c r="N841" s="8">
        <f t="shared" si="180"/>
        <v>30</v>
      </c>
      <c r="O841">
        <v>3.3</v>
      </c>
      <c r="P841" t="s">
        <v>66</v>
      </c>
      <c r="Q841" t="s">
        <v>2073</v>
      </c>
      <c r="R841" s="1">
        <v>0.71</v>
      </c>
      <c r="S841" s="3">
        <f t="shared" si="181"/>
        <v>0.71</v>
      </c>
    </row>
    <row r="842" spans="1:19" x14ac:dyDescent="0.3">
      <c r="A842" t="s">
        <v>1751</v>
      </c>
      <c r="B842" t="s">
        <v>1752</v>
      </c>
      <c r="C842" t="str">
        <f t="shared" si="174"/>
        <v>Emily Scott</v>
      </c>
      <c r="D842" t="s">
        <v>6</v>
      </c>
      <c r="E842" t="str">
        <f t="shared" si="179"/>
        <v>Female</v>
      </c>
      <c r="F842">
        <v>38</v>
      </c>
      <c r="G842" t="s">
        <v>145</v>
      </c>
      <c r="H842" t="s">
        <v>146</v>
      </c>
      <c r="I842" t="s">
        <v>15</v>
      </c>
      <c r="J842">
        <v>14</v>
      </c>
      <c r="K842" s="4" t="str" cm="1">
        <f t="array" ref="K842">_xlfn.IFS(J842&lt;=5,"0-5",J842&lt;=10,"6-10",J842&lt;=15,"11-15",J842&lt;=20,"16-20",J842&gt;20,"21+")</f>
        <v>11-15</v>
      </c>
      <c r="N842" s="8" t="str">
        <f t="shared" si="180"/>
        <v/>
      </c>
      <c r="O842">
        <v>1.1000000000000001</v>
      </c>
      <c r="P842">
        <v>1</v>
      </c>
      <c r="Q842" t="s">
        <v>2073</v>
      </c>
      <c r="R842" s="1">
        <v>0.76</v>
      </c>
      <c r="S842" s="3">
        <f t="shared" si="181"/>
        <v>0.76</v>
      </c>
    </row>
    <row r="843" spans="1:19" x14ac:dyDescent="0.3">
      <c r="A843" t="s">
        <v>1753</v>
      </c>
      <c r="B843" t="s">
        <v>1754</v>
      </c>
      <c r="C843" t="str">
        <f t="shared" si="174"/>
        <v>David Brown</v>
      </c>
      <c r="D843" t="s">
        <v>84</v>
      </c>
      <c r="E843" t="str">
        <f t="shared" si="179"/>
        <v>Male</v>
      </c>
      <c r="F843">
        <v>24</v>
      </c>
      <c r="G843" t="s">
        <v>50</v>
      </c>
      <c r="H843" t="s">
        <v>14</v>
      </c>
      <c r="I843" t="s">
        <v>65</v>
      </c>
      <c r="J843">
        <v>6</v>
      </c>
      <c r="K843" s="4" t="str" cm="1">
        <f t="array" ref="K843">_xlfn.IFS(J843&lt;=5,"0-5",J843&lt;=10,"6-10",J843&lt;=15,"11-15",J843&lt;=20,"16-20",J843&gt;20,"21+")</f>
        <v>6-10</v>
      </c>
      <c r="L843" t="s">
        <v>101</v>
      </c>
      <c r="M843" s="2" t="str">
        <f>TRIM(MID(L843,FIND(" ",L843)+1,LEN(L843)))</f>
        <v>30</v>
      </c>
      <c r="N843" s="8">
        <f t="shared" si="180"/>
        <v>30</v>
      </c>
      <c r="O843">
        <v>4.5999999999999996</v>
      </c>
      <c r="P843">
        <v>1</v>
      </c>
      <c r="Q843" t="s">
        <v>2073</v>
      </c>
      <c r="R843" s="1">
        <v>0.93</v>
      </c>
      <c r="S843" s="3">
        <f t="shared" si="181"/>
        <v>0.93</v>
      </c>
    </row>
    <row r="844" spans="1:19" x14ac:dyDescent="0.3">
      <c r="A844" t="s">
        <v>1755</v>
      </c>
      <c r="B844" t="s">
        <v>1756</v>
      </c>
      <c r="C844" t="str">
        <f t="shared" si="174"/>
        <v>Stephanie Guzman</v>
      </c>
      <c r="D844" t="s">
        <v>26</v>
      </c>
      <c r="E844" t="str">
        <f t="shared" si="179"/>
        <v>Female</v>
      </c>
      <c r="F844">
        <v>30</v>
      </c>
      <c r="G844" t="s">
        <v>54</v>
      </c>
      <c r="H844" t="s">
        <v>55</v>
      </c>
      <c r="I844" t="s">
        <v>9</v>
      </c>
      <c r="J844">
        <v>5</v>
      </c>
      <c r="K844" s="4" t="str" cm="1">
        <f t="array" ref="K844">_xlfn.IFS(J844&lt;=5,"0-5",J844&lt;=10,"6-10",J844&lt;=15,"11-15",J844&lt;=20,"16-20",J844&gt;20,"21+")</f>
        <v>0-5</v>
      </c>
      <c r="L844" t="s">
        <v>101</v>
      </c>
      <c r="M844" s="2" t="str">
        <f>TRIM(MID(L844,FIND(" ",L844)+1,LEN(L844)))</f>
        <v>30</v>
      </c>
      <c r="N844" s="8">
        <f t="shared" si="180"/>
        <v>30</v>
      </c>
      <c r="P844">
        <v>0</v>
      </c>
      <c r="Q844" t="s">
        <v>2072</v>
      </c>
    </row>
    <row r="845" spans="1:19" x14ac:dyDescent="0.3">
      <c r="A845" t="s">
        <v>1757</v>
      </c>
      <c r="B845" t="s">
        <v>1758</v>
      </c>
      <c r="C845" t="str">
        <f t="shared" si="174"/>
        <v>Maxwell Johnson</v>
      </c>
      <c r="D845" t="s">
        <v>53</v>
      </c>
      <c r="E845" t="str">
        <f t="shared" si="179"/>
        <v>Male</v>
      </c>
      <c r="F845">
        <v>25</v>
      </c>
      <c r="G845" t="s">
        <v>41</v>
      </c>
      <c r="H845" t="s">
        <v>42</v>
      </c>
      <c r="I845" t="s">
        <v>70</v>
      </c>
      <c r="J845">
        <v>3</v>
      </c>
      <c r="K845" s="4" t="str" cm="1">
        <f t="array" ref="K845">_xlfn.IFS(J845&lt;=5,"0-5",J845&lt;=10,"6-10",J845&lt;=15,"11-15",J845&lt;=20,"16-20",J845&gt;20,"21+")</f>
        <v>0-5</v>
      </c>
      <c r="L845">
        <v>75</v>
      </c>
      <c r="M845" s="2">
        <f>L845</f>
        <v>75</v>
      </c>
      <c r="N845" s="8">
        <f t="shared" si="180"/>
        <v>75</v>
      </c>
      <c r="P845">
        <v>0</v>
      </c>
      <c r="Q845" t="s">
        <v>2072</v>
      </c>
      <c r="R845" s="1">
        <v>0.83</v>
      </c>
      <c r="S845" s="3">
        <f t="shared" ref="S845:S847" si="182">R845</f>
        <v>0.83</v>
      </c>
    </row>
    <row r="846" spans="1:19" x14ac:dyDescent="0.3">
      <c r="A846" t="s">
        <v>1759</v>
      </c>
      <c r="B846" t="s">
        <v>1760</v>
      </c>
      <c r="C846" t="str">
        <f t="shared" si="174"/>
        <v>Reginald Stephens</v>
      </c>
      <c r="D846" t="s">
        <v>84</v>
      </c>
      <c r="E846" t="str">
        <f t="shared" si="179"/>
        <v>Male</v>
      </c>
      <c r="F846">
        <v>54</v>
      </c>
      <c r="G846" t="s">
        <v>41</v>
      </c>
      <c r="H846" t="s">
        <v>42</v>
      </c>
      <c r="I846" t="s">
        <v>15</v>
      </c>
      <c r="J846">
        <v>17</v>
      </c>
      <c r="K846" s="4" t="str" cm="1">
        <f t="array" ref="K846">_xlfn.IFS(J846&lt;=5,"0-5",J846&lt;=10,"6-10",J846&lt;=15,"11-15",J846&lt;=20,"16-20",J846&gt;20,"21+")</f>
        <v>16-20</v>
      </c>
      <c r="L846" t="s">
        <v>221</v>
      </c>
      <c r="M846" s="2" t="str">
        <f>SUBSTITUTE(L846,"$","")</f>
        <v>100</v>
      </c>
      <c r="N846" s="8">
        <f t="shared" si="180"/>
        <v>100</v>
      </c>
      <c r="O846">
        <v>0</v>
      </c>
      <c r="P846">
        <v>0</v>
      </c>
      <c r="Q846" t="s">
        <v>2072</v>
      </c>
      <c r="R846" s="1">
        <v>0.71</v>
      </c>
      <c r="S846" s="3">
        <f t="shared" si="182"/>
        <v>0.71</v>
      </c>
    </row>
    <row r="847" spans="1:19" x14ac:dyDescent="0.3">
      <c r="A847" t="s">
        <v>1761</v>
      </c>
      <c r="B847" t="s">
        <v>1762</v>
      </c>
      <c r="C847" t="str">
        <f t="shared" si="174"/>
        <v>Justin Jones</v>
      </c>
      <c r="D847" t="s">
        <v>19</v>
      </c>
      <c r="E847" t="str">
        <f t="shared" si="179"/>
        <v>Male</v>
      </c>
      <c r="F847">
        <v>54</v>
      </c>
      <c r="G847" t="s">
        <v>7</v>
      </c>
      <c r="H847" t="s">
        <v>8</v>
      </c>
      <c r="I847" t="s">
        <v>70</v>
      </c>
      <c r="J847">
        <v>9</v>
      </c>
      <c r="K847" s="4" t="str" cm="1">
        <f t="array" ref="K847">_xlfn.IFS(J847&lt;=5,"0-5",J847&lt;=10,"6-10",J847&lt;=15,"11-15",J847&lt;=20,"16-20",J847&gt;20,"21+")</f>
        <v>6-10</v>
      </c>
      <c r="L847" t="s">
        <v>306</v>
      </c>
      <c r="M847" s="2" t="str">
        <f>TRIM(MID(L847,FIND(" ",L847)+1,LEN(L847)))</f>
        <v>20</v>
      </c>
      <c r="N847" s="8">
        <f t="shared" si="180"/>
        <v>20</v>
      </c>
      <c r="O847">
        <v>0</v>
      </c>
      <c r="P847" t="s">
        <v>60</v>
      </c>
      <c r="Q847" t="s">
        <v>2073</v>
      </c>
      <c r="R847" s="1">
        <v>0.96</v>
      </c>
      <c r="S847" s="3">
        <f t="shared" si="182"/>
        <v>0.96</v>
      </c>
    </row>
    <row r="848" spans="1:19" x14ac:dyDescent="0.3">
      <c r="A848" t="s">
        <v>1763</v>
      </c>
      <c r="B848" t="s">
        <v>1764</v>
      </c>
      <c r="C848" t="str">
        <f t="shared" si="174"/>
        <v>Kristine Garcia</v>
      </c>
      <c r="D848" t="s">
        <v>26</v>
      </c>
      <c r="E848" t="str">
        <f t="shared" si="179"/>
        <v>Female</v>
      </c>
      <c r="F848">
        <v>53</v>
      </c>
      <c r="G848" t="s">
        <v>127</v>
      </c>
      <c r="H848" t="s">
        <v>128</v>
      </c>
      <c r="I848" t="s">
        <v>22</v>
      </c>
      <c r="J848">
        <v>16</v>
      </c>
      <c r="K848" s="4" t="str" cm="1">
        <f t="array" ref="K848">_xlfn.IFS(J848&lt;=5,"0-5",J848&lt;=10,"6-10",J848&lt;=15,"11-15",J848&lt;=20,"16-20",J848&gt;20,"21+")</f>
        <v>16-20</v>
      </c>
      <c r="L848">
        <v>40</v>
      </c>
      <c r="M848" s="2">
        <f>L848</f>
        <v>40</v>
      </c>
      <c r="N848" s="8">
        <f t="shared" si="180"/>
        <v>40</v>
      </c>
      <c r="O848">
        <v>0</v>
      </c>
      <c r="P848" t="s">
        <v>151</v>
      </c>
      <c r="Q848" t="s">
        <v>2072</v>
      </c>
    </row>
    <row r="849" spans="1:19" x14ac:dyDescent="0.3">
      <c r="A849" t="s">
        <v>1765</v>
      </c>
      <c r="B849" t="s">
        <v>1766</v>
      </c>
      <c r="C849" t="str">
        <f t="shared" si="174"/>
        <v>John Nguyen</v>
      </c>
      <c r="D849" t="s">
        <v>19</v>
      </c>
      <c r="E849" t="str">
        <f t="shared" si="179"/>
        <v>Male</v>
      </c>
      <c r="F849">
        <v>22</v>
      </c>
      <c r="G849" t="s">
        <v>116</v>
      </c>
      <c r="H849" t="s">
        <v>117</v>
      </c>
      <c r="I849" t="s">
        <v>36</v>
      </c>
      <c r="J849">
        <v>3</v>
      </c>
      <c r="K849" s="4" t="str" cm="1">
        <f t="array" ref="K849">_xlfn.IFS(J849&lt;=5,"0-5",J849&lt;=10,"6-10",J849&lt;=15,"11-15",J849&lt;=20,"16-20",J849&gt;20,"21+")</f>
        <v>0-5</v>
      </c>
      <c r="L849">
        <v>75</v>
      </c>
      <c r="M849" s="2">
        <f>L849</f>
        <v>75</v>
      </c>
      <c r="N849" s="8">
        <f t="shared" si="180"/>
        <v>75</v>
      </c>
      <c r="O849">
        <v>3.4</v>
      </c>
      <c r="P849" t="s">
        <v>66</v>
      </c>
      <c r="Q849" t="s">
        <v>2073</v>
      </c>
      <c r="R849" s="1">
        <v>0.65</v>
      </c>
      <c r="S849" s="3">
        <f>R849</f>
        <v>0.65</v>
      </c>
    </row>
    <row r="850" spans="1:19" x14ac:dyDescent="0.3">
      <c r="A850" t="s">
        <v>1767</v>
      </c>
      <c r="B850" t="s">
        <v>1768</v>
      </c>
      <c r="C850" t="str">
        <f t="shared" si="174"/>
        <v>Anna Fleming</v>
      </c>
      <c r="D850" t="s">
        <v>31</v>
      </c>
      <c r="E850" t="str">
        <f t="shared" si="179"/>
        <v>Female</v>
      </c>
      <c r="F850">
        <v>23</v>
      </c>
      <c r="G850" t="s">
        <v>171</v>
      </c>
      <c r="H850" t="s">
        <v>64</v>
      </c>
      <c r="I850" t="s">
        <v>43</v>
      </c>
      <c r="J850">
        <v>2</v>
      </c>
      <c r="K850" s="4" t="str" cm="1">
        <f t="array" ref="K850">_xlfn.IFS(J850&lt;=5,"0-5",J850&lt;=10,"6-10",J850&lt;=15,"11-15",J850&lt;=20,"16-20",J850&gt;20,"21+")</f>
        <v>0-5</v>
      </c>
      <c r="L850" t="s">
        <v>306</v>
      </c>
      <c r="M850" s="2" t="str">
        <f>TRIM(MID(L850,FIND(" ",L850)+1,LEN(L850)))</f>
        <v>20</v>
      </c>
      <c r="N850" s="8">
        <f t="shared" si="180"/>
        <v>20</v>
      </c>
      <c r="O850">
        <v>1.3</v>
      </c>
      <c r="P850" t="s">
        <v>23</v>
      </c>
      <c r="Q850" t="s">
        <v>2072</v>
      </c>
    </row>
    <row r="851" spans="1:19" x14ac:dyDescent="0.3">
      <c r="A851" t="s">
        <v>1769</v>
      </c>
      <c r="B851" t="s">
        <v>1770</v>
      </c>
      <c r="C851" t="str">
        <f t="shared" si="174"/>
        <v>Linda Williamson</v>
      </c>
      <c r="D851" t="s">
        <v>12</v>
      </c>
      <c r="E851" t="str">
        <f t="shared" si="179"/>
        <v>Female</v>
      </c>
      <c r="F851">
        <v>47</v>
      </c>
      <c r="G851" t="s">
        <v>127</v>
      </c>
      <c r="H851" t="s">
        <v>128</v>
      </c>
      <c r="I851" t="s">
        <v>70</v>
      </c>
      <c r="J851">
        <v>16</v>
      </c>
      <c r="K851" s="4" t="str" cm="1">
        <f t="array" ref="K851">_xlfn.IFS(J851&lt;=5,"0-5",J851&lt;=10,"6-10",J851&lt;=15,"11-15",J851&lt;=20,"16-20",J851&gt;20,"21+")</f>
        <v>16-20</v>
      </c>
      <c r="L851">
        <v>50</v>
      </c>
      <c r="M851" s="2">
        <f>L851</f>
        <v>50</v>
      </c>
      <c r="N851" s="8">
        <f t="shared" si="180"/>
        <v>50</v>
      </c>
      <c r="O851">
        <v>1.9</v>
      </c>
      <c r="P851">
        <v>0</v>
      </c>
      <c r="Q851" t="s">
        <v>2072</v>
      </c>
      <c r="R851" s="1">
        <v>0.71</v>
      </c>
      <c r="S851" s="3">
        <f>R851</f>
        <v>0.71</v>
      </c>
    </row>
    <row r="852" spans="1:19" x14ac:dyDescent="0.3">
      <c r="A852" t="s">
        <v>1771</v>
      </c>
      <c r="B852" t="s">
        <v>1772</v>
      </c>
      <c r="C852" t="str">
        <f t="shared" si="174"/>
        <v>Roy Wilson</v>
      </c>
      <c r="D852" t="s">
        <v>89</v>
      </c>
      <c r="E852" t="str">
        <f t="shared" si="179"/>
        <v>Male</v>
      </c>
      <c r="F852">
        <v>24</v>
      </c>
      <c r="G852" t="s">
        <v>127</v>
      </c>
      <c r="H852" t="s">
        <v>128</v>
      </c>
      <c r="I852" t="s">
        <v>27</v>
      </c>
      <c r="J852">
        <v>6</v>
      </c>
      <c r="K852" s="4" t="str" cm="1">
        <f t="array" ref="K852">_xlfn.IFS(J852&lt;=5,"0-5",J852&lt;=10,"6-10",J852&lt;=15,"11-15",J852&lt;=20,"16-20",J852&gt;20,"21+")</f>
        <v>6-10</v>
      </c>
      <c r="L852">
        <v>50</v>
      </c>
      <c r="M852" s="2">
        <f>L852</f>
        <v>50</v>
      </c>
      <c r="N852" s="8">
        <f t="shared" si="180"/>
        <v>50</v>
      </c>
      <c r="O852">
        <v>1.4</v>
      </c>
      <c r="P852" t="s">
        <v>66</v>
      </c>
      <c r="Q852" t="s">
        <v>2073</v>
      </c>
      <c r="R852">
        <v>63</v>
      </c>
      <c r="S852" s="3">
        <f>R852/100</f>
        <v>0.63</v>
      </c>
    </row>
    <row r="853" spans="1:19" x14ac:dyDescent="0.3">
      <c r="A853" t="s">
        <v>1773</v>
      </c>
      <c r="B853" t="s">
        <v>1774</v>
      </c>
      <c r="C853" t="str">
        <f t="shared" si="174"/>
        <v>Jennifer Pierce</v>
      </c>
      <c r="D853" t="s">
        <v>6</v>
      </c>
      <c r="E853" t="str">
        <f t="shared" si="179"/>
        <v>Female</v>
      </c>
      <c r="F853">
        <v>57</v>
      </c>
      <c r="G853" t="s">
        <v>85</v>
      </c>
      <c r="H853" t="s">
        <v>86</v>
      </c>
      <c r="I853" t="s">
        <v>65</v>
      </c>
      <c r="J853">
        <v>10</v>
      </c>
      <c r="K853" s="4" t="str" cm="1">
        <f t="array" ref="K853">_xlfn.IFS(J853&lt;=5,"0-5",J853&lt;=10,"6-10",J853&lt;=15,"11-15",J853&lt;=20,"16-20",J853&gt;20,"21+")</f>
        <v>6-10</v>
      </c>
      <c r="L853" t="s">
        <v>221</v>
      </c>
      <c r="M853" s="2" t="str">
        <f>SUBSTITUTE(L853,"$","")</f>
        <v>100</v>
      </c>
      <c r="N853" s="8">
        <f t="shared" si="180"/>
        <v>100</v>
      </c>
      <c r="O853">
        <v>4.3</v>
      </c>
      <c r="P853" t="b">
        <v>0</v>
      </c>
      <c r="Q853" t="s">
        <v>2072</v>
      </c>
    </row>
    <row r="854" spans="1:19" x14ac:dyDescent="0.3">
      <c r="A854" t="s">
        <v>1775</v>
      </c>
      <c r="B854" t="s">
        <v>1776</v>
      </c>
      <c r="C854" t="str">
        <f t="shared" si="174"/>
        <v>Jason Johnson</v>
      </c>
      <c r="D854" t="s">
        <v>89</v>
      </c>
      <c r="E854" t="str">
        <f t="shared" si="179"/>
        <v>Male</v>
      </c>
      <c r="F854">
        <v>48</v>
      </c>
      <c r="G854" t="s">
        <v>182</v>
      </c>
      <c r="H854" t="s">
        <v>64</v>
      </c>
      <c r="I854" t="s">
        <v>22</v>
      </c>
      <c r="J854">
        <v>16</v>
      </c>
      <c r="K854" s="4" t="str" cm="1">
        <f t="array" ref="K854">_xlfn.IFS(J854&lt;=5,"0-5",J854&lt;=10,"6-10",J854&lt;=15,"11-15",J854&lt;=20,"16-20",J854&gt;20,"21+")</f>
        <v>16-20</v>
      </c>
      <c r="L854" t="s">
        <v>37</v>
      </c>
      <c r="M854" s="2" t="str">
        <f>SUBSTITUTE(L854,"$","")</f>
        <v>30</v>
      </c>
      <c r="N854" s="8">
        <f t="shared" si="180"/>
        <v>30</v>
      </c>
      <c r="P854" t="s">
        <v>151</v>
      </c>
      <c r="Q854" t="s">
        <v>2072</v>
      </c>
      <c r="R854" s="1">
        <v>0.97</v>
      </c>
      <c r="S854" s="3">
        <f>R854</f>
        <v>0.97</v>
      </c>
    </row>
    <row r="855" spans="1:19" x14ac:dyDescent="0.3">
      <c r="A855" t="s">
        <v>1777</v>
      </c>
      <c r="B855" t="s">
        <v>1778</v>
      </c>
      <c r="C855" t="str">
        <f t="shared" si="174"/>
        <v>Jasmine Lane</v>
      </c>
      <c r="D855" t="s">
        <v>69</v>
      </c>
      <c r="E855" t="str">
        <f t="shared" si="179"/>
        <v>Female</v>
      </c>
      <c r="F855">
        <v>21</v>
      </c>
      <c r="G855" t="s">
        <v>54</v>
      </c>
      <c r="H855" t="s">
        <v>55</v>
      </c>
      <c r="I855" t="s">
        <v>65</v>
      </c>
      <c r="J855">
        <v>0</v>
      </c>
      <c r="K855" s="4" t="str" cm="1">
        <f t="array" ref="K855">_xlfn.IFS(J855&lt;=5,"0-5",J855&lt;=10,"6-10",J855&lt;=15,"11-15",J855&lt;=20,"16-20",J855&gt;20,"21+")</f>
        <v>0-5</v>
      </c>
      <c r="L855" t="s">
        <v>221</v>
      </c>
      <c r="M855" s="2" t="str">
        <f>SUBSTITUTE(L855,"$","")</f>
        <v>100</v>
      </c>
      <c r="N855" s="8">
        <f t="shared" si="180"/>
        <v>100</v>
      </c>
      <c r="O855">
        <v>4.3</v>
      </c>
      <c r="P855">
        <v>0</v>
      </c>
      <c r="Q855" t="s">
        <v>2072</v>
      </c>
    </row>
    <row r="856" spans="1:19" x14ac:dyDescent="0.3">
      <c r="A856" t="s">
        <v>1779</v>
      </c>
      <c r="B856" t="s">
        <v>1780</v>
      </c>
      <c r="C856" t="str">
        <f t="shared" si="174"/>
        <v>Evan Soto</v>
      </c>
      <c r="D856" t="s">
        <v>40</v>
      </c>
      <c r="E856" t="str">
        <f t="shared" si="179"/>
        <v>Male</v>
      </c>
      <c r="F856">
        <v>33</v>
      </c>
      <c r="G856" t="s">
        <v>77</v>
      </c>
      <c r="H856" t="s">
        <v>78</v>
      </c>
      <c r="I856" t="s">
        <v>36</v>
      </c>
      <c r="J856">
        <v>13</v>
      </c>
      <c r="K856" s="4" t="str" cm="1">
        <f t="array" ref="K856">_xlfn.IFS(J856&lt;=5,"0-5",J856&lt;=10,"6-10",J856&lt;=15,"11-15",J856&lt;=20,"16-20",J856&gt;20,"21+")</f>
        <v>11-15</v>
      </c>
      <c r="L856" t="s">
        <v>44</v>
      </c>
      <c r="M856" s="2" t="str">
        <f>TRIM(MID(L856,FIND(" ",L856)+1,LEN(L856)))</f>
        <v>75</v>
      </c>
      <c r="N856" s="8">
        <f t="shared" si="180"/>
        <v>75</v>
      </c>
      <c r="O856">
        <v>0</v>
      </c>
      <c r="P856" t="b">
        <v>1</v>
      </c>
      <c r="Q856" t="s">
        <v>2073</v>
      </c>
    </row>
    <row r="857" spans="1:19" x14ac:dyDescent="0.3">
      <c r="A857" t="s">
        <v>1781</v>
      </c>
      <c r="B857" t="s">
        <v>1782</v>
      </c>
      <c r="C857" t="str">
        <f t="shared" si="174"/>
        <v>Kevin Serrano</v>
      </c>
      <c r="D857" t="s">
        <v>89</v>
      </c>
      <c r="E857" t="str">
        <f t="shared" si="179"/>
        <v>Male</v>
      </c>
      <c r="F857">
        <v>41</v>
      </c>
      <c r="G857" t="s">
        <v>54</v>
      </c>
      <c r="H857" t="s">
        <v>55</v>
      </c>
      <c r="I857" t="s">
        <v>81</v>
      </c>
      <c r="J857">
        <v>12</v>
      </c>
      <c r="K857" s="4" t="str" cm="1">
        <f t="array" ref="K857">_xlfn.IFS(J857&lt;=5,"0-5",J857&lt;=10,"6-10",J857&lt;=15,"11-15",J857&lt;=20,"16-20",J857&gt;20,"21+")</f>
        <v>11-15</v>
      </c>
      <c r="N857" s="8" t="str">
        <f t="shared" si="180"/>
        <v/>
      </c>
      <c r="O857">
        <v>1.3</v>
      </c>
      <c r="P857">
        <v>0</v>
      </c>
      <c r="Q857" t="s">
        <v>2072</v>
      </c>
      <c r="R857" s="1">
        <v>0.85</v>
      </c>
      <c r="S857" s="3">
        <f t="shared" ref="S857:S859" si="183">R857</f>
        <v>0.85</v>
      </c>
    </row>
    <row r="858" spans="1:19" x14ac:dyDescent="0.3">
      <c r="A858" t="s">
        <v>1783</v>
      </c>
      <c r="B858" t="s">
        <v>1784</v>
      </c>
      <c r="C858" t="str">
        <f t="shared" si="174"/>
        <v>Nathaniel Benson</v>
      </c>
      <c r="D858" t="s">
        <v>53</v>
      </c>
      <c r="E858" t="str">
        <f t="shared" si="179"/>
        <v>Male</v>
      </c>
      <c r="F858">
        <v>40</v>
      </c>
      <c r="G858" t="s">
        <v>13</v>
      </c>
      <c r="H858" t="s">
        <v>14</v>
      </c>
      <c r="I858" t="s">
        <v>70</v>
      </c>
      <c r="J858">
        <v>13</v>
      </c>
      <c r="K858" s="4" t="str" cm="1">
        <f t="array" ref="K858">_xlfn.IFS(J858&lt;=5,"0-5",J858&lt;=10,"6-10",J858&lt;=15,"11-15",J858&lt;=20,"16-20",J858&gt;20,"21+")</f>
        <v>11-15</v>
      </c>
      <c r="L858" t="s">
        <v>90</v>
      </c>
      <c r="M858" s="2" t="str">
        <f>TRIM(MID(L858,FIND(" ",L858)+1,LEN(L858)))</f>
        <v>50</v>
      </c>
      <c r="N858" s="8">
        <f t="shared" si="180"/>
        <v>50</v>
      </c>
      <c r="O858">
        <v>2.9</v>
      </c>
      <c r="P858" t="s">
        <v>151</v>
      </c>
      <c r="Q858" t="s">
        <v>2072</v>
      </c>
      <c r="R858" s="1">
        <v>0.82</v>
      </c>
      <c r="S858" s="3">
        <f t="shared" si="183"/>
        <v>0.82</v>
      </c>
    </row>
    <row r="859" spans="1:19" x14ac:dyDescent="0.3">
      <c r="A859" t="s">
        <v>1785</v>
      </c>
      <c r="B859" t="s">
        <v>1786</v>
      </c>
      <c r="C859" t="str">
        <f t="shared" si="174"/>
        <v>Deanna Miles</v>
      </c>
      <c r="D859" t="s">
        <v>6</v>
      </c>
      <c r="E859" t="str">
        <f t="shared" si="179"/>
        <v>Female</v>
      </c>
      <c r="F859">
        <v>40</v>
      </c>
      <c r="G859" t="s">
        <v>171</v>
      </c>
      <c r="H859" t="s">
        <v>64</v>
      </c>
      <c r="I859" t="s">
        <v>22</v>
      </c>
      <c r="J859">
        <v>22</v>
      </c>
      <c r="K859" s="4" t="str" cm="1">
        <f t="array" ref="K859">_xlfn.IFS(J859&lt;=5,"0-5",J859&lt;=10,"6-10",J859&lt;=15,"11-15",J859&lt;=20,"16-20",J859&gt;20,"21+")</f>
        <v>21+</v>
      </c>
      <c r="L859" t="s">
        <v>47</v>
      </c>
      <c r="M859" s="2" t="str">
        <f>TRIM(MID(L859,FIND(" ",L859)+1,LEN(L859)))</f>
        <v>40</v>
      </c>
      <c r="N859" s="8">
        <f t="shared" si="180"/>
        <v>40</v>
      </c>
      <c r="O859">
        <v>4.3</v>
      </c>
      <c r="P859">
        <v>0</v>
      </c>
      <c r="Q859" t="s">
        <v>2072</v>
      </c>
      <c r="R859" s="1">
        <v>0.95</v>
      </c>
      <c r="S859" s="3">
        <f t="shared" si="183"/>
        <v>0.95</v>
      </c>
    </row>
    <row r="860" spans="1:19" x14ac:dyDescent="0.3">
      <c r="A860" t="s">
        <v>1787</v>
      </c>
      <c r="B860" t="s">
        <v>1788</v>
      </c>
      <c r="C860" t="str">
        <f t="shared" si="174"/>
        <v>Beverly Roy</v>
      </c>
      <c r="D860" t="s">
        <v>69</v>
      </c>
      <c r="E860" t="str">
        <f t="shared" si="179"/>
        <v>Female</v>
      </c>
      <c r="F860">
        <v>20</v>
      </c>
      <c r="G860" t="s">
        <v>50</v>
      </c>
      <c r="H860" t="s">
        <v>14</v>
      </c>
      <c r="I860" t="s">
        <v>22</v>
      </c>
      <c r="J860">
        <v>1</v>
      </c>
      <c r="K860" s="4" t="str" cm="1">
        <f t="array" ref="K860">_xlfn.IFS(J860&lt;=5,"0-5",J860&lt;=10,"6-10",J860&lt;=15,"11-15",J860&lt;=20,"16-20",J860&gt;20,"21+")</f>
        <v>0-5</v>
      </c>
      <c r="N860" s="8" t="str">
        <f t="shared" si="180"/>
        <v/>
      </c>
      <c r="O860">
        <v>2.7</v>
      </c>
      <c r="P860">
        <v>0</v>
      </c>
      <c r="Q860" t="s">
        <v>2072</v>
      </c>
      <c r="R860">
        <v>94</v>
      </c>
      <c r="S860" s="3">
        <f>R860/100</f>
        <v>0.94</v>
      </c>
    </row>
    <row r="861" spans="1:19" x14ac:dyDescent="0.3">
      <c r="A861" t="s">
        <v>1789</v>
      </c>
      <c r="B861" t="s">
        <v>1790</v>
      </c>
      <c r="C861" t="str">
        <f t="shared" si="174"/>
        <v>Heather Saunders</v>
      </c>
      <c r="D861" t="s">
        <v>26</v>
      </c>
      <c r="E861" t="str">
        <f t="shared" si="179"/>
        <v>Female</v>
      </c>
      <c r="F861">
        <v>42</v>
      </c>
      <c r="G861" t="s">
        <v>171</v>
      </c>
      <c r="H861" t="s">
        <v>64</v>
      </c>
      <c r="I861" t="s">
        <v>27</v>
      </c>
      <c r="K861" s="4" t="str" cm="1">
        <f t="array" ref="K861">_xlfn.IFS(J861&lt;=5,"0-5",J861&lt;=10,"6-10",J861&lt;=15,"11-15",J861&lt;=20,"16-20",J861&gt;20,"21+")</f>
        <v>0-5</v>
      </c>
      <c r="L861" t="s">
        <v>56</v>
      </c>
      <c r="M861" s="2" t="str">
        <f>SUBSTITUTE(L861,"$","")</f>
        <v>50</v>
      </c>
      <c r="N861" s="8">
        <f t="shared" si="180"/>
        <v>50</v>
      </c>
      <c r="O861">
        <v>4.2</v>
      </c>
      <c r="R861" s="1">
        <v>0.96</v>
      </c>
      <c r="S861" s="3">
        <f t="shared" ref="S861:S868" si="184">R861</f>
        <v>0.96</v>
      </c>
    </row>
    <row r="862" spans="1:19" x14ac:dyDescent="0.3">
      <c r="A862" t="s">
        <v>1791</v>
      </c>
      <c r="B862" t="s">
        <v>1792</v>
      </c>
      <c r="C862" t="str">
        <f t="shared" si="174"/>
        <v>Nicholas Guerrero</v>
      </c>
      <c r="D862" t="s">
        <v>40</v>
      </c>
      <c r="E862" t="str">
        <f t="shared" si="179"/>
        <v>Male</v>
      </c>
      <c r="F862">
        <v>32</v>
      </c>
      <c r="G862" t="s">
        <v>120</v>
      </c>
      <c r="H862" t="s">
        <v>14</v>
      </c>
      <c r="I862" t="s">
        <v>9</v>
      </c>
      <c r="J862">
        <v>12</v>
      </c>
      <c r="K862" s="4" t="str" cm="1">
        <f t="array" ref="K862">_xlfn.IFS(J862&lt;=5,"0-5",J862&lt;=10,"6-10",J862&lt;=15,"11-15",J862&lt;=20,"16-20",J862&gt;20,"21+")</f>
        <v>11-15</v>
      </c>
      <c r="L862">
        <v>40</v>
      </c>
      <c r="M862" s="2">
        <f>L862</f>
        <v>40</v>
      </c>
      <c r="N862" s="8">
        <f t="shared" si="180"/>
        <v>40</v>
      </c>
      <c r="O862">
        <v>0</v>
      </c>
      <c r="P862" t="s">
        <v>60</v>
      </c>
      <c r="Q862" t="s">
        <v>2073</v>
      </c>
      <c r="R862" s="1">
        <v>0.63</v>
      </c>
      <c r="S862" s="3">
        <f t="shared" si="184"/>
        <v>0.63</v>
      </c>
    </row>
    <row r="863" spans="1:19" x14ac:dyDescent="0.3">
      <c r="A863" t="s">
        <v>1793</v>
      </c>
      <c r="B863" t="s">
        <v>1794</v>
      </c>
      <c r="C863" t="str">
        <f t="shared" si="174"/>
        <v>Christopher Johnson</v>
      </c>
      <c r="D863" t="s">
        <v>89</v>
      </c>
      <c r="E863" t="str">
        <f t="shared" si="179"/>
        <v>Male</v>
      </c>
      <c r="F863">
        <v>60</v>
      </c>
      <c r="G863" t="s">
        <v>77</v>
      </c>
      <c r="H863" t="s">
        <v>78</v>
      </c>
      <c r="I863" t="s">
        <v>36</v>
      </c>
      <c r="K863" s="4" t="str" cm="1">
        <f t="array" ref="K863">_xlfn.IFS(J863&lt;=5,"0-5",J863&lt;=10,"6-10",J863&lt;=15,"11-15",J863&lt;=20,"16-20",J863&gt;20,"21+")</f>
        <v>0-5</v>
      </c>
      <c r="L863">
        <v>20</v>
      </c>
      <c r="M863" s="2">
        <f>L863</f>
        <v>20</v>
      </c>
      <c r="N863" s="8">
        <f t="shared" si="180"/>
        <v>20</v>
      </c>
      <c r="O863">
        <v>2.2000000000000002</v>
      </c>
      <c r="P863" t="b">
        <v>0</v>
      </c>
      <c r="Q863" t="s">
        <v>2072</v>
      </c>
      <c r="R863" s="1">
        <v>0.6</v>
      </c>
      <c r="S863" s="3">
        <f t="shared" si="184"/>
        <v>0.6</v>
      </c>
    </row>
    <row r="864" spans="1:19" x14ac:dyDescent="0.3">
      <c r="A864" t="s">
        <v>1795</v>
      </c>
      <c r="B864" t="s">
        <v>1796</v>
      </c>
      <c r="C864" t="str">
        <f t="shared" si="174"/>
        <v>Steven Flowers</v>
      </c>
      <c r="D864" t="s">
        <v>84</v>
      </c>
      <c r="E864" t="str">
        <f t="shared" si="179"/>
        <v>Male</v>
      </c>
      <c r="F864">
        <v>46</v>
      </c>
      <c r="G864" t="s">
        <v>131</v>
      </c>
      <c r="H864" t="s">
        <v>132</v>
      </c>
      <c r="I864" t="s">
        <v>106</v>
      </c>
      <c r="J864">
        <v>12</v>
      </c>
      <c r="K864" s="4" t="str" cm="1">
        <f t="array" ref="K864">_xlfn.IFS(J864&lt;=5,"0-5",J864&lt;=10,"6-10",J864&lt;=15,"11-15",J864&lt;=20,"16-20",J864&gt;20,"21+")</f>
        <v>11-15</v>
      </c>
      <c r="L864">
        <v>50</v>
      </c>
      <c r="M864" s="2">
        <f>L864</f>
        <v>50</v>
      </c>
      <c r="N864" s="8">
        <f t="shared" si="180"/>
        <v>50</v>
      </c>
      <c r="O864">
        <v>4.7</v>
      </c>
      <c r="P864" t="s">
        <v>60</v>
      </c>
      <c r="Q864" t="s">
        <v>2073</v>
      </c>
      <c r="R864" s="1">
        <v>0.77</v>
      </c>
      <c r="S864" s="3">
        <f t="shared" si="184"/>
        <v>0.77</v>
      </c>
    </row>
    <row r="865" spans="1:19" x14ac:dyDescent="0.3">
      <c r="A865" t="s">
        <v>1797</v>
      </c>
      <c r="B865" t="s">
        <v>1798</v>
      </c>
      <c r="C865" t="str">
        <f t="shared" si="174"/>
        <v>Marvin Woods III</v>
      </c>
      <c r="D865" t="s">
        <v>19</v>
      </c>
      <c r="E865" t="str">
        <f t="shared" si="179"/>
        <v>Male</v>
      </c>
      <c r="F865">
        <v>29</v>
      </c>
      <c r="G865" t="s">
        <v>167</v>
      </c>
      <c r="H865" t="s">
        <v>168</v>
      </c>
      <c r="I865" t="s">
        <v>81</v>
      </c>
      <c r="J865">
        <v>0</v>
      </c>
      <c r="K865" s="4" t="str" cm="1">
        <f t="array" ref="K865">_xlfn.IFS(J865&lt;=5,"0-5",J865&lt;=10,"6-10",J865&lt;=15,"11-15",J865&lt;=20,"16-20",J865&gt;20,"21+")</f>
        <v>0-5</v>
      </c>
      <c r="L865">
        <v>30</v>
      </c>
      <c r="M865" s="2">
        <f>L865</f>
        <v>30</v>
      </c>
      <c r="N865" s="8">
        <f t="shared" si="180"/>
        <v>30</v>
      </c>
      <c r="O865">
        <v>0</v>
      </c>
      <c r="P865">
        <v>0</v>
      </c>
      <c r="Q865" t="s">
        <v>2072</v>
      </c>
      <c r="R865" s="1">
        <v>0.63</v>
      </c>
      <c r="S865" s="3">
        <f t="shared" si="184"/>
        <v>0.63</v>
      </c>
    </row>
    <row r="866" spans="1:19" x14ac:dyDescent="0.3">
      <c r="A866" t="s">
        <v>1799</v>
      </c>
      <c r="B866" t="s">
        <v>1800</v>
      </c>
      <c r="C866" t="str">
        <f t="shared" si="174"/>
        <v>Michelle Cook</v>
      </c>
      <c r="D866" t="s">
        <v>12</v>
      </c>
      <c r="E866" t="str">
        <f t="shared" si="179"/>
        <v>Female</v>
      </c>
      <c r="F866">
        <v>39</v>
      </c>
      <c r="G866" t="s">
        <v>99</v>
      </c>
      <c r="H866" t="s">
        <v>100</v>
      </c>
      <c r="I866" t="s">
        <v>15</v>
      </c>
      <c r="J866">
        <v>18</v>
      </c>
      <c r="K866" s="4" t="str" cm="1">
        <f t="array" ref="K866">_xlfn.IFS(J866&lt;=5,"0-5",J866&lt;=10,"6-10",J866&lt;=15,"11-15",J866&lt;=20,"16-20",J866&gt;20,"21+")</f>
        <v>16-20</v>
      </c>
      <c r="L866">
        <v>20</v>
      </c>
      <c r="M866" s="2">
        <f>L866</f>
        <v>20</v>
      </c>
      <c r="N866" s="8">
        <f t="shared" si="180"/>
        <v>20</v>
      </c>
      <c r="O866">
        <v>2.5</v>
      </c>
      <c r="P866" t="s">
        <v>60</v>
      </c>
      <c r="Q866" t="s">
        <v>2073</v>
      </c>
      <c r="R866" s="1">
        <v>0.61</v>
      </c>
      <c r="S866" s="3">
        <f t="shared" si="184"/>
        <v>0.61</v>
      </c>
    </row>
    <row r="867" spans="1:19" x14ac:dyDescent="0.3">
      <c r="A867" t="s">
        <v>1801</v>
      </c>
      <c r="B867" t="s">
        <v>1802</v>
      </c>
      <c r="C867" t="str">
        <f t="shared" si="174"/>
        <v>Logan Zamora</v>
      </c>
      <c r="D867" t="s">
        <v>53</v>
      </c>
      <c r="E867" t="str">
        <f t="shared" si="179"/>
        <v>Male</v>
      </c>
      <c r="F867">
        <v>55</v>
      </c>
      <c r="G867" t="s">
        <v>116</v>
      </c>
      <c r="H867" t="s">
        <v>117</v>
      </c>
      <c r="I867" t="s">
        <v>15</v>
      </c>
      <c r="J867">
        <v>2</v>
      </c>
      <c r="K867" s="4" t="str" cm="1">
        <f t="array" ref="K867">_xlfn.IFS(J867&lt;=5,"0-5",J867&lt;=10,"6-10",J867&lt;=15,"11-15",J867&lt;=20,"16-20",J867&gt;20,"21+")</f>
        <v>0-5</v>
      </c>
      <c r="L867" t="s">
        <v>56</v>
      </c>
      <c r="M867" s="2" t="str">
        <f>SUBSTITUTE(L867,"$","")</f>
        <v>50</v>
      </c>
      <c r="N867" s="8">
        <f t="shared" si="180"/>
        <v>50</v>
      </c>
      <c r="O867">
        <v>3.9</v>
      </c>
      <c r="P867" t="s">
        <v>60</v>
      </c>
      <c r="Q867" t="s">
        <v>2073</v>
      </c>
      <c r="R867" s="1">
        <v>0.88</v>
      </c>
      <c r="S867" s="3">
        <f t="shared" si="184"/>
        <v>0.88</v>
      </c>
    </row>
    <row r="868" spans="1:19" x14ac:dyDescent="0.3">
      <c r="A868" t="s">
        <v>1803</v>
      </c>
      <c r="B868" t="s">
        <v>1804</v>
      </c>
      <c r="C868" t="str">
        <f t="shared" si="174"/>
        <v>Casey Roberts</v>
      </c>
      <c r="D868" t="s">
        <v>40</v>
      </c>
      <c r="E868" t="str">
        <f t="shared" si="179"/>
        <v>Male</v>
      </c>
      <c r="F868">
        <v>55</v>
      </c>
      <c r="G868" t="s">
        <v>54</v>
      </c>
      <c r="H868" t="s">
        <v>55</v>
      </c>
      <c r="I868" t="s">
        <v>70</v>
      </c>
      <c r="K868" s="4" t="str" cm="1">
        <f t="array" ref="K868">_xlfn.IFS(J868&lt;=5,"0-5",J868&lt;=10,"6-10",J868&lt;=15,"11-15",J868&lt;=20,"16-20",J868&gt;20,"21+")</f>
        <v>0-5</v>
      </c>
      <c r="L868" t="s">
        <v>16</v>
      </c>
      <c r="M868" s="2" t="str">
        <f>TRIM(MID(L868,FIND(" ",L868)+1,LEN(L868)))</f>
        <v>100</v>
      </c>
      <c r="N868" s="8">
        <f t="shared" si="180"/>
        <v>100</v>
      </c>
      <c r="O868">
        <v>1.2</v>
      </c>
      <c r="P868">
        <v>1</v>
      </c>
      <c r="Q868" t="s">
        <v>2073</v>
      </c>
      <c r="R868" s="1">
        <v>0.69</v>
      </c>
      <c r="S868" s="3">
        <f t="shared" si="184"/>
        <v>0.69</v>
      </c>
    </row>
    <row r="869" spans="1:19" x14ac:dyDescent="0.3">
      <c r="A869" t="s">
        <v>1805</v>
      </c>
      <c r="B869" t="s">
        <v>1806</v>
      </c>
      <c r="C869" t="str">
        <f t="shared" si="174"/>
        <v>Jerry Price</v>
      </c>
      <c r="D869" t="s">
        <v>89</v>
      </c>
      <c r="E869" t="str">
        <f t="shared" si="179"/>
        <v>Male</v>
      </c>
      <c r="F869">
        <v>40</v>
      </c>
      <c r="G869" t="s">
        <v>41</v>
      </c>
      <c r="H869" t="s">
        <v>42</v>
      </c>
      <c r="I869" t="s">
        <v>43</v>
      </c>
      <c r="J869">
        <v>2</v>
      </c>
      <c r="K869" s="4" t="str" cm="1">
        <f t="array" ref="K869">_xlfn.IFS(J869&lt;=5,"0-5",J869&lt;=10,"6-10",J869&lt;=15,"11-15",J869&lt;=20,"16-20",J869&gt;20,"21+")</f>
        <v>0-5</v>
      </c>
      <c r="L869">
        <v>75</v>
      </c>
      <c r="M869" s="2">
        <f>L869</f>
        <v>75</v>
      </c>
      <c r="N869" s="8">
        <f t="shared" si="180"/>
        <v>75</v>
      </c>
      <c r="O869">
        <v>4.5</v>
      </c>
      <c r="P869" t="s">
        <v>60</v>
      </c>
      <c r="Q869" t="s">
        <v>2073</v>
      </c>
    </row>
    <row r="870" spans="1:19" x14ac:dyDescent="0.3">
      <c r="A870" t="s">
        <v>1807</v>
      </c>
      <c r="B870" t="s">
        <v>1808</v>
      </c>
      <c r="C870" t="str">
        <f t="shared" si="174"/>
        <v>Kelly Ellis</v>
      </c>
      <c r="D870" t="s">
        <v>6</v>
      </c>
      <c r="E870" t="str">
        <f t="shared" si="179"/>
        <v>Female</v>
      </c>
      <c r="F870">
        <v>56</v>
      </c>
      <c r="G870" t="s">
        <v>167</v>
      </c>
      <c r="H870" t="s">
        <v>168</v>
      </c>
      <c r="I870" t="s">
        <v>65</v>
      </c>
      <c r="J870">
        <v>35</v>
      </c>
      <c r="K870" s="4" t="str" cm="1">
        <f t="array" ref="K870">_xlfn.IFS(J870&lt;=5,"0-5",J870&lt;=10,"6-10",J870&lt;=15,"11-15",J870&lt;=20,"16-20",J870&gt;20,"21+")</f>
        <v>21+</v>
      </c>
      <c r="L870" t="s">
        <v>28</v>
      </c>
      <c r="M870" s="2" t="str">
        <f>SUBSTITUTE(L870,"$","")</f>
        <v>40</v>
      </c>
      <c r="N870" s="8">
        <f t="shared" si="180"/>
        <v>40</v>
      </c>
      <c r="O870">
        <v>2.7</v>
      </c>
      <c r="P870" t="b">
        <v>1</v>
      </c>
      <c r="Q870" t="s">
        <v>2073</v>
      </c>
      <c r="R870" s="1">
        <v>0.82</v>
      </c>
      <c r="S870" s="3">
        <f t="shared" ref="S870:S873" si="185">R870</f>
        <v>0.82</v>
      </c>
    </row>
    <row r="871" spans="1:19" x14ac:dyDescent="0.3">
      <c r="A871" t="s">
        <v>1809</v>
      </c>
      <c r="B871" t="s">
        <v>1810</v>
      </c>
      <c r="C871" t="str">
        <f t="shared" si="174"/>
        <v>Caleb Guerra</v>
      </c>
      <c r="D871" t="s">
        <v>53</v>
      </c>
      <c r="E871" t="str">
        <f t="shared" si="179"/>
        <v>Male</v>
      </c>
      <c r="F871">
        <v>57</v>
      </c>
      <c r="G871" t="s">
        <v>171</v>
      </c>
      <c r="H871" t="s">
        <v>64</v>
      </c>
      <c r="I871" t="s">
        <v>15</v>
      </c>
      <c r="J871">
        <v>21</v>
      </c>
      <c r="K871" s="4" t="str" cm="1">
        <f t="array" ref="K871">_xlfn.IFS(J871&lt;=5,"0-5",J871&lt;=10,"6-10",J871&lt;=15,"11-15",J871&lt;=20,"16-20",J871&gt;20,"21+")</f>
        <v>21+</v>
      </c>
      <c r="L871">
        <v>75</v>
      </c>
      <c r="M871" s="2">
        <f>L871</f>
        <v>75</v>
      </c>
      <c r="N871" s="8">
        <f t="shared" si="180"/>
        <v>75</v>
      </c>
      <c r="O871">
        <v>2</v>
      </c>
      <c r="P871" t="s">
        <v>23</v>
      </c>
      <c r="Q871" t="s">
        <v>2072</v>
      </c>
      <c r="R871" s="1">
        <v>0.96</v>
      </c>
      <c r="S871" s="3">
        <f t="shared" si="185"/>
        <v>0.96</v>
      </c>
    </row>
    <row r="872" spans="1:19" x14ac:dyDescent="0.3">
      <c r="A872" t="s">
        <v>1811</v>
      </c>
      <c r="B872" t="s">
        <v>1812</v>
      </c>
      <c r="C872" t="str">
        <f t="shared" si="174"/>
        <v>Samantha Norman</v>
      </c>
      <c r="D872" t="s">
        <v>26</v>
      </c>
      <c r="E872" t="str">
        <f t="shared" si="179"/>
        <v>Female</v>
      </c>
      <c r="F872">
        <v>56</v>
      </c>
      <c r="G872" t="s">
        <v>116</v>
      </c>
      <c r="H872" t="s">
        <v>117</v>
      </c>
      <c r="I872" t="s">
        <v>81</v>
      </c>
      <c r="J872">
        <v>3</v>
      </c>
      <c r="K872" s="4" t="str" cm="1">
        <f t="array" ref="K872">_xlfn.IFS(J872&lt;=5,"0-5",J872&lt;=10,"6-10",J872&lt;=15,"11-15",J872&lt;=20,"16-20",J872&gt;20,"21+")</f>
        <v>0-5</v>
      </c>
      <c r="L872" t="s">
        <v>28</v>
      </c>
      <c r="M872" s="2" t="str">
        <f>SUBSTITUTE(L872,"$","")</f>
        <v>40</v>
      </c>
      <c r="N872" s="8">
        <f t="shared" si="180"/>
        <v>40</v>
      </c>
      <c r="O872">
        <v>1.7</v>
      </c>
      <c r="P872" t="s">
        <v>23</v>
      </c>
      <c r="Q872" t="s">
        <v>2072</v>
      </c>
      <c r="R872" s="1">
        <v>0.71</v>
      </c>
      <c r="S872" s="3">
        <f t="shared" si="185"/>
        <v>0.71</v>
      </c>
    </row>
    <row r="873" spans="1:19" x14ac:dyDescent="0.3">
      <c r="A873" t="s">
        <v>1813</v>
      </c>
      <c r="B873" t="s">
        <v>1814</v>
      </c>
      <c r="C873" t="str">
        <f t="shared" si="174"/>
        <v>Sarah Clarke</v>
      </c>
      <c r="D873" t="s">
        <v>6</v>
      </c>
      <c r="E873" t="str">
        <f t="shared" si="179"/>
        <v>Female</v>
      </c>
      <c r="F873">
        <v>49</v>
      </c>
      <c r="G873" t="s">
        <v>20</v>
      </c>
      <c r="H873" t="s">
        <v>21</v>
      </c>
      <c r="I873" t="s">
        <v>15</v>
      </c>
      <c r="J873">
        <v>24</v>
      </c>
      <c r="K873" s="4" t="str" cm="1">
        <f t="array" ref="K873">_xlfn.IFS(J873&lt;=5,"0-5",J873&lt;=10,"6-10",J873&lt;=15,"11-15",J873&lt;=20,"16-20",J873&gt;20,"21+")</f>
        <v>21+</v>
      </c>
      <c r="L873" t="s">
        <v>162</v>
      </c>
      <c r="M873" s="2" t="str">
        <f>SUBSTITUTE(L873,"$","")</f>
        <v>75</v>
      </c>
      <c r="N873" s="8">
        <f t="shared" si="180"/>
        <v>75</v>
      </c>
      <c r="O873">
        <v>3</v>
      </c>
      <c r="P873">
        <v>1</v>
      </c>
      <c r="Q873" t="s">
        <v>2073</v>
      </c>
      <c r="R873" s="1">
        <v>0.77</v>
      </c>
      <c r="S873" s="3">
        <f t="shared" si="185"/>
        <v>0.77</v>
      </c>
    </row>
    <row r="874" spans="1:19" x14ac:dyDescent="0.3">
      <c r="A874" t="s">
        <v>1815</v>
      </c>
      <c r="B874" t="s">
        <v>1816</v>
      </c>
      <c r="C874" t="str">
        <f t="shared" si="174"/>
        <v>Aaron Blair</v>
      </c>
      <c r="D874" t="s">
        <v>53</v>
      </c>
      <c r="E874" t="str">
        <f t="shared" si="179"/>
        <v>Male</v>
      </c>
      <c r="F874">
        <v>26</v>
      </c>
      <c r="G874" t="s">
        <v>182</v>
      </c>
      <c r="H874" t="s">
        <v>64</v>
      </c>
      <c r="I874" t="s">
        <v>9</v>
      </c>
      <c r="K874" s="4" t="str" cm="1">
        <f t="array" ref="K874">_xlfn.IFS(J874&lt;=5,"0-5",J874&lt;=10,"6-10",J874&lt;=15,"11-15",J874&lt;=20,"16-20",J874&gt;20,"21+")</f>
        <v>0-5</v>
      </c>
      <c r="L874" t="s">
        <v>162</v>
      </c>
      <c r="M874" s="2" t="str">
        <f>SUBSTITUTE(L874,"$","")</f>
        <v>75</v>
      </c>
      <c r="N874" s="8">
        <f t="shared" si="180"/>
        <v>75</v>
      </c>
      <c r="O874">
        <v>2.1</v>
      </c>
      <c r="P874" t="s">
        <v>60</v>
      </c>
      <c r="Q874" t="s">
        <v>2073</v>
      </c>
    </row>
    <row r="875" spans="1:19" x14ac:dyDescent="0.3">
      <c r="A875" t="s">
        <v>1817</v>
      </c>
      <c r="B875" t="s">
        <v>1818</v>
      </c>
      <c r="C875" t="str">
        <f t="shared" ref="C875:C877" si="186">B875</f>
        <v>Courtney Burton</v>
      </c>
      <c r="D875" t="s">
        <v>69</v>
      </c>
      <c r="E875" t="str">
        <f t="shared" si="179"/>
        <v>Female</v>
      </c>
      <c r="F875">
        <v>36</v>
      </c>
      <c r="G875" t="s">
        <v>104</v>
      </c>
      <c r="H875" t="s">
        <v>105</v>
      </c>
      <c r="I875" t="s">
        <v>65</v>
      </c>
      <c r="J875">
        <v>0</v>
      </c>
      <c r="K875" s="4" t="str" cm="1">
        <f t="array" ref="K875">_xlfn.IFS(J875&lt;=5,"0-5",J875&lt;=10,"6-10",J875&lt;=15,"11-15",J875&lt;=20,"16-20",J875&gt;20,"21+")</f>
        <v>0-5</v>
      </c>
      <c r="L875">
        <v>75</v>
      </c>
      <c r="M875" s="2">
        <f>L875</f>
        <v>75</v>
      </c>
      <c r="N875" s="8">
        <f t="shared" si="180"/>
        <v>75</v>
      </c>
      <c r="O875">
        <v>1.5</v>
      </c>
      <c r="R875" s="1">
        <v>0.73</v>
      </c>
      <c r="S875" s="3">
        <f t="shared" ref="S875:S878" si="187">R875</f>
        <v>0.73</v>
      </c>
    </row>
    <row r="876" spans="1:19" x14ac:dyDescent="0.3">
      <c r="A876" t="s">
        <v>1819</v>
      </c>
      <c r="B876" t="s">
        <v>1820</v>
      </c>
      <c r="C876" t="str">
        <f t="shared" si="186"/>
        <v>Gerald Taylor</v>
      </c>
      <c r="D876" t="s">
        <v>84</v>
      </c>
      <c r="E876" t="str">
        <f t="shared" si="179"/>
        <v>Male</v>
      </c>
      <c r="F876">
        <v>20</v>
      </c>
      <c r="G876" t="s">
        <v>116</v>
      </c>
      <c r="H876" t="s">
        <v>117</v>
      </c>
      <c r="I876" t="s">
        <v>27</v>
      </c>
      <c r="J876">
        <v>2</v>
      </c>
      <c r="K876" s="4" t="str" cm="1">
        <f t="array" ref="K876">_xlfn.IFS(J876&lt;=5,"0-5",J876&lt;=10,"6-10",J876&lt;=15,"11-15",J876&lt;=20,"16-20",J876&gt;20,"21+")</f>
        <v>0-5</v>
      </c>
      <c r="L876" t="s">
        <v>101</v>
      </c>
      <c r="M876" s="2" t="str">
        <f>TRIM(MID(L876,FIND(" ",L876)+1,LEN(L876)))</f>
        <v>30</v>
      </c>
      <c r="N876" s="8">
        <f t="shared" si="180"/>
        <v>30</v>
      </c>
      <c r="O876">
        <v>1.7</v>
      </c>
      <c r="P876" t="b">
        <v>1</v>
      </c>
      <c r="Q876" t="s">
        <v>2073</v>
      </c>
      <c r="R876" s="1">
        <v>0.6</v>
      </c>
      <c r="S876" s="3">
        <f t="shared" si="187"/>
        <v>0.6</v>
      </c>
    </row>
    <row r="877" spans="1:19" x14ac:dyDescent="0.3">
      <c r="A877" t="s">
        <v>1821</v>
      </c>
      <c r="B877" t="s">
        <v>1822</v>
      </c>
      <c r="C877" t="str">
        <f t="shared" si="186"/>
        <v>Mary Ward</v>
      </c>
      <c r="D877" t="s">
        <v>6</v>
      </c>
      <c r="E877" t="str">
        <f t="shared" si="179"/>
        <v>Female</v>
      </c>
      <c r="F877">
        <v>40</v>
      </c>
      <c r="G877" t="s">
        <v>182</v>
      </c>
      <c r="H877" t="s">
        <v>64</v>
      </c>
      <c r="I877" t="s">
        <v>36</v>
      </c>
      <c r="K877" s="4" t="str" cm="1">
        <f t="array" ref="K877">_xlfn.IFS(J877&lt;=5,"0-5",J877&lt;=10,"6-10",J877&lt;=15,"11-15",J877&lt;=20,"16-20",J877&gt;20,"21+")</f>
        <v>0-5</v>
      </c>
      <c r="N877" s="8" t="str">
        <f t="shared" si="180"/>
        <v/>
      </c>
      <c r="O877">
        <v>1.2</v>
      </c>
      <c r="P877">
        <v>1</v>
      </c>
      <c r="Q877" t="s">
        <v>2073</v>
      </c>
      <c r="R877" s="1">
        <v>0.67</v>
      </c>
      <c r="S877" s="3">
        <f t="shared" si="187"/>
        <v>0.67</v>
      </c>
    </row>
    <row r="878" spans="1:19" x14ac:dyDescent="0.3">
      <c r="A878" t="s">
        <v>1823</v>
      </c>
      <c r="B878" t="s">
        <v>1824</v>
      </c>
      <c r="C878" t="str">
        <f>TRIM(MID(B878,FIND(" ",B878)+1,LEN(B878)))</f>
        <v>Lisa Beard DVM</v>
      </c>
      <c r="D878" t="s">
        <v>31</v>
      </c>
      <c r="E878" t="str">
        <f t="shared" si="179"/>
        <v>Female</v>
      </c>
      <c r="F878">
        <v>30</v>
      </c>
      <c r="G878" t="s">
        <v>85</v>
      </c>
      <c r="H878" t="s">
        <v>86</v>
      </c>
      <c r="I878" t="s">
        <v>15</v>
      </c>
      <c r="J878">
        <v>6</v>
      </c>
      <c r="K878" s="4" t="str" cm="1">
        <f t="array" ref="K878">_xlfn.IFS(J878&lt;=5,"0-5",J878&lt;=10,"6-10",J878&lt;=15,"11-15",J878&lt;=20,"16-20",J878&gt;20,"21+")</f>
        <v>6-10</v>
      </c>
      <c r="L878">
        <v>75</v>
      </c>
      <c r="M878" s="2">
        <f>L878</f>
        <v>75</v>
      </c>
      <c r="N878" s="8">
        <f t="shared" si="180"/>
        <v>75</v>
      </c>
      <c r="O878">
        <v>0</v>
      </c>
      <c r="P878" t="b">
        <v>0</v>
      </c>
      <c r="Q878" t="s">
        <v>2072</v>
      </c>
      <c r="R878" s="1">
        <v>0.8</v>
      </c>
      <c r="S878" s="3">
        <f t="shared" si="187"/>
        <v>0.8</v>
      </c>
    </row>
    <row r="879" spans="1:19" x14ac:dyDescent="0.3">
      <c r="A879" t="s">
        <v>1825</v>
      </c>
      <c r="B879" t="s">
        <v>1826</v>
      </c>
      <c r="C879" t="str">
        <f t="shared" ref="C879:C880" si="188">B879</f>
        <v>Larry Wallace</v>
      </c>
      <c r="D879" t="s">
        <v>89</v>
      </c>
      <c r="E879" t="str">
        <f t="shared" si="179"/>
        <v>Male</v>
      </c>
      <c r="F879">
        <v>51</v>
      </c>
      <c r="G879" t="s">
        <v>13</v>
      </c>
      <c r="H879" t="s">
        <v>14</v>
      </c>
      <c r="I879" t="s">
        <v>22</v>
      </c>
      <c r="J879">
        <v>21</v>
      </c>
      <c r="K879" s="4" t="str" cm="1">
        <f t="array" ref="K879">_xlfn.IFS(J879&lt;=5,"0-5",J879&lt;=10,"6-10",J879&lt;=15,"11-15",J879&lt;=20,"16-20",J879&gt;20,"21+")</f>
        <v>21+</v>
      </c>
      <c r="L879">
        <v>20</v>
      </c>
      <c r="M879" s="2">
        <f>L879</f>
        <v>20</v>
      </c>
      <c r="N879" s="8">
        <f t="shared" si="180"/>
        <v>20</v>
      </c>
      <c r="P879" t="s">
        <v>66</v>
      </c>
      <c r="Q879" t="s">
        <v>2073</v>
      </c>
    </row>
    <row r="880" spans="1:19" x14ac:dyDescent="0.3">
      <c r="A880" t="s">
        <v>1827</v>
      </c>
      <c r="B880" t="s">
        <v>1828</v>
      </c>
      <c r="C880" t="str">
        <f t="shared" si="188"/>
        <v>Jeremiah Thompson</v>
      </c>
      <c r="D880" t="s">
        <v>89</v>
      </c>
      <c r="E880" t="str">
        <f t="shared" si="179"/>
        <v>Male</v>
      </c>
      <c r="F880">
        <v>46</v>
      </c>
      <c r="G880" t="s">
        <v>50</v>
      </c>
      <c r="H880" t="s">
        <v>14</v>
      </c>
      <c r="I880" t="s">
        <v>65</v>
      </c>
      <c r="J880">
        <v>24</v>
      </c>
      <c r="K880" s="4" t="str" cm="1">
        <f t="array" ref="K880">_xlfn.IFS(J880&lt;=5,"0-5",J880&lt;=10,"6-10",J880&lt;=15,"11-15",J880&lt;=20,"16-20",J880&gt;20,"21+")</f>
        <v>21+</v>
      </c>
      <c r="L880">
        <v>40</v>
      </c>
      <c r="M880" s="2">
        <f>L880</f>
        <v>40</v>
      </c>
      <c r="N880" s="8">
        <f t="shared" si="180"/>
        <v>40</v>
      </c>
      <c r="O880">
        <v>3.3</v>
      </c>
      <c r="P880">
        <v>1</v>
      </c>
      <c r="Q880" t="s">
        <v>2073</v>
      </c>
      <c r="R880" s="1">
        <v>0.87</v>
      </c>
      <c r="S880" s="3">
        <f>R880</f>
        <v>0.87</v>
      </c>
    </row>
    <row r="881" spans="1:19" x14ac:dyDescent="0.3">
      <c r="A881" t="s">
        <v>1829</v>
      </c>
      <c r="B881" t="s">
        <v>1830</v>
      </c>
      <c r="C881" t="str">
        <f>TRIM(MID(B881,FIND(" ",B881)+1,LEN(B881)))</f>
        <v>Jessica Williams DVM</v>
      </c>
      <c r="D881" t="s">
        <v>12</v>
      </c>
      <c r="E881" t="str">
        <f t="shared" si="179"/>
        <v>Female</v>
      </c>
      <c r="F881">
        <v>25</v>
      </c>
      <c r="G881" t="s">
        <v>104</v>
      </c>
      <c r="H881" t="s">
        <v>105</v>
      </c>
      <c r="I881" t="s">
        <v>36</v>
      </c>
      <c r="J881">
        <v>6</v>
      </c>
      <c r="K881" s="4" t="str" cm="1">
        <f t="array" ref="K881">_xlfn.IFS(J881&lt;=5,"0-5",J881&lt;=10,"6-10",J881&lt;=15,"11-15",J881&lt;=20,"16-20",J881&gt;20,"21+")</f>
        <v>6-10</v>
      </c>
      <c r="L881">
        <v>20</v>
      </c>
      <c r="M881" s="2">
        <f>L881</f>
        <v>20</v>
      </c>
      <c r="N881" s="8">
        <f t="shared" si="180"/>
        <v>20</v>
      </c>
      <c r="O881">
        <v>2.1</v>
      </c>
      <c r="P881" t="s">
        <v>151</v>
      </c>
      <c r="Q881" t="s">
        <v>2072</v>
      </c>
    </row>
    <row r="882" spans="1:19" x14ac:dyDescent="0.3">
      <c r="A882" t="s">
        <v>1831</v>
      </c>
      <c r="B882" t="s">
        <v>1832</v>
      </c>
      <c r="C882" t="str">
        <f t="shared" ref="C882:C923" si="189">B882</f>
        <v>Martin Moreno</v>
      </c>
      <c r="D882" t="s">
        <v>19</v>
      </c>
      <c r="E882" t="str">
        <f t="shared" si="179"/>
        <v>Male</v>
      </c>
      <c r="F882">
        <v>53</v>
      </c>
      <c r="G882" t="s">
        <v>34</v>
      </c>
      <c r="H882" t="s">
        <v>35</v>
      </c>
      <c r="I882" t="s">
        <v>27</v>
      </c>
      <c r="J882">
        <v>32</v>
      </c>
      <c r="K882" s="4" t="str" cm="1">
        <f t="array" ref="K882">_xlfn.IFS(J882&lt;=5,"0-5",J882&lt;=10,"6-10",J882&lt;=15,"11-15",J882&lt;=20,"16-20",J882&gt;20,"21+")</f>
        <v>21+</v>
      </c>
      <c r="L882">
        <v>50</v>
      </c>
      <c r="M882" s="2">
        <f>L882</f>
        <v>50</v>
      </c>
      <c r="N882" s="8">
        <f t="shared" si="180"/>
        <v>50</v>
      </c>
      <c r="P882">
        <v>1</v>
      </c>
      <c r="Q882" t="s">
        <v>2073</v>
      </c>
    </row>
    <row r="883" spans="1:19" x14ac:dyDescent="0.3">
      <c r="A883" t="s">
        <v>1833</v>
      </c>
      <c r="B883" t="s">
        <v>1834</v>
      </c>
      <c r="C883" t="str">
        <f t="shared" si="189"/>
        <v>Yolanda Proctor</v>
      </c>
      <c r="D883" t="s">
        <v>12</v>
      </c>
      <c r="E883" t="str">
        <f t="shared" si="179"/>
        <v>Female</v>
      </c>
      <c r="F883">
        <v>50</v>
      </c>
      <c r="G883" t="s">
        <v>131</v>
      </c>
      <c r="H883" t="s">
        <v>132</v>
      </c>
      <c r="I883" t="s">
        <v>15</v>
      </c>
      <c r="J883">
        <v>31</v>
      </c>
      <c r="K883" s="4" t="str" cm="1">
        <f t="array" ref="K883">_xlfn.IFS(J883&lt;=5,"0-5",J883&lt;=10,"6-10",J883&lt;=15,"11-15",J883&lt;=20,"16-20",J883&gt;20,"21+")</f>
        <v>21+</v>
      </c>
      <c r="L883" t="s">
        <v>16</v>
      </c>
      <c r="M883" s="2" t="str">
        <f>TRIM(MID(L883,FIND(" ",L883)+1,LEN(L883)))</f>
        <v>100</v>
      </c>
      <c r="N883" s="8">
        <f t="shared" si="180"/>
        <v>100</v>
      </c>
      <c r="O883">
        <v>2.9</v>
      </c>
      <c r="P883" t="s">
        <v>66</v>
      </c>
      <c r="Q883" t="s">
        <v>2073</v>
      </c>
      <c r="R883" s="1">
        <v>0.89</v>
      </c>
      <c r="S883" s="3">
        <f t="shared" ref="S883:S890" si="190">R883</f>
        <v>0.89</v>
      </c>
    </row>
    <row r="884" spans="1:19" x14ac:dyDescent="0.3">
      <c r="A884" t="s">
        <v>1835</v>
      </c>
      <c r="B884" t="s">
        <v>1836</v>
      </c>
      <c r="C884" t="str">
        <f t="shared" si="189"/>
        <v>Allen Turner</v>
      </c>
      <c r="D884" t="s">
        <v>19</v>
      </c>
      <c r="E884" t="str">
        <f t="shared" si="179"/>
        <v>Male</v>
      </c>
      <c r="F884">
        <v>45</v>
      </c>
      <c r="G884" t="s">
        <v>104</v>
      </c>
      <c r="H884" t="s">
        <v>105</v>
      </c>
      <c r="I884" t="s">
        <v>36</v>
      </c>
      <c r="K884" s="4" t="str" cm="1">
        <f t="array" ref="K884">_xlfn.IFS(J884&lt;=5,"0-5",J884&lt;=10,"6-10",J884&lt;=15,"11-15",J884&lt;=20,"16-20",J884&gt;20,"21+")</f>
        <v>0-5</v>
      </c>
      <c r="L884" t="s">
        <v>306</v>
      </c>
      <c r="M884" s="2" t="str">
        <f>TRIM(MID(L884,FIND(" ",L884)+1,LEN(L884)))</f>
        <v>20</v>
      </c>
      <c r="N884" s="8">
        <f t="shared" si="180"/>
        <v>20</v>
      </c>
      <c r="O884">
        <v>3.3</v>
      </c>
      <c r="P884" t="b">
        <v>1</v>
      </c>
      <c r="Q884" t="s">
        <v>2073</v>
      </c>
      <c r="R884" s="1">
        <v>0.93</v>
      </c>
      <c r="S884" s="3">
        <f t="shared" si="190"/>
        <v>0.93</v>
      </c>
    </row>
    <row r="885" spans="1:19" x14ac:dyDescent="0.3">
      <c r="A885" t="s">
        <v>1837</v>
      </c>
      <c r="B885" t="s">
        <v>1838</v>
      </c>
      <c r="C885" t="str">
        <f t="shared" si="189"/>
        <v>Beth Huff</v>
      </c>
      <c r="D885" t="s">
        <v>26</v>
      </c>
      <c r="E885" t="str">
        <f t="shared" si="179"/>
        <v>Female</v>
      </c>
      <c r="F885">
        <v>48</v>
      </c>
      <c r="G885" t="s">
        <v>120</v>
      </c>
      <c r="H885" t="s">
        <v>14</v>
      </c>
      <c r="I885" t="s">
        <v>70</v>
      </c>
      <c r="J885">
        <v>24</v>
      </c>
      <c r="K885" s="4" t="str" cm="1">
        <f t="array" ref="K885">_xlfn.IFS(J885&lt;=5,"0-5",J885&lt;=10,"6-10",J885&lt;=15,"11-15",J885&lt;=20,"16-20",J885&gt;20,"21+")</f>
        <v>21+</v>
      </c>
      <c r="L885">
        <v>100</v>
      </c>
      <c r="M885" s="2">
        <f>L885</f>
        <v>100</v>
      </c>
      <c r="N885" s="8">
        <f t="shared" si="180"/>
        <v>100</v>
      </c>
      <c r="O885">
        <v>4.8</v>
      </c>
      <c r="P885">
        <v>1</v>
      </c>
      <c r="Q885" t="s">
        <v>2073</v>
      </c>
      <c r="R885" s="1">
        <v>0.84</v>
      </c>
      <c r="S885" s="3">
        <f t="shared" si="190"/>
        <v>0.84</v>
      </c>
    </row>
    <row r="886" spans="1:19" x14ac:dyDescent="0.3">
      <c r="A886" t="s">
        <v>1839</v>
      </c>
      <c r="B886" t="s">
        <v>1840</v>
      </c>
      <c r="C886" t="str">
        <f t="shared" si="189"/>
        <v>John Mckinney</v>
      </c>
      <c r="D886" t="s">
        <v>53</v>
      </c>
      <c r="E886" t="str">
        <f t="shared" si="179"/>
        <v>Male</v>
      </c>
      <c r="F886">
        <v>30</v>
      </c>
      <c r="G886" t="s">
        <v>41</v>
      </c>
      <c r="H886" t="s">
        <v>42</v>
      </c>
      <c r="I886" t="s">
        <v>81</v>
      </c>
      <c r="K886" s="4" t="str" cm="1">
        <f t="array" ref="K886">_xlfn.IFS(J886&lt;=5,"0-5",J886&lt;=10,"6-10",J886&lt;=15,"11-15",J886&lt;=20,"16-20",J886&gt;20,"21+")</f>
        <v>0-5</v>
      </c>
      <c r="L886" t="s">
        <v>221</v>
      </c>
      <c r="M886" s="2" t="str">
        <f>SUBSTITUTE(L886,"$","")</f>
        <v>100</v>
      </c>
      <c r="N886" s="8">
        <f t="shared" si="180"/>
        <v>100</v>
      </c>
      <c r="O886">
        <v>4.5</v>
      </c>
      <c r="R886" s="1">
        <v>0.78</v>
      </c>
      <c r="S886" s="3">
        <f t="shared" si="190"/>
        <v>0.78</v>
      </c>
    </row>
    <row r="887" spans="1:19" x14ac:dyDescent="0.3">
      <c r="A887" t="s">
        <v>1841</v>
      </c>
      <c r="B887" t="s">
        <v>559</v>
      </c>
      <c r="C887" t="str">
        <f t="shared" si="189"/>
        <v>Sarah Ho</v>
      </c>
      <c r="D887" t="s">
        <v>26</v>
      </c>
      <c r="E887" t="str">
        <f t="shared" si="179"/>
        <v>Female</v>
      </c>
      <c r="F887">
        <v>33</v>
      </c>
      <c r="G887" t="s">
        <v>34</v>
      </c>
      <c r="H887" t="s">
        <v>35</v>
      </c>
      <c r="I887" t="s">
        <v>65</v>
      </c>
      <c r="J887">
        <v>6</v>
      </c>
      <c r="K887" s="4" t="str" cm="1">
        <f t="array" ref="K887">_xlfn.IFS(J887&lt;=5,"0-5",J887&lt;=10,"6-10",J887&lt;=15,"11-15",J887&lt;=20,"16-20",J887&gt;20,"21+")</f>
        <v>6-10</v>
      </c>
      <c r="L887" t="s">
        <v>56</v>
      </c>
      <c r="M887" s="2" t="str">
        <f>SUBSTITUTE(L887,"$","")</f>
        <v>50</v>
      </c>
      <c r="N887" s="8">
        <f t="shared" si="180"/>
        <v>50</v>
      </c>
      <c r="O887">
        <v>3.1</v>
      </c>
      <c r="P887" t="s">
        <v>151</v>
      </c>
      <c r="Q887" t="s">
        <v>2072</v>
      </c>
      <c r="R887" s="1">
        <v>0.9</v>
      </c>
      <c r="S887" s="3">
        <f t="shared" si="190"/>
        <v>0.9</v>
      </c>
    </row>
    <row r="888" spans="1:19" x14ac:dyDescent="0.3">
      <c r="A888" t="s">
        <v>1842</v>
      </c>
      <c r="B888" t="s">
        <v>1843</v>
      </c>
      <c r="C888" t="str">
        <f t="shared" si="189"/>
        <v>Lindsey Wang</v>
      </c>
      <c r="D888" t="s">
        <v>26</v>
      </c>
      <c r="E888" t="str">
        <f t="shared" si="179"/>
        <v>Female</v>
      </c>
      <c r="F888">
        <v>50</v>
      </c>
      <c r="G888" t="s">
        <v>59</v>
      </c>
      <c r="H888" t="s">
        <v>14</v>
      </c>
      <c r="I888" t="s">
        <v>81</v>
      </c>
      <c r="J888">
        <v>11</v>
      </c>
      <c r="K888" s="4" t="str" cm="1">
        <f t="array" ref="K888">_xlfn.IFS(J888&lt;=5,"0-5",J888&lt;=10,"6-10",J888&lt;=15,"11-15",J888&lt;=20,"16-20",J888&gt;20,"21+")</f>
        <v>11-15</v>
      </c>
      <c r="N888" s="8" t="str">
        <f t="shared" si="180"/>
        <v/>
      </c>
      <c r="O888">
        <v>4.9000000000000004</v>
      </c>
      <c r="P888">
        <v>1</v>
      </c>
      <c r="Q888" t="s">
        <v>2073</v>
      </c>
      <c r="R888" s="1">
        <v>0.88</v>
      </c>
      <c r="S888" s="3">
        <f t="shared" si="190"/>
        <v>0.88</v>
      </c>
    </row>
    <row r="889" spans="1:19" x14ac:dyDescent="0.3">
      <c r="A889" t="s">
        <v>1844</v>
      </c>
      <c r="B889" t="s">
        <v>1845</v>
      </c>
      <c r="C889" t="str">
        <f t="shared" si="189"/>
        <v>Margaret Schwartz</v>
      </c>
      <c r="D889" t="s">
        <v>69</v>
      </c>
      <c r="E889" t="str">
        <f t="shared" si="179"/>
        <v>Female</v>
      </c>
      <c r="F889">
        <v>24</v>
      </c>
      <c r="G889" t="s">
        <v>41</v>
      </c>
      <c r="H889" t="s">
        <v>42</v>
      </c>
      <c r="I889" t="s">
        <v>43</v>
      </c>
      <c r="K889" s="4" t="str" cm="1">
        <f t="array" ref="K889">_xlfn.IFS(J889&lt;=5,"0-5",J889&lt;=10,"6-10",J889&lt;=15,"11-15",J889&lt;=20,"16-20",J889&gt;20,"21+")</f>
        <v>0-5</v>
      </c>
      <c r="L889" t="s">
        <v>113</v>
      </c>
      <c r="M889" s="2" t="str">
        <f>SUBSTITUTE(L889,"$","")</f>
        <v>20</v>
      </c>
      <c r="N889" s="8">
        <f t="shared" si="180"/>
        <v>20</v>
      </c>
      <c r="O889">
        <v>0</v>
      </c>
      <c r="P889">
        <v>0</v>
      </c>
      <c r="Q889" t="s">
        <v>2072</v>
      </c>
      <c r="R889" s="1">
        <v>0.76</v>
      </c>
      <c r="S889" s="3">
        <f t="shared" si="190"/>
        <v>0.76</v>
      </c>
    </row>
    <row r="890" spans="1:19" x14ac:dyDescent="0.3">
      <c r="A890" t="s">
        <v>1846</v>
      </c>
      <c r="B890" t="s">
        <v>1847</v>
      </c>
      <c r="C890" t="str">
        <f t="shared" si="189"/>
        <v>Kyle Ray</v>
      </c>
      <c r="D890" t="s">
        <v>19</v>
      </c>
      <c r="E890" t="str">
        <f t="shared" si="179"/>
        <v>Male</v>
      </c>
      <c r="F890">
        <v>38</v>
      </c>
      <c r="G890" t="s">
        <v>7</v>
      </c>
      <c r="H890" t="s">
        <v>8</v>
      </c>
      <c r="I890" t="s">
        <v>27</v>
      </c>
      <c r="J890">
        <v>14</v>
      </c>
      <c r="K890" s="4" t="str" cm="1">
        <f t="array" ref="K890">_xlfn.IFS(J890&lt;=5,"0-5",J890&lt;=10,"6-10",J890&lt;=15,"11-15",J890&lt;=20,"16-20",J890&gt;20,"21+")</f>
        <v>11-15</v>
      </c>
      <c r="L890">
        <v>75</v>
      </c>
      <c r="M890" s="2">
        <f>L890</f>
        <v>75</v>
      </c>
      <c r="N890" s="8">
        <f t="shared" si="180"/>
        <v>75</v>
      </c>
      <c r="O890">
        <v>1.5</v>
      </c>
      <c r="P890" t="s">
        <v>23</v>
      </c>
      <c r="Q890" t="s">
        <v>2072</v>
      </c>
      <c r="R890" s="1">
        <v>0.62</v>
      </c>
      <c r="S890" s="3">
        <f t="shared" si="190"/>
        <v>0.62</v>
      </c>
    </row>
    <row r="891" spans="1:19" x14ac:dyDescent="0.3">
      <c r="A891" t="s">
        <v>1848</v>
      </c>
      <c r="B891" t="s">
        <v>1849</v>
      </c>
      <c r="C891" t="str">
        <f t="shared" si="189"/>
        <v>Isaac Hebert</v>
      </c>
      <c r="D891" t="s">
        <v>53</v>
      </c>
      <c r="E891" t="str">
        <f t="shared" si="179"/>
        <v>Male</v>
      </c>
      <c r="F891">
        <v>56</v>
      </c>
      <c r="G891" t="s">
        <v>77</v>
      </c>
      <c r="H891" t="s">
        <v>78</v>
      </c>
      <c r="I891" t="s">
        <v>81</v>
      </c>
      <c r="J891">
        <v>2</v>
      </c>
      <c r="K891" s="4" t="str" cm="1">
        <f t="array" ref="K891">_xlfn.IFS(J891&lt;=5,"0-5",J891&lt;=10,"6-10",J891&lt;=15,"11-15",J891&lt;=20,"16-20",J891&gt;20,"21+")</f>
        <v>0-5</v>
      </c>
      <c r="L891" t="s">
        <v>162</v>
      </c>
      <c r="M891" s="2" t="str">
        <f>SUBSTITUTE(L891,"$","")</f>
        <v>75</v>
      </c>
      <c r="N891" s="8">
        <f t="shared" si="180"/>
        <v>75</v>
      </c>
      <c r="O891">
        <v>2.4</v>
      </c>
      <c r="P891" t="s">
        <v>23</v>
      </c>
      <c r="Q891" t="s">
        <v>2072</v>
      </c>
    </row>
    <row r="892" spans="1:19" x14ac:dyDescent="0.3">
      <c r="A892" t="s">
        <v>1850</v>
      </c>
      <c r="B892" t="s">
        <v>1851</v>
      </c>
      <c r="C892" t="str">
        <f t="shared" si="189"/>
        <v>Michele Jones</v>
      </c>
      <c r="D892" t="s">
        <v>6</v>
      </c>
      <c r="E892" t="str">
        <f t="shared" si="179"/>
        <v>Female</v>
      </c>
      <c r="F892">
        <v>41</v>
      </c>
      <c r="G892" t="s">
        <v>116</v>
      </c>
      <c r="H892" t="s">
        <v>117</v>
      </c>
      <c r="I892" t="s">
        <v>81</v>
      </c>
      <c r="J892">
        <v>2</v>
      </c>
      <c r="K892" s="4" t="str" cm="1">
        <f t="array" ref="K892">_xlfn.IFS(J892&lt;=5,"0-5",J892&lt;=10,"6-10",J892&lt;=15,"11-15",J892&lt;=20,"16-20",J892&gt;20,"21+")</f>
        <v>0-5</v>
      </c>
      <c r="L892" t="s">
        <v>16</v>
      </c>
      <c r="M892" s="2" t="str">
        <f>TRIM(MID(L892,FIND(" ",L892)+1,LEN(L892)))</f>
        <v>100</v>
      </c>
      <c r="N892" s="8">
        <f t="shared" si="180"/>
        <v>100</v>
      </c>
      <c r="O892">
        <v>4.5</v>
      </c>
      <c r="P892" t="s">
        <v>23</v>
      </c>
      <c r="Q892" t="s">
        <v>2072</v>
      </c>
      <c r="R892">
        <v>75</v>
      </c>
      <c r="S892" s="3">
        <f t="shared" ref="S892:S893" si="191">R892/100</f>
        <v>0.75</v>
      </c>
    </row>
    <row r="893" spans="1:19" x14ac:dyDescent="0.3">
      <c r="A893" t="s">
        <v>1852</v>
      </c>
      <c r="B893" t="s">
        <v>1853</v>
      </c>
      <c r="C893" t="str">
        <f t="shared" si="189"/>
        <v>Austin Allen</v>
      </c>
      <c r="D893" t="s">
        <v>89</v>
      </c>
      <c r="E893" t="str">
        <f t="shared" si="179"/>
        <v>Male</v>
      </c>
      <c r="G893" t="s">
        <v>7</v>
      </c>
      <c r="H893" t="s">
        <v>8</v>
      </c>
      <c r="I893" t="s">
        <v>65</v>
      </c>
      <c r="J893">
        <v>11</v>
      </c>
      <c r="K893" s="4" t="str" cm="1">
        <f t="array" ref="K893">_xlfn.IFS(J893&lt;=5,"0-5",J893&lt;=10,"6-10",J893&lt;=15,"11-15",J893&lt;=20,"16-20",J893&gt;20,"21+")</f>
        <v>11-15</v>
      </c>
      <c r="L893" t="s">
        <v>16</v>
      </c>
      <c r="M893" s="2" t="str">
        <f>TRIM(MID(L893,FIND(" ",L893)+1,LEN(L893)))</f>
        <v>100</v>
      </c>
      <c r="N893" s="8">
        <f t="shared" si="180"/>
        <v>100</v>
      </c>
      <c r="O893">
        <v>2.5</v>
      </c>
      <c r="P893" t="s">
        <v>60</v>
      </c>
      <c r="Q893" t="s">
        <v>2073</v>
      </c>
      <c r="R893">
        <v>80</v>
      </c>
      <c r="S893" s="3">
        <f t="shared" si="191"/>
        <v>0.8</v>
      </c>
    </row>
    <row r="894" spans="1:19" x14ac:dyDescent="0.3">
      <c r="A894" t="s">
        <v>1854</v>
      </c>
      <c r="B894" t="s">
        <v>1855</v>
      </c>
      <c r="C894" t="str">
        <f t="shared" si="189"/>
        <v>Haley Castro</v>
      </c>
      <c r="D894" t="s">
        <v>6</v>
      </c>
      <c r="E894" t="str">
        <f t="shared" si="179"/>
        <v>Female</v>
      </c>
      <c r="F894">
        <v>42</v>
      </c>
      <c r="G894" t="s">
        <v>20</v>
      </c>
      <c r="H894" t="s">
        <v>21</v>
      </c>
      <c r="I894" t="s">
        <v>22</v>
      </c>
      <c r="J894">
        <v>13</v>
      </c>
      <c r="K894" s="4" t="str" cm="1">
        <f t="array" ref="K894">_xlfn.IFS(J894&lt;=5,"0-5",J894&lt;=10,"6-10",J894&lt;=15,"11-15",J894&lt;=20,"16-20",J894&gt;20,"21+")</f>
        <v>11-15</v>
      </c>
      <c r="L894">
        <v>30</v>
      </c>
      <c r="M894" s="2">
        <f>L894</f>
        <v>30</v>
      </c>
      <c r="N894" s="8">
        <f t="shared" si="180"/>
        <v>30</v>
      </c>
      <c r="O894">
        <v>3.3</v>
      </c>
      <c r="R894" s="1">
        <v>0.63</v>
      </c>
      <c r="S894" s="3">
        <f t="shared" ref="S894:S895" si="192">R894</f>
        <v>0.63</v>
      </c>
    </row>
    <row r="895" spans="1:19" x14ac:dyDescent="0.3">
      <c r="A895" t="s">
        <v>1856</v>
      </c>
      <c r="B895" t="s">
        <v>1857</v>
      </c>
      <c r="C895" t="str">
        <f t="shared" si="189"/>
        <v>David Armstrong</v>
      </c>
      <c r="D895" t="s">
        <v>89</v>
      </c>
      <c r="E895" t="str">
        <f t="shared" si="179"/>
        <v>Male</v>
      </c>
      <c r="F895">
        <v>26</v>
      </c>
      <c r="G895" t="s">
        <v>85</v>
      </c>
      <c r="H895" t="s">
        <v>86</v>
      </c>
      <c r="I895" t="s">
        <v>9</v>
      </c>
      <c r="J895">
        <v>7</v>
      </c>
      <c r="K895" s="4" t="str" cm="1">
        <f t="array" ref="K895">_xlfn.IFS(J895&lt;=5,"0-5",J895&lt;=10,"6-10",J895&lt;=15,"11-15",J895&lt;=20,"16-20",J895&gt;20,"21+")</f>
        <v>6-10</v>
      </c>
      <c r="L895">
        <v>75</v>
      </c>
      <c r="M895" s="2">
        <f>L895</f>
        <v>75</v>
      </c>
      <c r="N895" s="8">
        <f t="shared" si="180"/>
        <v>75</v>
      </c>
      <c r="O895">
        <v>3</v>
      </c>
      <c r="R895" s="1">
        <v>0.84</v>
      </c>
      <c r="S895" s="3">
        <f t="shared" si="192"/>
        <v>0.84</v>
      </c>
    </row>
    <row r="896" spans="1:19" x14ac:dyDescent="0.3">
      <c r="A896" t="s">
        <v>1858</v>
      </c>
      <c r="B896" t="s">
        <v>1859</v>
      </c>
      <c r="C896" t="str">
        <f t="shared" si="189"/>
        <v>Wendy Mitchell</v>
      </c>
      <c r="D896" t="s">
        <v>6</v>
      </c>
      <c r="E896" t="str">
        <f t="shared" si="179"/>
        <v>Female</v>
      </c>
      <c r="F896">
        <v>44</v>
      </c>
      <c r="G896" t="s">
        <v>120</v>
      </c>
      <c r="H896" t="s">
        <v>14</v>
      </c>
      <c r="I896" t="s">
        <v>70</v>
      </c>
      <c r="J896">
        <v>25</v>
      </c>
      <c r="K896" s="4" t="str" cm="1">
        <f t="array" ref="K896">_xlfn.IFS(J896&lt;=5,"0-5",J896&lt;=10,"6-10",J896&lt;=15,"11-15",J896&lt;=20,"16-20",J896&gt;20,"21+")</f>
        <v>21+</v>
      </c>
      <c r="L896">
        <v>75</v>
      </c>
      <c r="M896" s="2">
        <f>L896</f>
        <v>75</v>
      </c>
      <c r="N896" s="8">
        <f t="shared" si="180"/>
        <v>75</v>
      </c>
      <c r="O896">
        <v>2.7</v>
      </c>
      <c r="P896">
        <v>1</v>
      </c>
      <c r="Q896" t="s">
        <v>2073</v>
      </c>
      <c r="R896">
        <v>78</v>
      </c>
      <c r="S896" s="3">
        <f>R896/100</f>
        <v>0.78</v>
      </c>
    </row>
    <row r="897" spans="1:19" x14ac:dyDescent="0.3">
      <c r="A897" t="s">
        <v>1860</v>
      </c>
      <c r="B897" t="s">
        <v>1861</v>
      </c>
      <c r="C897" t="str">
        <f t="shared" si="189"/>
        <v>Anthony Hernandez</v>
      </c>
      <c r="D897" t="s">
        <v>53</v>
      </c>
      <c r="E897" t="str">
        <f t="shared" si="179"/>
        <v>Male</v>
      </c>
      <c r="F897">
        <v>46</v>
      </c>
      <c r="G897" t="s">
        <v>120</v>
      </c>
      <c r="H897" t="s">
        <v>14</v>
      </c>
      <c r="I897" t="s">
        <v>22</v>
      </c>
      <c r="J897">
        <v>20</v>
      </c>
      <c r="K897" s="4" t="str" cm="1">
        <f t="array" ref="K897">_xlfn.IFS(J897&lt;=5,"0-5",J897&lt;=10,"6-10",J897&lt;=15,"11-15",J897&lt;=20,"16-20",J897&gt;20,"21+")</f>
        <v>16-20</v>
      </c>
      <c r="L897" t="s">
        <v>113</v>
      </c>
      <c r="M897" s="2" t="str">
        <f>SUBSTITUTE(L897,"$","")</f>
        <v>20</v>
      </c>
      <c r="N897" s="8">
        <f t="shared" si="180"/>
        <v>20</v>
      </c>
      <c r="O897">
        <v>1.2</v>
      </c>
      <c r="P897" t="b">
        <v>0</v>
      </c>
      <c r="Q897" t="s">
        <v>2072</v>
      </c>
      <c r="R897" s="1">
        <v>0.74</v>
      </c>
      <c r="S897" s="3">
        <f t="shared" ref="S897:S898" si="193">R897</f>
        <v>0.74</v>
      </c>
    </row>
    <row r="898" spans="1:19" x14ac:dyDescent="0.3">
      <c r="A898" t="s">
        <v>1862</v>
      </c>
      <c r="B898" t="s">
        <v>1863</v>
      </c>
      <c r="C898" t="str">
        <f t="shared" si="189"/>
        <v>Erica Johnson</v>
      </c>
      <c r="D898" t="s">
        <v>31</v>
      </c>
      <c r="E898" t="str">
        <f t="shared" ref="E898:E961" si="194">IF(LOWER(LEFT(D898,1))="f","Female","Male")</f>
        <v>Female</v>
      </c>
      <c r="F898">
        <v>36</v>
      </c>
      <c r="G898" t="s">
        <v>50</v>
      </c>
      <c r="H898" t="s">
        <v>14</v>
      </c>
      <c r="I898" t="s">
        <v>65</v>
      </c>
      <c r="J898">
        <v>8</v>
      </c>
      <c r="K898" s="4" t="str" cm="1">
        <f t="array" ref="K898">_xlfn.IFS(J898&lt;=5,"0-5",J898&lt;=10,"6-10",J898&lt;=15,"11-15",J898&lt;=20,"16-20",J898&gt;20,"21+")</f>
        <v>6-10</v>
      </c>
      <c r="L898">
        <v>50</v>
      </c>
      <c r="M898" s="2">
        <f>L898</f>
        <v>50</v>
      </c>
      <c r="N898" s="8">
        <f t="shared" si="180"/>
        <v>50</v>
      </c>
      <c r="O898">
        <v>4.3</v>
      </c>
      <c r="P898">
        <v>0</v>
      </c>
      <c r="Q898" t="s">
        <v>2072</v>
      </c>
      <c r="R898" s="1">
        <v>0.9</v>
      </c>
      <c r="S898" s="3">
        <f t="shared" si="193"/>
        <v>0.9</v>
      </c>
    </row>
    <row r="899" spans="1:19" x14ac:dyDescent="0.3">
      <c r="A899" t="s">
        <v>1864</v>
      </c>
      <c r="B899" t="s">
        <v>1865</v>
      </c>
      <c r="C899" t="str">
        <f t="shared" si="189"/>
        <v>Randall Barrett</v>
      </c>
      <c r="D899" t="s">
        <v>89</v>
      </c>
      <c r="E899" t="str">
        <f t="shared" si="194"/>
        <v>Male</v>
      </c>
      <c r="F899">
        <v>26</v>
      </c>
      <c r="G899" t="s">
        <v>34</v>
      </c>
      <c r="H899" t="s">
        <v>35</v>
      </c>
      <c r="I899" t="s">
        <v>36</v>
      </c>
      <c r="J899">
        <v>6</v>
      </c>
      <c r="K899" s="4" t="str" cm="1">
        <f t="array" ref="K899">_xlfn.IFS(J899&lt;=5,"0-5",J899&lt;=10,"6-10",J899&lt;=15,"11-15",J899&lt;=20,"16-20",J899&gt;20,"21+")</f>
        <v>6-10</v>
      </c>
      <c r="L899" t="s">
        <v>28</v>
      </c>
      <c r="M899" s="2" t="str">
        <f>SUBSTITUTE(L899,"$","")</f>
        <v>40</v>
      </c>
      <c r="N899" s="8">
        <f t="shared" ref="N899:N962" si="195">IF(M899="", "", VALUE(M899))</f>
        <v>40</v>
      </c>
      <c r="O899">
        <v>1.3</v>
      </c>
      <c r="P899">
        <v>0</v>
      </c>
      <c r="Q899" t="s">
        <v>2072</v>
      </c>
    </row>
    <row r="900" spans="1:19" x14ac:dyDescent="0.3">
      <c r="A900" t="s">
        <v>1866</v>
      </c>
      <c r="B900" t="s">
        <v>1867</v>
      </c>
      <c r="C900" t="str">
        <f t="shared" si="189"/>
        <v>Nathan Huff</v>
      </c>
      <c r="D900" t="s">
        <v>19</v>
      </c>
      <c r="E900" t="str">
        <f t="shared" si="194"/>
        <v>Male</v>
      </c>
      <c r="F900">
        <v>21</v>
      </c>
      <c r="G900" t="s">
        <v>20</v>
      </c>
      <c r="H900" t="s">
        <v>21</v>
      </c>
      <c r="I900" t="s">
        <v>65</v>
      </c>
      <c r="J900">
        <v>3</v>
      </c>
      <c r="K900" s="4" t="str" cm="1">
        <f t="array" ref="K900">_xlfn.IFS(J900&lt;=5,"0-5",J900&lt;=10,"6-10",J900&lt;=15,"11-15",J900&lt;=20,"16-20",J900&gt;20,"21+")</f>
        <v>0-5</v>
      </c>
      <c r="L900">
        <v>50</v>
      </c>
      <c r="M900" s="2">
        <f>L900</f>
        <v>50</v>
      </c>
      <c r="N900" s="8">
        <f t="shared" si="195"/>
        <v>50</v>
      </c>
      <c r="O900">
        <v>4.5999999999999996</v>
      </c>
      <c r="P900" t="s">
        <v>66</v>
      </c>
      <c r="Q900" t="s">
        <v>2073</v>
      </c>
    </row>
    <row r="901" spans="1:19" x14ac:dyDescent="0.3">
      <c r="A901" t="s">
        <v>1868</v>
      </c>
      <c r="B901" t="s">
        <v>1869</v>
      </c>
      <c r="C901" t="str">
        <f t="shared" si="189"/>
        <v>Robin Walsh</v>
      </c>
      <c r="D901" t="s">
        <v>6</v>
      </c>
      <c r="E901" t="str">
        <f t="shared" si="194"/>
        <v>Female</v>
      </c>
      <c r="F901">
        <v>39</v>
      </c>
      <c r="G901" t="s">
        <v>41</v>
      </c>
      <c r="H901" t="s">
        <v>42</v>
      </c>
      <c r="I901" t="s">
        <v>65</v>
      </c>
      <c r="J901">
        <v>18</v>
      </c>
      <c r="K901" s="4" t="str" cm="1">
        <f t="array" ref="K901">_xlfn.IFS(J901&lt;=5,"0-5",J901&lt;=10,"6-10",J901&lt;=15,"11-15",J901&lt;=20,"16-20",J901&gt;20,"21+")</f>
        <v>16-20</v>
      </c>
      <c r="L901">
        <v>50</v>
      </c>
      <c r="M901" s="2">
        <f>L901</f>
        <v>50</v>
      </c>
      <c r="N901" s="8">
        <f t="shared" si="195"/>
        <v>50</v>
      </c>
      <c r="O901">
        <v>2.1</v>
      </c>
      <c r="P901">
        <v>0</v>
      </c>
      <c r="Q901" t="s">
        <v>2072</v>
      </c>
      <c r="R901">
        <v>75</v>
      </c>
      <c r="S901" s="3">
        <f>R901/100</f>
        <v>0.75</v>
      </c>
    </row>
    <row r="902" spans="1:19" x14ac:dyDescent="0.3">
      <c r="A902" t="s">
        <v>1870</v>
      </c>
      <c r="B902" t="s">
        <v>1871</v>
      </c>
      <c r="C902" t="str">
        <f t="shared" si="189"/>
        <v>Yvonne Robinson</v>
      </c>
      <c r="D902" t="s">
        <v>69</v>
      </c>
      <c r="E902" t="str">
        <f t="shared" si="194"/>
        <v>Female</v>
      </c>
      <c r="F902">
        <v>37</v>
      </c>
      <c r="G902" t="s">
        <v>50</v>
      </c>
      <c r="H902" t="s">
        <v>14</v>
      </c>
      <c r="I902" t="s">
        <v>9</v>
      </c>
      <c r="J902">
        <v>18</v>
      </c>
      <c r="K902" s="4" t="str" cm="1">
        <f t="array" ref="K902">_xlfn.IFS(J902&lt;=5,"0-5",J902&lt;=10,"6-10",J902&lt;=15,"11-15",J902&lt;=20,"16-20",J902&gt;20,"21+")</f>
        <v>16-20</v>
      </c>
      <c r="L902">
        <v>40</v>
      </c>
      <c r="M902" s="2">
        <f>L902</f>
        <v>40</v>
      </c>
      <c r="N902" s="8">
        <f t="shared" si="195"/>
        <v>40</v>
      </c>
      <c r="O902">
        <v>4.5</v>
      </c>
      <c r="P902" t="s">
        <v>151</v>
      </c>
      <c r="Q902" t="s">
        <v>2072</v>
      </c>
      <c r="R902" s="1">
        <v>0.72</v>
      </c>
      <c r="S902" s="3">
        <f t="shared" ref="S902:S903" si="196">R902</f>
        <v>0.72</v>
      </c>
    </row>
    <row r="903" spans="1:19" x14ac:dyDescent="0.3">
      <c r="A903" t="s">
        <v>1872</v>
      </c>
      <c r="B903" t="s">
        <v>1873</v>
      </c>
      <c r="C903" t="str">
        <f t="shared" si="189"/>
        <v>Kathleen Hendrix</v>
      </c>
      <c r="D903" t="s">
        <v>69</v>
      </c>
      <c r="E903" t="str">
        <f t="shared" si="194"/>
        <v>Female</v>
      </c>
      <c r="F903">
        <v>47</v>
      </c>
      <c r="G903" t="s">
        <v>116</v>
      </c>
      <c r="H903" t="s">
        <v>117</v>
      </c>
      <c r="I903" t="s">
        <v>65</v>
      </c>
      <c r="J903">
        <v>3</v>
      </c>
      <c r="K903" s="4" t="str" cm="1">
        <f t="array" ref="K903">_xlfn.IFS(J903&lt;=5,"0-5",J903&lt;=10,"6-10",J903&lt;=15,"11-15",J903&lt;=20,"16-20",J903&gt;20,"21+")</f>
        <v>0-5</v>
      </c>
      <c r="L903">
        <v>40</v>
      </c>
      <c r="M903" s="2">
        <f>L903</f>
        <v>40</v>
      </c>
      <c r="N903" s="8">
        <f t="shared" si="195"/>
        <v>40</v>
      </c>
      <c r="O903">
        <v>4.4000000000000004</v>
      </c>
      <c r="P903" t="s">
        <v>60</v>
      </c>
      <c r="Q903" t="s">
        <v>2073</v>
      </c>
      <c r="R903" s="1">
        <v>0.92</v>
      </c>
      <c r="S903" s="3">
        <f t="shared" si="196"/>
        <v>0.92</v>
      </c>
    </row>
    <row r="904" spans="1:19" x14ac:dyDescent="0.3">
      <c r="A904" t="s">
        <v>1874</v>
      </c>
      <c r="B904" t="s">
        <v>1875</v>
      </c>
      <c r="C904" t="str">
        <f t="shared" si="189"/>
        <v>Jennifer Baker</v>
      </c>
      <c r="D904" t="s">
        <v>12</v>
      </c>
      <c r="E904" t="str">
        <f t="shared" si="194"/>
        <v>Female</v>
      </c>
      <c r="F904">
        <v>53</v>
      </c>
      <c r="G904" t="s">
        <v>116</v>
      </c>
      <c r="H904" t="s">
        <v>117</v>
      </c>
      <c r="I904" t="s">
        <v>22</v>
      </c>
      <c r="J904">
        <v>32</v>
      </c>
      <c r="K904" s="4" t="str" cm="1">
        <f t="array" ref="K904">_xlfn.IFS(J904&lt;=5,"0-5",J904&lt;=10,"6-10",J904&lt;=15,"11-15",J904&lt;=20,"16-20",J904&gt;20,"21+")</f>
        <v>21+</v>
      </c>
      <c r="L904" t="s">
        <v>306</v>
      </c>
      <c r="M904" s="2" t="str">
        <f>TRIM(MID(L904,FIND(" ",L904)+1,LEN(L904)))</f>
        <v>20</v>
      </c>
      <c r="N904" s="8">
        <f t="shared" si="195"/>
        <v>20</v>
      </c>
      <c r="O904">
        <v>0</v>
      </c>
      <c r="P904" t="s">
        <v>23</v>
      </c>
      <c r="Q904" t="s">
        <v>2072</v>
      </c>
    </row>
    <row r="905" spans="1:19" x14ac:dyDescent="0.3">
      <c r="A905" t="s">
        <v>1876</v>
      </c>
      <c r="B905" t="s">
        <v>1877</v>
      </c>
      <c r="C905" t="str">
        <f t="shared" si="189"/>
        <v>Kim Martinez</v>
      </c>
      <c r="D905" t="s">
        <v>31</v>
      </c>
      <c r="E905" t="str">
        <f t="shared" si="194"/>
        <v>Female</v>
      </c>
      <c r="F905">
        <v>53</v>
      </c>
      <c r="G905" t="s">
        <v>63</v>
      </c>
      <c r="H905" t="s">
        <v>64</v>
      </c>
      <c r="I905" t="s">
        <v>15</v>
      </c>
      <c r="J905">
        <v>19</v>
      </c>
      <c r="K905" s="4" t="str" cm="1">
        <f t="array" ref="K905">_xlfn.IFS(J905&lt;=5,"0-5",J905&lt;=10,"6-10",J905&lt;=15,"11-15",J905&lt;=20,"16-20",J905&gt;20,"21+")</f>
        <v>16-20</v>
      </c>
      <c r="L905" t="s">
        <v>306</v>
      </c>
      <c r="M905" s="2" t="str">
        <f>TRIM(MID(L905,FIND(" ",L905)+1,LEN(L905)))</f>
        <v>20</v>
      </c>
      <c r="N905" s="8">
        <f t="shared" si="195"/>
        <v>20</v>
      </c>
      <c r="O905">
        <v>1.3</v>
      </c>
      <c r="P905">
        <v>0</v>
      </c>
      <c r="Q905" t="s">
        <v>2072</v>
      </c>
    </row>
    <row r="906" spans="1:19" x14ac:dyDescent="0.3">
      <c r="A906" t="s">
        <v>1878</v>
      </c>
      <c r="B906" t="s">
        <v>1879</v>
      </c>
      <c r="C906" t="str">
        <f t="shared" si="189"/>
        <v>Andrew Little</v>
      </c>
      <c r="D906" t="s">
        <v>19</v>
      </c>
      <c r="E906" t="str">
        <f t="shared" si="194"/>
        <v>Male</v>
      </c>
      <c r="F906">
        <v>21</v>
      </c>
      <c r="G906" t="s">
        <v>85</v>
      </c>
      <c r="H906" t="s">
        <v>86</v>
      </c>
      <c r="I906" t="s">
        <v>43</v>
      </c>
      <c r="J906">
        <v>2</v>
      </c>
      <c r="K906" s="4" t="str" cm="1">
        <f t="array" ref="K906">_xlfn.IFS(J906&lt;=5,"0-5",J906&lt;=10,"6-10",J906&lt;=15,"11-15",J906&lt;=20,"16-20",J906&gt;20,"21+")</f>
        <v>0-5</v>
      </c>
      <c r="L906">
        <v>50</v>
      </c>
      <c r="M906" s="2">
        <f>L906</f>
        <v>50</v>
      </c>
      <c r="N906" s="8">
        <f t="shared" si="195"/>
        <v>50</v>
      </c>
      <c r="O906">
        <v>2.6</v>
      </c>
      <c r="P906" t="b">
        <v>0</v>
      </c>
      <c r="Q906" t="s">
        <v>2072</v>
      </c>
      <c r="R906" s="1">
        <v>0.86</v>
      </c>
      <c r="S906" s="3">
        <f>R906</f>
        <v>0.86</v>
      </c>
    </row>
    <row r="907" spans="1:19" x14ac:dyDescent="0.3">
      <c r="A907" t="s">
        <v>1880</v>
      </c>
      <c r="B907" t="s">
        <v>1881</v>
      </c>
      <c r="C907" t="str">
        <f t="shared" si="189"/>
        <v>Kelly Shelton</v>
      </c>
      <c r="D907" t="s">
        <v>31</v>
      </c>
      <c r="E907" t="str">
        <f t="shared" si="194"/>
        <v>Female</v>
      </c>
      <c r="F907">
        <v>35</v>
      </c>
      <c r="G907" t="s">
        <v>59</v>
      </c>
      <c r="H907" t="s">
        <v>14</v>
      </c>
      <c r="I907" t="s">
        <v>9</v>
      </c>
      <c r="J907">
        <v>0</v>
      </c>
      <c r="K907" s="4" t="str" cm="1">
        <f t="array" ref="K907">_xlfn.IFS(J907&lt;=5,"0-5",J907&lt;=10,"6-10",J907&lt;=15,"11-15",J907&lt;=20,"16-20",J907&gt;20,"21+")</f>
        <v>0-5</v>
      </c>
      <c r="N907" s="8" t="str">
        <f t="shared" si="195"/>
        <v/>
      </c>
      <c r="P907" t="s">
        <v>66</v>
      </c>
      <c r="Q907" t="s">
        <v>2073</v>
      </c>
      <c r="R907">
        <v>85</v>
      </c>
      <c r="S907" s="3">
        <f t="shared" ref="S907:S908" si="197">R907/100</f>
        <v>0.85</v>
      </c>
    </row>
    <row r="908" spans="1:19" x14ac:dyDescent="0.3">
      <c r="A908" t="s">
        <v>1882</v>
      </c>
      <c r="B908" t="s">
        <v>1883</v>
      </c>
      <c r="C908" t="str">
        <f t="shared" si="189"/>
        <v>Steven Duncan</v>
      </c>
      <c r="D908" t="s">
        <v>89</v>
      </c>
      <c r="E908" t="str">
        <f t="shared" si="194"/>
        <v>Male</v>
      </c>
      <c r="F908">
        <v>31</v>
      </c>
      <c r="G908" t="s">
        <v>63</v>
      </c>
      <c r="H908" t="s">
        <v>64</v>
      </c>
      <c r="I908" t="s">
        <v>106</v>
      </c>
      <c r="J908">
        <v>13</v>
      </c>
      <c r="K908" s="4" t="str" cm="1">
        <f t="array" ref="K908">_xlfn.IFS(J908&lt;=5,"0-5",J908&lt;=10,"6-10",J908&lt;=15,"11-15",J908&lt;=20,"16-20",J908&gt;20,"21+")</f>
        <v>11-15</v>
      </c>
      <c r="L908" t="s">
        <v>28</v>
      </c>
      <c r="M908" s="2" t="str">
        <f>SUBSTITUTE(L908,"$","")</f>
        <v>40</v>
      </c>
      <c r="N908" s="8">
        <f t="shared" si="195"/>
        <v>40</v>
      </c>
      <c r="O908">
        <v>1.2</v>
      </c>
      <c r="P908" t="b">
        <v>0</v>
      </c>
      <c r="Q908" t="s">
        <v>2072</v>
      </c>
      <c r="R908">
        <v>62</v>
      </c>
      <c r="S908" s="3">
        <f t="shared" si="197"/>
        <v>0.62</v>
      </c>
    </row>
    <row r="909" spans="1:19" x14ac:dyDescent="0.3">
      <c r="A909" t="s">
        <v>1884</v>
      </c>
      <c r="B909" t="s">
        <v>1885</v>
      </c>
      <c r="C909" t="str">
        <f t="shared" si="189"/>
        <v>Kristen Haney</v>
      </c>
      <c r="D909" t="s">
        <v>69</v>
      </c>
      <c r="E909" t="str">
        <f t="shared" si="194"/>
        <v>Female</v>
      </c>
      <c r="F909">
        <v>55</v>
      </c>
      <c r="G909" t="s">
        <v>104</v>
      </c>
      <c r="H909" t="s">
        <v>105</v>
      </c>
      <c r="I909" t="s">
        <v>36</v>
      </c>
      <c r="J909">
        <v>2</v>
      </c>
      <c r="K909" s="4" t="str" cm="1">
        <f t="array" ref="K909">_xlfn.IFS(J909&lt;=5,"0-5",J909&lt;=10,"6-10",J909&lt;=15,"11-15",J909&lt;=20,"16-20",J909&gt;20,"21+")</f>
        <v>0-5</v>
      </c>
      <c r="L909" t="s">
        <v>101</v>
      </c>
      <c r="M909" s="2" t="str">
        <f>TRIM(MID(L909,FIND(" ",L909)+1,LEN(L909)))</f>
        <v>30</v>
      </c>
      <c r="N909" s="8">
        <f t="shared" si="195"/>
        <v>30</v>
      </c>
      <c r="O909">
        <v>3.1</v>
      </c>
      <c r="P909" t="s">
        <v>66</v>
      </c>
      <c r="Q909" t="s">
        <v>2073</v>
      </c>
      <c r="R909" s="1">
        <v>0.91</v>
      </c>
      <c r="S909" s="3">
        <f t="shared" ref="S909:S911" si="198">R909</f>
        <v>0.91</v>
      </c>
    </row>
    <row r="910" spans="1:19" x14ac:dyDescent="0.3">
      <c r="A910" t="s">
        <v>1886</v>
      </c>
      <c r="B910" t="s">
        <v>1887</v>
      </c>
      <c r="C910" t="str">
        <f t="shared" si="189"/>
        <v>Kathy Reese</v>
      </c>
      <c r="D910" t="s">
        <v>6</v>
      </c>
      <c r="E910" t="str">
        <f t="shared" si="194"/>
        <v>Female</v>
      </c>
      <c r="F910">
        <v>59</v>
      </c>
      <c r="G910" t="s">
        <v>54</v>
      </c>
      <c r="H910" t="s">
        <v>55</v>
      </c>
      <c r="I910" t="s">
        <v>27</v>
      </c>
      <c r="J910">
        <v>11</v>
      </c>
      <c r="K910" s="4" t="str" cm="1">
        <f t="array" ref="K910">_xlfn.IFS(J910&lt;=5,"0-5",J910&lt;=10,"6-10",J910&lt;=15,"11-15",J910&lt;=20,"16-20",J910&gt;20,"21+")</f>
        <v>11-15</v>
      </c>
      <c r="L910" t="s">
        <v>162</v>
      </c>
      <c r="M910" s="2" t="str">
        <f>SUBSTITUTE(L910,"$","")</f>
        <v>75</v>
      </c>
      <c r="N910" s="8">
        <f t="shared" si="195"/>
        <v>75</v>
      </c>
      <c r="O910">
        <v>2.2999999999999998</v>
      </c>
      <c r="P910" t="s">
        <v>66</v>
      </c>
      <c r="Q910" t="s">
        <v>2073</v>
      </c>
      <c r="R910" s="1">
        <v>0.8</v>
      </c>
      <c r="S910" s="3">
        <f t="shared" si="198"/>
        <v>0.8</v>
      </c>
    </row>
    <row r="911" spans="1:19" x14ac:dyDescent="0.3">
      <c r="A911" t="s">
        <v>1888</v>
      </c>
      <c r="B911" t="s">
        <v>1889</v>
      </c>
      <c r="C911" t="str">
        <f t="shared" si="189"/>
        <v>Steven Murphy</v>
      </c>
      <c r="D911" t="s">
        <v>53</v>
      </c>
      <c r="E911" t="str">
        <f t="shared" si="194"/>
        <v>Male</v>
      </c>
      <c r="F911">
        <v>59</v>
      </c>
      <c r="G911" t="s">
        <v>127</v>
      </c>
      <c r="H911" t="s">
        <v>128</v>
      </c>
      <c r="I911" t="s">
        <v>70</v>
      </c>
      <c r="J911">
        <v>17</v>
      </c>
      <c r="K911" s="4" t="str" cm="1">
        <f t="array" ref="K911">_xlfn.IFS(J911&lt;=5,"0-5",J911&lt;=10,"6-10",J911&lt;=15,"11-15",J911&lt;=20,"16-20",J911&gt;20,"21+")</f>
        <v>16-20</v>
      </c>
      <c r="L911">
        <v>100</v>
      </c>
      <c r="M911" s="2">
        <f>L911</f>
        <v>100</v>
      </c>
      <c r="N911" s="8">
        <f t="shared" si="195"/>
        <v>100</v>
      </c>
      <c r="O911">
        <v>4</v>
      </c>
      <c r="P911" t="s">
        <v>151</v>
      </c>
      <c r="Q911" t="s">
        <v>2072</v>
      </c>
      <c r="R911" s="1">
        <v>0.72</v>
      </c>
      <c r="S911" s="3">
        <f t="shared" si="198"/>
        <v>0.72</v>
      </c>
    </row>
    <row r="912" spans="1:19" x14ac:dyDescent="0.3">
      <c r="A912" t="s">
        <v>1890</v>
      </c>
      <c r="B912" t="s">
        <v>1891</v>
      </c>
      <c r="C912" t="str">
        <f t="shared" si="189"/>
        <v>William Hartman</v>
      </c>
      <c r="D912" t="s">
        <v>84</v>
      </c>
      <c r="E912" t="str">
        <f t="shared" si="194"/>
        <v>Male</v>
      </c>
      <c r="F912">
        <v>47</v>
      </c>
      <c r="G912" t="s">
        <v>85</v>
      </c>
      <c r="H912" t="s">
        <v>86</v>
      </c>
      <c r="I912" t="s">
        <v>9</v>
      </c>
      <c r="J912">
        <v>10</v>
      </c>
      <c r="K912" s="4" t="str" cm="1">
        <f t="array" ref="K912">_xlfn.IFS(J912&lt;=5,"0-5",J912&lt;=10,"6-10",J912&lt;=15,"11-15",J912&lt;=20,"16-20",J912&gt;20,"21+")</f>
        <v>6-10</v>
      </c>
      <c r="L912" t="s">
        <v>162</v>
      </c>
      <c r="M912" s="2" t="str">
        <f>SUBSTITUTE(L912,"$","")</f>
        <v>75</v>
      </c>
      <c r="N912" s="8">
        <f t="shared" si="195"/>
        <v>75</v>
      </c>
      <c r="O912">
        <v>1.9</v>
      </c>
    </row>
    <row r="913" spans="1:19" x14ac:dyDescent="0.3">
      <c r="A913" t="s">
        <v>1892</v>
      </c>
      <c r="B913" t="s">
        <v>1893</v>
      </c>
      <c r="C913" t="str">
        <f t="shared" si="189"/>
        <v>Sonya Haley</v>
      </c>
      <c r="D913" t="s">
        <v>31</v>
      </c>
      <c r="E913" t="str">
        <f t="shared" si="194"/>
        <v>Female</v>
      </c>
      <c r="F913">
        <v>53</v>
      </c>
      <c r="G913" t="s">
        <v>145</v>
      </c>
      <c r="H913" t="s">
        <v>146</v>
      </c>
      <c r="I913" t="s">
        <v>106</v>
      </c>
      <c r="J913">
        <v>26</v>
      </c>
      <c r="K913" s="4" t="str" cm="1">
        <f t="array" ref="K913">_xlfn.IFS(J913&lt;=5,"0-5",J913&lt;=10,"6-10",J913&lt;=15,"11-15",J913&lt;=20,"16-20",J913&gt;20,"21+")</f>
        <v>21+</v>
      </c>
      <c r="L913">
        <v>75</v>
      </c>
      <c r="M913" s="2">
        <f>L913</f>
        <v>75</v>
      </c>
      <c r="N913" s="8">
        <f t="shared" si="195"/>
        <v>75</v>
      </c>
      <c r="O913">
        <v>2.4</v>
      </c>
      <c r="P913" t="s">
        <v>60</v>
      </c>
      <c r="Q913" t="s">
        <v>2073</v>
      </c>
    </row>
    <row r="914" spans="1:19" x14ac:dyDescent="0.3">
      <c r="A914" t="s">
        <v>1894</v>
      </c>
      <c r="B914" t="s">
        <v>511</v>
      </c>
      <c r="C914" t="str">
        <f t="shared" si="189"/>
        <v>Robert Evans</v>
      </c>
      <c r="D914" t="s">
        <v>53</v>
      </c>
      <c r="E914" t="str">
        <f t="shared" si="194"/>
        <v>Male</v>
      </c>
      <c r="F914">
        <v>49</v>
      </c>
      <c r="G914" t="s">
        <v>145</v>
      </c>
      <c r="H914" t="s">
        <v>146</v>
      </c>
      <c r="I914" t="s">
        <v>43</v>
      </c>
      <c r="K914" s="4" t="str" cm="1">
        <f t="array" ref="K914">_xlfn.IFS(J914&lt;=5,"0-5",J914&lt;=10,"6-10",J914&lt;=15,"11-15",J914&lt;=20,"16-20",J914&gt;20,"21+")</f>
        <v>0-5</v>
      </c>
      <c r="L914" t="s">
        <v>37</v>
      </c>
      <c r="M914" s="2" t="str">
        <f>SUBSTITUTE(L914,"$","")</f>
        <v>30</v>
      </c>
      <c r="N914" s="8">
        <f t="shared" si="195"/>
        <v>30</v>
      </c>
      <c r="P914" t="s">
        <v>60</v>
      </c>
      <c r="Q914" t="s">
        <v>2073</v>
      </c>
      <c r="R914" s="1">
        <v>0.74</v>
      </c>
      <c r="S914" s="3">
        <f t="shared" ref="S914:S919" si="199">R914</f>
        <v>0.74</v>
      </c>
    </row>
    <row r="915" spans="1:19" x14ac:dyDescent="0.3">
      <c r="A915" t="s">
        <v>1895</v>
      </c>
      <c r="B915" t="s">
        <v>1896</v>
      </c>
      <c r="C915" t="str">
        <f t="shared" si="189"/>
        <v>Patricia Richardson</v>
      </c>
      <c r="D915" t="s">
        <v>6</v>
      </c>
      <c r="E915" t="str">
        <f t="shared" si="194"/>
        <v>Female</v>
      </c>
      <c r="F915">
        <v>50</v>
      </c>
      <c r="G915" t="s">
        <v>145</v>
      </c>
      <c r="H915" t="s">
        <v>146</v>
      </c>
      <c r="I915" t="s">
        <v>15</v>
      </c>
      <c r="J915">
        <v>8</v>
      </c>
      <c r="K915" s="4" t="str" cm="1">
        <f t="array" ref="K915">_xlfn.IFS(J915&lt;=5,"0-5",J915&lt;=10,"6-10",J915&lt;=15,"11-15",J915&lt;=20,"16-20",J915&gt;20,"21+")</f>
        <v>6-10</v>
      </c>
      <c r="L915" t="s">
        <v>90</v>
      </c>
      <c r="M915" s="2" t="str">
        <f>TRIM(MID(L915,FIND(" ",L915)+1,LEN(L915)))</f>
        <v>50</v>
      </c>
      <c r="N915" s="8">
        <f t="shared" si="195"/>
        <v>50</v>
      </c>
      <c r="O915">
        <v>3.7</v>
      </c>
      <c r="P915" t="s">
        <v>66</v>
      </c>
      <c r="Q915" t="s">
        <v>2073</v>
      </c>
      <c r="R915" s="1">
        <v>0.82</v>
      </c>
      <c r="S915" s="3">
        <f t="shared" si="199"/>
        <v>0.82</v>
      </c>
    </row>
    <row r="916" spans="1:19" x14ac:dyDescent="0.3">
      <c r="A916" t="s">
        <v>1897</v>
      </c>
      <c r="B916" t="s">
        <v>1898</v>
      </c>
      <c r="C916" t="str">
        <f t="shared" si="189"/>
        <v>Carolyn Lopez</v>
      </c>
      <c r="D916" t="s">
        <v>31</v>
      </c>
      <c r="E916" t="str">
        <f t="shared" si="194"/>
        <v>Female</v>
      </c>
      <c r="F916">
        <v>59</v>
      </c>
      <c r="G916" t="s">
        <v>104</v>
      </c>
      <c r="H916" t="s">
        <v>105</v>
      </c>
      <c r="I916" t="s">
        <v>106</v>
      </c>
      <c r="J916">
        <v>22</v>
      </c>
      <c r="K916" s="4" t="str" cm="1">
        <f t="array" ref="K916">_xlfn.IFS(J916&lt;=5,"0-5",J916&lt;=10,"6-10",J916&lt;=15,"11-15",J916&lt;=20,"16-20",J916&gt;20,"21+")</f>
        <v>21+</v>
      </c>
      <c r="L916" t="s">
        <v>16</v>
      </c>
      <c r="M916" s="2" t="str">
        <f>TRIM(MID(L916,FIND(" ",L916)+1,LEN(L916)))</f>
        <v>100</v>
      </c>
      <c r="N916" s="8">
        <f t="shared" si="195"/>
        <v>100</v>
      </c>
      <c r="O916">
        <v>1.1000000000000001</v>
      </c>
      <c r="P916" t="s">
        <v>151</v>
      </c>
      <c r="Q916" t="s">
        <v>2072</v>
      </c>
      <c r="R916" s="1">
        <v>0.85</v>
      </c>
      <c r="S916" s="3">
        <f t="shared" si="199"/>
        <v>0.85</v>
      </c>
    </row>
    <row r="917" spans="1:19" x14ac:dyDescent="0.3">
      <c r="A917" t="s">
        <v>1899</v>
      </c>
      <c r="B917" t="s">
        <v>1900</v>
      </c>
      <c r="C917" t="str">
        <f t="shared" si="189"/>
        <v>Kyle Burns</v>
      </c>
      <c r="D917" t="s">
        <v>84</v>
      </c>
      <c r="E917" t="str">
        <f t="shared" si="194"/>
        <v>Male</v>
      </c>
      <c r="F917">
        <v>33</v>
      </c>
      <c r="G917" t="s">
        <v>54</v>
      </c>
      <c r="H917" t="s">
        <v>55</v>
      </c>
      <c r="I917" t="s">
        <v>43</v>
      </c>
      <c r="J917">
        <v>8</v>
      </c>
      <c r="K917" s="4" t="str" cm="1">
        <f t="array" ref="K917">_xlfn.IFS(J917&lt;=5,"0-5",J917&lt;=10,"6-10",J917&lt;=15,"11-15",J917&lt;=20,"16-20",J917&gt;20,"21+")</f>
        <v>6-10</v>
      </c>
      <c r="L917" t="s">
        <v>44</v>
      </c>
      <c r="M917" s="2" t="str">
        <f>TRIM(MID(L917,FIND(" ",L917)+1,LEN(L917)))</f>
        <v>75</v>
      </c>
      <c r="N917" s="8">
        <f t="shared" si="195"/>
        <v>75</v>
      </c>
      <c r="O917">
        <v>2.2999999999999998</v>
      </c>
      <c r="P917" t="b">
        <v>1</v>
      </c>
      <c r="Q917" t="s">
        <v>2073</v>
      </c>
      <c r="R917" s="1">
        <v>0.68</v>
      </c>
      <c r="S917" s="3">
        <f t="shared" si="199"/>
        <v>0.68</v>
      </c>
    </row>
    <row r="918" spans="1:19" x14ac:dyDescent="0.3">
      <c r="A918" t="s">
        <v>1901</v>
      </c>
      <c r="B918" t="s">
        <v>1902</v>
      </c>
      <c r="C918" t="str">
        <f t="shared" si="189"/>
        <v>Margaret Garcia</v>
      </c>
      <c r="D918" t="s">
        <v>6</v>
      </c>
      <c r="E918" t="str">
        <f t="shared" si="194"/>
        <v>Female</v>
      </c>
      <c r="F918">
        <v>45</v>
      </c>
      <c r="G918" t="s">
        <v>120</v>
      </c>
      <c r="H918" t="s">
        <v>14</v>
      </c>
      <c r="I918" t="s">
        <v>27</v>
      </c>
      <c r="J918">
        <v>22</v>
      </c>
      <c r="K918" s="4" t="str" cm="1">
        <f t="array" ref="K918">_xlfn.IFS(J918&lt;=5,"0-5",J918&lt;=10,"6-10",J918&lt;=15,"11-15",J918&lt;=20,"16-20",J918&gt;20,"21+")</f>
        <v>21+</v>
      </c>
      <c r="L918">
        <v>40</v>
      </c>
      <c r="M918" s="2">
        <f>L918</f>
        <v>40</v>
      </c>
      <c r="N918" s="8">
        <f t="shared" si="195"/>
        <v>40</v>
      </c>
      <c r="O918">
        <v>3.7</v>
      </c>
      <c r="P918" t="s">
        <v>66</v>
      </c>
      <c r="Q918" t="s">
        <v>2073</v>
      </c>
      <c r="R918" s="1">
        <v>0.99</v>
      </c>
      <c r="S918" s="3">
        <f t="shared" si="199"/>
        <v>0.99</v>
      </c>
    </row>
    <row r="919" spans="1:19" x14ac:dyDescent="0.3">
      <c r="A919" t="s">
        <v>1903</v>
      </c>
      <c r="B919" t="s">
        <v>1904</v>
      </c>
      <c r="C919" t="str">
        <f t="shared" si="189"/>
        <v>Brittany Barker</v>
      </c>
      <c r="D919" t="s">
        <v>31</v>
      </c>
      <c r="E919" t="str">
        <f t="shared" si="194"/>
        <v>Female</v>
      </c>
      <c r="F919">
        <v>36</v>
      </c>
      <c r="G919" t="s">
        <v>7</v>
      </c>
      <c r="H919" t="s">
        <v>8</v>
      </c>
      <c r="I919" t="s">
        <v>22</v>
      </c>
      <c r="J919">
        <v>14</v>
      </c>
      <c r="K919" s="4" t="str" cm="1">
        <f t="array" ref="K919">_xlfn.IFS(J919&lt;=5,"0-5",J919&lt;=10,"6-10",J919&lt;=15,"11-15",J919&lt;=20,"16-20",J919&gt;20,"21+")</f>
        <v>11-15</v>
      </c>
      <c r="L919">
        <v>30</v>
      </c>
      <c r="M919" s="2">
        <f>L919</f>
        <v>30</v>
      </c>
      <c r="N919" s="8">
        <f t="shared" si="195"/>
        <v>30</v>
      </c>
      <c r="O919">
        <v>1.9</v>
      </c>
      <c r="P919">
        <v>0</v>
      </c>
      <c r="Q919" t="s">
        <v>2072</v>
      </c>
      <c r="R919" s="1">
        <v>0.62</v>
      </c>
      <c r="S919" s="3">
        <f t="shared" si="199"/>
        <v>0.62</v>
      </c>
    </row>
    <row r="920" spans="1:19" x14ac:dyDescent="0.3">
      <c r="A920" t="s">
        <v>1905</v>
      </c>
      <c r="B920" t="s">
        <v>1906</v>
      </c>
      <c r="C920" t="str">
        <f t="shared" si="189"/>
        <v>Paul Campbell</v>
      </c>
      <c r="D920" t="s">
        <v>19</v>
      </c>
      <c r="E920" t="str">
        <f t="shared" si="194"/>
        <v>Male</v>
      </c>
      <c r="F920">
        <v>46</v>
      </c>
      <c r="G920" t="s">
        <v>145</v>
      </c>
      <c r="H920" t="s">
        <v>146</v>
      </c>
      <c r="I920" t="s">
        <v>65</v>
      </c>
      <c r="J920">
        <v>6</v>
      </c>
      <c r="K920" s="4" t="str" cm="1">
        <f t="array" ref="K920">_xlfn.IFS(J920&lt;=5,"0-5",J920&lt;=10,"6-10",J920&lt;=15,"11-15",J920&lt;=20,"16-20",J920&gt;20,"21+")</f>
        <v>6-10</v>
      </c>
      <c r="L920">
        <v>30</v>
      </c>
      <c r="M920" s="2">
        <f>L920</f>
        <v>30</v>
      </c>
      <c r="N920" s="8">
        <f t="shared" si="195"/>
        <v>30</v>
      </c>
      <c r="O920">
        <v>1.5</v>
      </c>
      <c r="P920" t="s">
        <v>23</v>
      </c>
      <c r="Q920" t="s">
        <v>2072</v>
      </c>
    </row>
    <row r="921" spans="1:19" x14ac:dyDescent="0.3">
      <c r="A921" t="s">
        <v>1907</v>
      </c>
      <c r="B921" t="s">
        <v>1908</v>
      </c>
      <c r="C921" t="str">
        <f t="shared" si="189"/>
        <v>Amy Morrow</v>
      </c>
      <c r="D921" t="s">
        <v>31</v>
      </c>
      <c r="E921" t="str">
        <f t="shared" si="194"/>
        <v>Female</v>
      </c>
      <c r="F921">
        <v>53</v>
      </c>
      <c r="G921" t="s">
        <v>54</v>
      </c>
      <c r="H921" t="s">
        <v>55</v>
      </c>
      <c r="I921" t="s">
        <v>22</v>
      </c>
      <c r="J921">
        <v>14</v>
      </c>
      <c r="K921" s="4" t="str" cm="1">
        <f t="array" ref="K921">_xlfn.IFS(J921&lt;=5,"0-5",J921&lt;=10,"6-10",J921&lt;=15,"11-15",J921&lt;=20,"16-20",J921&gt;20,"21+")</f>
        <v>11-15</v>
      </c>
      <c r="L921">
        <v>30</v>
      </c>
      <c r="M921" s="2">
        <f>L921</f>
        <v>30</v>
      </c>
      <c r="N921" s="8">
        <f t="shared" si="195"/>
        <v>30</v>
      </c>
      <c r="O921">
        <v>0</v>
      </c>
      <c r="P921" t="b">
        <v>0</v>
      </c>
      <c r="Q921" t="s">
        <v>2072</v>
      </c>
      <c r="R921" s="1">
        <v>0.83</v>
      </c>
      <c r="S921" s="3">
        <f t="shared" ref="S921:S923" si="200">R921</f>
        <v>0.83</v>
      </c>
    </row>
    <row r="922" spans="1:19" x14ac:dyDescent="0.3">
      <c r="A922" t="s">
        <v>1909</v>
      </c>
      <c r="B922" t="s">
        <v>1910</v>
      </c>
      <c r="C922" t="str">
        <f t="shared" si="189"/>
        <v>Amy Fitzgerald</v>
      </c>
      <c r="D922" t="s">
        <v>6</v>
      </c>
      <c r="E922" t="str">
        <f t="shared" si="194"/>
        <v>Female</v>
      </c>
      <c r="F922">
        <v>24</v>
      </c>
      <c r="G922" t="s">
        <v>50</v>
      </c>
      <c r="H922" t="s">
        <v>14</v>
      </c>
      <c r="I922" t="s">
        <v>27</v>
      </c>
      <c r="J922">
        <v>2</v>
      </c>
      <c r="K922" s="4" t="str" cm="1">
        <f t="array" ref="K922">_xlfn.IFS(J922&lt;=5,"0-5",J922&lt;=10,"6-10",J922&lt;=15,"11-15",J922&lt;=20,"16-20",J922&gt;20,"21+")</f>
        <v>0-5</v>
      </c>
      <c r="L922">
        <v>30</v>
      </c>
      <c r="M922" s="2">
        <f>L922</f>
        <v>30</v>
      </c>
      <c r="N922" s="8">
        <f t="shared" si="195"/>
        <v>30</v>
      </c>
      <c r="O922">
        <v>3.6</v>
      </c>
      <c r="R922" s="1">
        <v>0.92</v>
      </c>
      <c r="S922" s="3">
        <f t="shared" si="200"/>
        <v>0.92</v>
      </c>
    </row>
    <row r="923" spans="1:19" x14ac:dyDescent="0.3">
      <c r="A923" t="s">
        <v>1911</v>
      </c>
      <c r="B923" t="s">
        <v>1912</v>
      </c>
      <c r="C923" t="str">
        <f t="shared" si="189"/>
        <v>Anita Becker</v>
      </c>
      <c r="D923" t="s">
        <v>31</v>
      </c>
      <c r="E923" t="str">
        <f t="shared" si="194"/>
        <v>Female</v>
      </c>
      <c r="F923">
        <v>49</v>
      </c>
      <c r="G923" t="s">
        <v>182</v>
      </c>
      <c r="H923" t="s">
        <v>64</v>
      </c>
      <c r="I923" t="s">
        <v>81</v>
      </c>
      <c r="J923">
        <v>4</v>
      </c>
      <c r="K923" s="4" t="str" cm="1">
        <f t="array" ref="K923">_xlfn.IFS(J923&lt;=5,"0-5",J923&lt;=10,"6-10",J923&lt;=15,"11-15",J923&lt;=20,"16-20",J923&gt;20,"21+")</f>
        <v>0-5</v>
      </c>
      <c r="L923" t="s">
        <v>162</v>
      </c>
      <c r="M923" s="2" t="str">
        <f>SUBSTITUTE(L923,"$","")</f>
        <v>75</v>
      </c>
      <c r="N923" s="8">
        <f t="shared" si="195"/>
        <v>75</v>
      </c>
      <c r="O923">
        <v>2.1</v>
      </c>
      <c r="R923" s="1">
        <v>0.85</v>
      </c>
      <c r="S923" s="3">
        <f t="shared" si="200"/>
        <v>0.85</v>
      </c>
    </row>
    <row r="924" spans="1:19" x14ac:dyDescent="0.3">
      <c r="A924" t="s">
        <v>1913</v>
      </c>
      <c r="B924" t="s">
        <v>1914</v>
      </c>
      <c r="C924" t="str">
        <f>TRIM(MID(B924,FIND(" ",B924)+1,LEN(B924)))</f>
        <v>Amy Brooks</v>
      </c>
      <c r="D924" t="s">
        <v>26</v>
      </c>
      <c r="E924" t="str">
        <f t="shared" si="194"/>
        <v>Female</v>
      </c>
      <c r="F924">
        <v>49</v>
      </c>
      <c r="G924" t="s">
        <v>104</v>
      </c>
      <c r="H924" t="s">
        <v>105</v>
      </c>
      <c r="I924" t="s">
        <v>36</v>
      </c>
      <c r="J924">
        <v>4</v>
      </c>
      <c r="K924" s="4" t="str" cm="1">
        <f t="array" ref="K924">_xlfn.IFS(J924&lt;=5,"0-5",J924&lt;=10,"6-10",J924&lt;=15,"11-15",J924&lt;=20,"16-20",J924&gt;20,"21+")</f>
        <v>0-5</v>
      </c>
      <c r="L924">
        <v>75</v>
      </c>
      <c r="M924" s="2">
        <f>L924</f>
        <v>75</v>
      </c>
      <c r="N924" s="8">
        <f t="shared" si="195"/>
        <v>75</v>
      </c>
      <c r="O924">
        <v>2.9</v>
      </c>
      <c r="P924" t="s">
        <v>23</v>
      </c>
      <c r="Q924" t="s">
        <v>2072</v>
      </c>
    </row>
    <row r="925" spans="1:19" x14ac:dyDescent="0.3">
      <c r="A925" t="s">
        <v>1915</v>
      </c>
      <c r="B925" t="s">
        <v>1916</v>
      </c>
      <c r="C925" t="str">
        <f t="shared" ref="C925:C964" si="201">B925</f>
        <v>Lori Marshall</v>
      </c>
      <c r="D925" t="s">
        <v>12</v>
      </c>
      <c r="E925" t="str">
        <f t="shared" si="194"/>
        <v>Female</v>
      </c>
      <c r="F925">
        <v>49</v>
      </c>
      <c r="G925" t="s">
        <v>104</v>
      </c>
      <c r="H925" t="s">
        <v>105</v>
      </c>
      <c r="I925" t="s">
        <v>15</v>
      </c>
      <c r="J925">
        <v>24</v>
      </c>
      <c r="K925" s="4" t="str" cm="1">
        <f t="array" ref="K925">_xlfn.IFS(J925&lt;=5,"0-5",J925&lt;=10,"6-10",J925&lt;=15,"11-15",J925&lt;=20,"16-20",J925&gt;20,"21+")</f>
        <v>21+</v>
      </c>
      <c r="L925">
        <v>100</v>
      </c>
      <c r="M925" s="2">
        <f>L925</f>
        <v>100</v>
      </c>
      <c r="N925" s="8">
        <f t="shared" si="195"/>
        <v>100</v>
      </c>
      <c r="O925">
        <v>3.6</v>
      </c>
      <c r="P925" t="b">
        <v>1</v>
      </c>
      <c r="Q925" t="s">
        <v>2073</v>
      </c>
    </row>
    <row r="926" spans="1:19" x14ac:dyDescent="0.3">
      <c r="A926" t="s">
        <v>1917</v>
      </c>
      <c r="B926" t="s">
        <v>1918</v>
      </c>
      <c r="C926" t="str">
        <f t="shared" si="201"/>
        <v>Jennifer Miller</v>
      </c>
      <c r="D926" t="s">
        <v>69</v>
      </c>
      <c r="E926" t="str">
        <f t="shared" si="194"/>
        <v>Female</v>
      </c>
      <c r="F926">
        <v>58</v>
      </c>
      <c r="G926" t="s">
        <v>99</v>
      </c>
      <c r="H926" t="s">
        <v>100</v>
      </c>
      <c r="I926" t="s">
        <v>9</v>
      </c>
      <c r="J926">
        <v>29</v>
      </c>
      <c r="K926" s="4" t="str" cm="1">
        <f t="array" ref="K926">_xlfn.IFS(J926&lt;=5,"0-5",J926&lt;=10,"6-10",J926&lt;=15,"11-15",J926&lt;=20,"16-20",J926&gt;20,"21+")</f>
        <v>21+</v>
      </c>
      <c r="L926">
        <v>30</v>
      </c>
      <c r="M926" s="2">
        <f>L926</f>
        <v>30</v>
      </c>
      <c r="N926" s="8">
        <f t="shared" si="195"/>
        <v>30</v>
      </c>
      <c r="O926">
        <v>3.3</v>
      </c>
      <c r="P926" t="s">
        <v>60</v>
      </c>
      <c r="Q926" t="s">
        <v>2073</v>
      </c>
      <c r="R926" s="1">
        <v>0.89</v>
      </c>
      <c r="S926" s="3">
        <f t="shared" ref="S926:S927" si="202">R926</f>
        <v>0.89</v>
      </c>
    </row>
    <row r="927" spans="1:19" x14ac:dyDescent="0.3">
      <c r="A927" t="s">
        <v>1919</v>
      </c>
      <c r="B927" t="s">
        <v>1920</v>
      </c>
      <c r="C927" t="str">
        <f t="shared" si="201"/>
        <v>Thomas Young</v>
      </c>
      <c r="D927" t="s">
        <v>53</v>
      </c>
      <c r="E927" t="str">
        <f t="shared" si="194"/>
        <v>Male</v>
      </c>
      <c r="F927">
        <v>50</v>
      </c>
      <c r="G927" t="s">
        <v>145</v>
      </c>
      <c r="H927" t="s">
        <v>146</v>
      </c>
      <c r="I927" t="s">
        <v>65</v>
      </c>
      <c r="J927">
        <v>13</v>
      </c>
      <c r="K927" s="4" t="str" cm="1">
        <f t="array" ref="K927">_xlfn.IFS(J927&lt;=5,"0-5",J927&lt;=10,"6-10",J927&lt;=15,"11-15",J927&lt;=20,"16-20",J927&gt;20,"21+")</f>
        <v>11-15</v>
      </c>
      <c r="N927" s="8" t="str">
        <f t="shared" si="195"/>
        <v/>
      </c>
      <c r="O927">
        <v>2.5</v>
      </c>
      <c r="P927" t="s">
        <v>66</v>
      </c>
      <c r="Q927" t="s">
        <v>2073</v>
      </c>
      <c r="R927" s="1">
        <v>0.81</v>
      </c>
      <c r="S927" s="3">
        <f t="shared" si="202"/>
        <v>0.81</v>
      </c>
    </row>
    <row r="928" spans="1:19" x14ac:dyDescent="0.3">
      <c r="A928" t="s">
        <v>1921</v>
      </c>
      <c r="B928" t="s">
        <v>1922</v>
      </c>
      <c r="C928" t="str">
        <f t="shared" si="201"/>
        <v>Zachary Larsen</v>
      </c>
      <c r="D928" t="s">
        <v>84</v>
      </c>
      <c r="E928" t="str">
        <f t="shared" si="194"/>
        <v>Male</v>
      </c>
      <c r="F928">
        <v>27</v>
      </c>
      <c r="G928" t="s">
        <v>145</v>
      </c>
      <c r="H928" t="s">
        <v>146</v>
      </c>
      <c r="I928" t="s">
        <v>81</v>
      </c>
      <c r="J928">
        <v>1</v>
      </c>
      <c r="K928" s="4" t="str" cm="1">
        <f t="array" ref="K928">_xlfn.IFS(J928&lt;=5,"0-5",J928&lt;=10,"6-10",J928&lt;=15,"11-15",J928&lt;=20,"16-20",J928&gt;20,"21+")</f>
        <v>0-5</v>
      </c>
      <c r="L928" t="s">
        <v>16</v>
      </c>
      <c r="M928" s="2" t="str">
        <f>TRIM(MID(L928,FIND(" ",L928)+1,LEN(L928)))</f>
        <v>100</v>
      </c>
      <c r="N928" s="8">
        <f t="shared" si="195"/>
        <v>100</v>
      </c>
      <c r="O928">
        <v>3.7</v>
      </c>
      <c r="P928" t="s">
        <v>66</v>
      </c>
      <c r="Q928" t="s">
        <v>2073</v>
      </c>
      <c r="R928">
        <v>61</v>
      </c>
      <c r="S928" s="3">
        <f>R928/100</f>
        <v>0.61</v>
      </c>
    </row>
    <row r="929" spans="1:19" x14ac:dyDescent="0.3">
      <c r="A929" t="s">
        <v>1923</v>
      </c>
      <c r="B929" t="s">
        <v>1924</v>
      </c>
      <c r="C929" t="str">
        <f t="shared" si="201"/>
        <v>Valerie Gutierrez</v>
      </c>
      <c r="D929" t="s">
        <v>26</v>
      </c>
      <c r="E929" t="str">
        <f t="shared" si="194"/>
        <v>Female</v>
      </c>
      <c r="F929">
        <v>20</v>
      </c>
      <c r="G929" t="s">
        <v>104</v>
      </c>
      <c r="H929" t="s">
        <v>105</v>
      </c>
      <c r="I929" t="s">
        <v>106</v>
      </c>
      <c r="K929" s="4" t="str" cm="1">
        <f t="array" ref="K929">_xlfn.IFS(J929&lt;=5,"0-5",J929&lt;=10,"6-10",J929&lt;=15,"11-15",J929&lt;=20,"16-20",J929&gt;20,"21+")</f>
        <v>0-5</v>
      </c>
      <c r="L929" t="s">
        <v>37</v>
      </c>
      <c r="M929" s="2" t="str">
        <f>SUBSTITUTE(L929,"$","")</f>
        <v>30</v>
      </c>
      <c r="N929" s="8">
        <f t="shared" si="195"/>
        <v>30</v>
      </c>
      <c r="O929">
        <v>4.5999999999999996</v>
      </c>
      <c r="P929">
        <v>1</v>
      </c>
      <c r="Q929" t="s">
        <v>2073</v>
      </c>
    </row>
    <row r="930" spans="1:19" x14ac:dyDescent="0.3">
      <c r="A930" t="s">
        <v>1925</v>
      </c>
      <c r="B930" t="s">
        <v>1926</v>
      </c>
      <c r="C930" t="str">
        <f t="shared" si="201"/>
        <v>Daniel Parker</v>
      </c>
      <c r="D930" t="s">
        <v>53</v>
      </c>
      <c r="E930" t="str">
        <f t="shared" si="194"/>
        <v>Male</v>
      </c>
      <c r="F930">
        <v>52</v>
      </c>
      <c r="G930" t="s">
        <v>116</v>
      </c>
      <c r="H930" t="s">
        <v>117</v>
      </c>
      <c r="I930" t="s">
        <v>9</v>
      </c>
      <c r="J930">
        <v>15</v>
      </c>
      <c r="K930" s="4" t="str" cm="1">
        <f t="array" ref="K930">_xlfn.IFS(J930&lt;=5,"0-5",J930&lt;=10,"6-10",J930&lt;=15,"11-15",J930&lt;=20,"16-20",J930&gt;20,"21+")</f>
        <v>11-15</v>
      </c>
      <c r="L930" t="s">
        <v>28</v>
      </c>
      <c r="M930" s="2" t="str">
        <f>SUBSTITUTE(L930,"$","")</f>
        <v>40</v>
      </c>
      <c r="N930" s="8">
        <f t="shared" si="195"/>
        <v>40</v>
      </c>
      <c r="O930">
        <v>0</v>
      </c>
      <c r="P930">
        <v>1</v>
      </c>
      <c r="Q930" t="s">
        <v>2073</v>
      </c>
      <c r="R930" s="1">
        <v>0.92</v>
      </c>
      <c r="S930" s="3">
        <f t="shared" ref="S930:S935" si="203">R930</f>
        <v>0.92</v>
      </c>
    </row>
    <row r="931" spans="1:19" x14ac:dyDescent="0.3">
      <c r="A931" t="s">
        <v>1927</v>
      </c>
      <c r="B931" t="s">
        <v>1928</v>
      </c>
      <c r="C931" t="str">
        <f t="shared" si="201"/>
        <v>Nicole Bennett</v>
      </c>
      <c r="D931" t="s">
        <v>69</v>
      </c>
      <c r="E931" t="str">
        <f t="shared" si="194"/>
        <v>Female</v>
      </c>
      <c r="F931">
        <v>22</v>
      </c>
      <c r="G931" t="s">
        <v>127</v>
      </c>
      <c r="H931" t="s">
        <v>128</v>
      </c>
      <c r="I931" t="s">
        <v>106</v>
      </c>
      <c r="J931">
        <v>2</v>
      </c>
      <c r="K931" s="4" t="str" cm="1">
        <f t="array" ref="K931">_xlfn.IFS(J931&lt;=5,"0-5",J931&lt;=10,"6-10",J931&lt;=15,"11-15",J931&lt;=20,"16-20",J931&gt;20,"21+")</f>
        <v>0-5</v>
      </c>
      <c r="L931">
        <v>30</v>
      </c>
      <c r="M931" s="2">
        <f>L931</f>
        <v>30</v>
      </c>
      <c r="N931" s="8">
        <f t="shared" si="195"/>
        <v>30</v>
      </c>
      <c r="O931">
        <v>2</v>
      </c>
      <c r="P931" t="s">
        <v>151</v>
      </c>
      <c r="Q931" t="s">
        <v>2072</v>
      </c>
      <c r="R931" s="1">
        <v>0.96</v>
      </c>
      <c r="S931" s="3">
        <f t="shared" si="203"/>
        <v>0.96</v>
      </c>
    </row>
    <row r="932" spans="1:19" x14ac:dyDescent="0.3">
      <c r="A932" t="s">
        <v>1929</v>
      </c>
      <c r="B932" t="s">
        <v>1930</v>
      </c>
      <c r="C932" t="str">
        <f t="shared" si="201"/>
        <v>Lauren Lowery</v>
      </c>
      <c r="D932" t="s">
        <v>69</v>
      </c>
      <c r="E932" t="str">
        <f t="shared" si="194"/>
        <v>Female</v>
      </c>
      <c r="F932">
        <v>38</v>
      </c>
      <c r="G932" t="s">
        <v>54</v>
      </c>
      <c r="H932" t="s">
        <v>55</v>
      </c>
      <c r="I932" t="s">
        <v>27</v>
      </c>
      <c r="J932">
        <v>14</v>
      </c>
      <c r="K932" s="4" t="str" cm="1">
        <f t="array" ref="K932">_xlfn.IFS(J932&lt;=5,"0-5",J932&lt;=10,"6-10",J932&lt;=15,"11-15",J932&lt;=20,"16-20",J932&gt;20,"21+")</f>
        <v>11-15</v>
      </c>
      <c r="L932">
        <v>100</v>
      </c>
      <c r="M932" s="2">
        <f>L932</f>
        <v>100</v>
      </c>
      <c r="N932" s="8">
        <f t="shared" si="195"/>
        <v>100</v>
      </c>
      <c r="O932">
        <v>1.7</v>
      </c>
      <c r="P932" t="b">
        <v>0</v>
      </c>
      <c r="Q932" t="s">
        <v>2072</v>
      </c>
      <c r="R932" s="1">
        <v>0.66</v>
      </c>
      <c r="S932" s="3">
        <f t="shared" si="203"/>
        <v>0.66</v>
      </c>
    </row>
    <row r="933" spans="1:19" x14ac:dyDescent="0.3">
      <c r="A933" t="s">
        <v>1931</v>
      </c>
      <c r="B933" t="s">
        <v>1932</v>
      </c>
      <c r="C933" t="str">
        <f t="shared" si="201"/>
        <v>Alexander Woodward</v>
      </c>
      <c r="D933" t="s">
        <v>19</v>
      </c>
      <c r="E933" t="str">
        <f t="shared" si="194"/>
        <v>Male</v>
      </c>
      <c r="F933">
        <v>21</v>
      </c>
      <c r="G933" t="s">
        <v>120</v>
      </c>
      <c r="H933" t="s">
        <v>14</v>
      </c>
      <c r="I933" t="s">
        <v>22</v>
      </c>
      <c r="J933">
        <v>0</v>
      </c>
      <c r="K933" s="4" t="str" cm="1">
        <f t="array" ref="K933">_xlfn.IFS(J933&lt;=5,"0-5",J933&lt;=10,"6-10",J933&lt;=15,"11-15",J933&lt;=20,"16-20",J933&gt;20,"21+")</f>
        <v>0-5</v>
      </c>
      <c r="L933" t="s">
        <v>16</v>
      </c>
      <c r="M933" s="2" t="str">
        <f>TRIM(MID(L933,FIND(" ",L933)+1,LEN(L933)))</f>
        <v>100</v>
      </c>
      <c r="N933" s="8">
        <f t="shared" si="195"/>
        <v>100</v>
      </c>
      <c r="O933">
        <v>3</v>
      </c>
      <c r="P933" t="s">
        <v>23</v>
      </c>
      <c r="Q933" t="s">
        <v>2072</v>
      </c>
      <c r="R933" s="1">
        <v>0.64</v>
      </c>
      <c r="S933" s="3">
        <f t="shared" si="203"/>
        <v>0.64</v>
      </c>
    </row>
    <row r="934" spans="1:19" x14ac:dyDescent="0.3">
      <c r="A934" t="s">
        <v>1933</v>
      </c>
      <c r="B934" t="s">
        <v>1934</v>
      </c>
      <c r="C934" t="str">
        <f t="shared" si="201"/>
        <v>Anthony Walter</v>
      </c>
      <c r="D934" t="s">
        <v>53</v>
      </c>
      <c r="E934" t="str">
        <f t="shared" si="194"/>
        <v>Male</v>
      </c>
      <c r="F934">
        <v>41</v>
      </c>
      <c r="G934" t="s">
        <v>13</v>
      </c>
      <c r="H934" t="s">
        <v>14</v>
      </c>
      <c r="I934" t="s">
        <v>36</v>
      </c>
      <c r="J934">
        <v>15</v>
      </c>
      <c r="K934" s="4" t="str" cm="1">
        <f t="array" ref="K934">_xlfn.IFS(J934&lt;=5,"0-5",J934&lt;=10,"6-10",J934&lt;=15,"11-15",J934&lt;=20,"16-20",J934&gt;20,"21+")</f>
        <v>11-15</v>
      </c>
      <c r="L934">
        <v>40</v>
      </c>
      <c r="M934" s="2">
        <f>L934</f>
        <v>40</v>
      </c>
      <c r="N934" s="8">
        <f t="shared" si="195"/>
        <v>40</v>
      </c>
      <c r="O934">
        <v>3.4</v>
      </c>
      <c r="P934" t="b">
        <v>0</v>
      </c>
      <c r="Q934" t="s">
        <v>2072</v>
      </c>
      <c r="R934" s="1">
        <v>1</v>
      </c>
      <c r="S934" s="3">
        <f t="shared" si="203"/>
        <v>1</v>
      </c>
    </row>
    <row r="935" spans="1:19" x14ac:dyDescent="0.3">
      <c r="A935" t="s">
        <v>1935</v>
      </c>
      <c r="B935" t="s">
        <v>1936</v>
      </c>
      <c r="C935" t="str">
        <f t="shared" si="201"/>
        <v>Valerie Finley</v>
      </c>
      <c r="D935" t="s">
        <v>31</v>
      </c>
      <c r="E935" t="str">
        <f t="shared" si="194"/>
        <v>Female</v>
      </c>
      <c r="F935">
        <v>33</v>
      </c>
      <c r="G935" t="s">
        <v>41</v>
      </c>
      <c r="H935" t="s">
        <v>42</v>
      </c>
      <c r="I935" t="s">
        <v>9</v>
      </c>
      <c r="J935">
        <v>6</v>
      </c>
      <c r="K935" s="4" t="str" cm="1">
        <f t="array" ref="K935">_xlfn.IFS(J935&lt;=5,"0-5",J935&lt;=10,"6-10",J935&lt;=15,"11-15",J935&lt;=20,"16-20",J935&gt;20,"21+")</f>
        <v>6-10</v>
      </c>
      <c r="L935">
        <v>40</v>
      </c>
      <c r="M935" s="2">
        <f>L935</f>
        <v>40</v>
      </c>
      <c r="N935" s="8">
        <f t="shared" si="195"/>
        <v>40</v>
      </c>
      <c r="O935">
        <v>3.2</v>
      </c>
      <c r="P935">
        <v>1</v>
      </c>
      <c r="Q935" t="s">
        <v>2073</v>
      </c>
      <c r="R935" s="1">
        <v>0.95</v>
      </c>
      <c r="S935" s="3">
        <f t="shared" si="203"/>
        <v>0.95</v>
      </c>
    </row>
    <row r="936" spans="1:19" x14ac:dyDescent="0.3">
      <c r="A936" t="s">
        <v>1937</v>
      </c>
      <c r="B936" t="s">
        <v>1938</v>
      </c>
      <c r="C936" t="str">
        <f t="shared" si="201"/>
        <v>Deborah Kelley</v>
      </c>
      <c r="D936" t="s">
        <v>6</v>
      </c>
      <c r="E936" t="str">
        <f t="shared" si="194"/>
        <v>Female</v>
      </c>
      <c r="F936">
        <v>38</v>
      </c>
      <c r="G936" t="s">
        <v>171</v>
      </c>
      <c r="H936" t="s">
        <v>64</v>
      </c>
      <c r="I936" t="s">
        <v>15</v>
      </c>
      <c r="J936">
        <v>11</v>
      </c>
      <c r="K936" s="4" t="str" cm="1">
        <f t="array" ref="K936">_xlfn.IFS(J936&lt;=5,"0-5",J936&lt;=10,"6-10",J936&lt;=15,"11-15",J936&lt;=20,"16-20",J936&gt;20,"21+")</f>
        <v>11-15</v>
      </c>
      <c r="N936" s="8" t="str">
        <f t="shared" si="195"/>
        <v/>
      </c>
      <c r="O936">
        <v>2.8</v>
      </c>
      <c r="R936">
        <v>91</v>
      </c>
      <c r="S936" s="3">
        <f>R936/100</f>
        <v>0.91</v>
      </c>
    </row>
    <row r="937" spans="1:19" x14ac:dyDescent="0.3">
      <c r="A937" t="s">
        <v>1939</v>
      </c>
      <c r="B937" t="s">
        <v>1940</v>
      </c>
      <c r="C937" t="str">
        <f t="shared" si="201"/>
        <v>Kristina Miller</v>
      </c>
      <c r="D937" t="s">
        <v>26</v>
      </c>
      <c r="E937" t="str">
        <f t="shared" si="194"/>
        <v>Female</v>
      </c>
      <c r="F937">
        <v>26</v>
      </c>
      <c r="G937" t="s">
        <v>116</v>
      </c>
      <c r="H937" t="s">
        <v>117</v>
      </c>
      <c r="I937" t="s">
        <v>81</v>
      </c>
      <c r="J937">
        <v>8</v>
      </c>
      <c r="K937" s="4" t="str" cm="1">
        <f t="array" ref="K937">_xlfn.IFS(J937&lt;=5,"0-5",J937&lt;=10,"6-10",J937&lt;=15,"11-15",J937&lt;=20,"16-20",J937&gt;20,"21+")</f>
        <v>6-10</v>
      </c>
      <c r="L937" t="s">
        <v>306</v>
      </c>
      <c r="M937" s="2" t="str">
        <f>TRIM(MID(L937,FIND(" ",L937)+1,LEN(L937)))</f>
        <v>20</v>
      </c>
      <c r="N937" s="8">
        <f t="shared" si="195"/>
        <v>20</v>
      </c>
      <c r="O937">
        <v>4.0999999999999996</v>
      </c>
      <c r="P937" t="s">
        <v>60</v>
      </c>
      <c r="Q937" t="s">
        <v>2073</v>
      </c>
      <c r="R937" s="1">
        <v>0.82</v>
      </c>
      <c r="S937" s="3">
        <f t="shared" ref="S937:S939" si="204">R937</f>
        <v>0.82</v>
      </c>
    </row>
    <row r="938" spans="1:19" x14ac:dyDescent="0.3">
      <c r="A938" t="s">
        <v>1941</v>
      </c>
      <c r="B938" t="s">
        <v>1942</v>
      </c>
      <c r="C938" t="str">
        <f t="shared" si="201"/>
        <v>Anne Hampton</v>
      </c>
      <c r="D938" t="s">
        <v>6</v>
      </c>
      <c r="E938" t="str">
        <f t="shared" si="194"/>
        <v>Female</v>
      </c>
      <c r="F938">
        <v>43</v>
      </c>
      <c r="G938" t="s">
        <v>34</v>
      </c>
      <c r="H938" t="s">
        <v>35</v>
      </c>
      <c r="I938" t="s">
        <v>36</v>
      </c>
      <c r="J938">
        <v>3</v>
      </c>
      <c r="K938" s="4" t="str" cm="1">
        <f t="array" ref="K938">_xlfn.IFS(J938&lt;=5,"0-5",J938&lt;=10,"6-10",J938&lt;=15,"11-15",J938&lt;=20,"16-20",J938&gt;20,"21+")</f>
        <v>0-5</v>
      </c>
      <c r="L938">
        <v>20</v>
      </c>
      <c r="M938" s="2">
        <f>L938</f>
        <v>20</v>
      </c>
      <c r="N938" s="8">
        <f t="shared" si="195"/>
        <v>20</v>
      </c>
      <c r="O938">
        <v>0</v>
      </c>
      <c r="P938" t="s">
        <v>66</v>
      </c>
      <c r="Q938" t="s">
        <v>2073</v>
      </c>
      <c r="R938" s="1">
        <v>0.95</v>
      </c>
      <c r="S938" s="3">
        <f t="shared" si="204"/>
        <v>0.95</v>
      </c>
    </row>
    <row r="939" spans="1:19" x14ac:dyDescent="0.3">
      <c r="A939" t="s">
        <v>1943</v>
      </c>
      <c r="B939" t="s">
        <v>1944</v>
      </c>
      <c r="C939" t="str">
        <f t="shared" si="201"/>
        <v>Sandra Henry</v>
      </c>
      <c r="D939" t="s">
        <v>69</v>
      </c>
      <c r="E939" t="str">
        <f t="shared" si="194"/>
        <v>Female</v>
      </c>
      <c r="F939">
        <v>21</v>
      </c>
      <c r="G939" t="s">
        <v>7</v>
      </c>
      <c r="H939" t="s">
        <v>8</v>
      </c>
      <c r="I939" t="s">
        <v>70</v>
      </c>
      <c r="J939">
        <v>0</v>
      </c>
      <c r="K939" s="4" t="str" cm="1">
        <f t="array" ref="K939">_xlfn.IFS(J939&lt;=5,"0-5",J939&lt;=10,"6-10",J939&lt;=15,"11-15",J939&lt;=20,"16-20",J939&gt;20,"21+")</f>
        <v>0-5</v>
      </c>
      <c r="N939" s="8" t="str">
        <f t="shared" si="195"/>
        <v/>
      </c>
      <c r="O939">
        <v>0</v>
      </c>
      <c r="P939">
        <v>1</v>
      </c>
      <c r="Q939" t="s">
        <v>2073</v>
      </c>
      <c r="R939" s="1">
        <v>0.95</v>
      </c>
      <c r="S939" s="3">
        <f t="shared" si="204"/>
        <v>0.95</v>
      </c>
    </row>
    <row r="940" spans="1:19" x14ac:dyDescent="0.3">
      <c r="A940" t="s">
        <v>1945</v>
      </c>
      <c r="B940" t="s">
        <v>1946</v>
      </c>
      <c r="C940" t="str">
        <f t="shared" si="201"/>
        <v>Tony Hester</v>
      </c>
      <c r="D940" t="s">
        <v>53</v>
      </c>
      <c r="E940" t="str">
        <f t="shared" si="194"/>
        <v>Male</v>
      </c>
      <c r="F940">
        <v>47</v>
      </c>
      <c r="G940" t="s">
        <v>104</v>
      </c>
      <c r="H940" t="s">
        <v>105</v>
      </c>
      <c r="I940" t="s">
        <v>15</v>
      </c>
      <c r="J940">
        <v>7</v>
      </c>
      <c r="K940" s="4" t="str" cm="1">
        <f t="array" ref="K940">_xlfn.IFS(J940&lt;=5,"0-5",J940&lt;=10,"6-10",J940&lt;=15,"11-15",J940&lt;=20,"16-20",J940&gt;20,"21+")</f>
        <v>6-10</v>
      </c>
      <c r="L940" t="s">
        <v>101</v>
      </c>
      <c r="M940" s="2" t="str">
        <f>TRIM(MID(L940,FIND(" ",L940)+1,LEN(L940)))</f>
        <v>30</v>
      </c>
      <c r="N940" s="8">
        <f t="shared" si="195"/>
        <v>30</v>
      </c>
      <c r="R940">
        <v>69</v>
      </c>
      <c r="S940" s="3">
        <f>R940/100</f>
        <v>0.69</v>
      </c>
    </row>
    <row r="941" spans="1:19" x14ac:dyDescent="0.3">
      <c r="A941" t="s">
        <v>1947</v>
      </c>
      <c r="B941" t="s">
        <v>1948</v>
      </c>
      <c r="C941" t="str">
        <f t="shared" si="201"/>
        <v>Nathan Davis</v>
      </c>
      <c r="D941" t="s">
        <v>53</v>
      </c>
      <c r="E941" t="str">
        <f t="shared" si="194"/>
        <v>Male</v>
      </c>
      <c r="F941">
        <v>35</v>
      </c>
      <c r="G941" t="s">
        <v>182</v>
      </c>
      <c r="H941" t="s">
        <v>64</v>
      </c>
      <c r="I941" t="s">
        <v>22</v>
      </c>
      <c r="J941">
        <v>6</v>
      </c>
      <c r="K941" s="4" t="str" cm="1">
        <f t="array" ref="K941">_xlfn.IFS(J941&lt;=5,"0-5",J941&lt;=10,"6-10",J941&lt;=15,"11-15",J941&lt;=20,"16-20",J941&gt;20,"21+")</f>
        <v>6-10</v>
      </c>
      <c r="L941">
        <v>40</v>
      </c>
      <c r="M941" s="2">
        <f>L941</f>
        <v>40</v>
      </c>
      <c r="N941" s="8">
        <f t="shared" si="195"/>
        <v>40</v>
      </c>
      <c r="P941" t="s">
        <v>60</v>
      </c>
      <c r="Q941" t="s">
        <v>2073</v>
      </c>
      <c r="R941" s="1">
        <v>0.91</v>
      </c>
      <c r="S941" s="3">
        <f>R941</f>
        <v>0.91</v>
      </c>
    </row>
    <row r="942" spans="1:19" x14ac:dyDescent="0.3">
      <c r="A942" t="s">
        <v>1949</v>
      </c>
      <c r="B942" t="s">
        <v>1950</v>
      </c>
      <c r="C942" t="str">
        <f t="shared" si="201"/>
        <v>Erica Jackson</v>
      </c>
      <c r="D942" t="s">
        <v>69</v>
      </c>
      <c r="E942" t="str">
        <f t="shared" si="194"/>
        <v>Female</v>
      </c>
      <c r="F942">
        <v>37</v>
      </c>
      <c r="G942" t="s">
        <v>41</v>
      </c>
      <c r="H942" t="s">
        <v>42</v>
      </c>
      <c r="I942" t="s">
        <v>15</v>
      </c>
      <c r="J942">
        <v>9</v>
      </c>
      <c r="K942" s="4" t="str" cm="1">
        <f t="array" ref="K942">_xlfn.IFS(J942&lt;=5,"0-5",J942&lt;=10,"6-10",J942&lt;=15,"11-15",J942&lt;=20,"16-20",J942&gt;20,"21+")</f>
        <v>6-10</v>
      </c>
      <c r="L942" t="s">
        <v>37</v>
      </c>
      <c r="M942" s="2" t="str">
        <f>SUBSTITUTE(L942,"$","")</f>
        <v>30</v>
      </c>
      <c r="N942" s="8">
        <f t="shared" si="195"/>
        <v>30</v>
      </c>
      <c r="O942">
        <v>2.7</v>
      </c>
      <c r="P942">
        <v>1</v>
      </c>
      <c r="Q942" t="s">
        <v>2073</v>
      </c>
    </row>
    <row r="943" spans="1:19" x14ac:dyDescent="0.3">
      <c r="A943" t="s">
        <v>1951</v>
      </c>
      <c r="B943" t="s">
        <v>1952</v>
      </c>
      <c r="C943" t="str">
        <f t="shared" si="201"/>
        <v>Nancy Glover</v>
      </c>
      <c r="D943" t="s">
        <v>12</v>
      </c>
      <c r="E943" t="str">
        <f t="shared" si="194"/>
        <v>Female</v>
      </c>
      <c r="F943">
        <v>38</v>
      </c>
      <c r="G943" t="s">
        <v>99</v>
      </c>
      <c r="H943" t="s">
        <v>100</v>
      </c>
      <c r="I943" t="s">
        <v>36</v>
      </c>
      <c r="J943">
        <v>15</v>
      </c>
      <c r="K943" s="4" t="str" cm="1">
        <f t="array" ref="K943">_xlfn.IFS(J943&lt;=5,"0-5",J943&lt;=10,"6-10",J943&lt;=15,"11-15",J943&lt;=20,"16-20",J943&gt;20,"21+")</f>
        <v>11-15</v>
      </c>
      <c r="L943">
        <v>40</v>
      </c>
      <c r="M943" s="2">
        <f>L943</f>
        <v>40</v>
      </c>
      <c r="N943" s="8">
        <f t="shared" si="195"/>
        <v>40</v>
      </c>
      <c r="O943">
        <v>4</v>
      </c>
      <c r="R943" s="1">
        <v>0.62</v>
      </c>
      <c r="S943" s="3">
        <f t="shared" ref="S943:S954" si="205">R943</f>
        <v>0.62</v>
      </c>
    </row>
    <row r="944" spans="1:19" x14ac:dyDescent="0.3">
      <c r="A944" t="s">
        <v>1953</v>
      </c>
      <c r="B944" t="s">
        <v>1954</v>
      </c>
      <c r="C944" t="str">
        <f t="shared" si="201"/>
        <v>Richard Sanchez</v>
      </c>
      <c r="D944" t="s">
        <v>53</v>
      </c>
      <c r="E944" t="str">
        <f t="shared" si="194"/>
        <v>Male</v>
      </c>
      <c r="F944">
        <v>40</v>
      </c>
      <c r="G944" t="s">
        <v>120</v>
      </c>
      <c r="H944" t="s">
        <v>14</v>
      </c>
      <c r="I944" t="s">
        <v>43</v>
      </c>
      <c r="J944">
        <v>20</v>
      </c>
      <c r="K944" s="4" t="str" cm="1">
        <f t="array" ref="K944">_xlfn.IFS(J944&lt;=5,"0-5",J944&lt;=10,"6-10",J944&lt;=15,"11-15",J944&lt;=20,"16-20",J944&gt;20,"21+")</f>
        <v>16-20</v>
      </c>
      <c r="L944">
        <v>20</v>
      </c>
      <c r="M944" s="2">
        <f>L944</f>
        <v>20</v>
      </c>
      <c r="N944" s="8">
        <f t="shared" si="195"/>
        <v>20</v>
      </c>
      <c r="O944">
        <v>2.5</v>
      </c>
      <c r="P944">
        <v>0</v>
      </c>
      <c r="Q944" t="s">
        <v>2072</v>
      </c>
      <c r="R944" s="1">
        <v>0.81</v>
      </c>
      <c r="S944" s="3">
        <f t="shared" si="205"/>
        <v>0.81</v>
      </c>
    </row>
    <row r="945" spans="1:19" x14ac:dyDescent="0.3">
      <c r="A945" t="s">
        <v>1955</v>
      </c>
      <c r="B945" t="s">
        <v>1956</v>
      </c>
      <c r="C945" t="str">
        <f t="shared" si="201"/>
        <v>Savannah Reid</v>
      </c>
      <c r="D945" t="s">
        <v>6</v>
      </c>
      <c r="E945" t="str">
        <f t="shared" si="194"/>
        <v>Female</v>
      </c>
      <c r="F945">
        <v>46</v>
      </c>
      <c r="G945" t="s">
        <v>99</v>
      </c>
      <c r="H945" t="s">
        <v>100</v>
      </c>
      <c r="I945" t="s">
        <v>43</v>
      </c>
      <c r="J945">
        <v>16</v>
      </c>
      <c r="K945" s="4" t="str" cm="1">
        <f t="array" ref="K945">_xlfn.IFS(J945&lt;=5,"0-5",J945&lt;=10,"6-10",J945&lt;=15,"11-15",J945&lt;=20,"16-20",J945&gt;20,"21+")</f>
        <v>16-20</v>
      </c>
      <c r="L945">
        <v>75</v>
      </c>
      <c r="M945" s="2">
        <f>L945</f>
        <v>75</v>
      </c>
      <c r="N945" s="8">
        <f t="shared" si="195"/>
        <v>75</v>
      </c>
      <c r="O945">
        <v>0</v>
      </c>
      <c r="P945" t="s">
        <v>151</v>
      </c>
      <c r="Q945" t="s">
        <v>2072</v>
      </c>
      <c r="R945" s="1">
        <v>0.94</v>
      </c>
      <c r="S945" s="3">
        <f t="shared" si="205"/>
        <v>0.94</v>
      </c>
    </row>
    <row r="946" spans="1:19" x14ac:dyDescent="0.3">
      <c r="A946" t="s">
        <v>1957</v>
      </c>
      <c r="B946" t="s">
        <v>1958</v>
      </c>
      <c r="C946" t="str">
        <f t="shared" si="201"/>
        <v>Robert Salazar</v>
      </c>
      <c r="D946" t="s">
        <v>40</v>
      </c>
      <c r="E946" t="str">
        <f t="shared" si="194"/>
        <v>Male</v>
      </c>
      <c r="F946">
        <v>56</v>
      </c>
      <c r="G946" t="s">
        <v>131</v>
      </c>
      <c r="H946" t="s">
        <v>132</v>
      </c>
      <c r="I946" t="s">
        <v>81</v>
      </c>
      <c r="J946">
        <v>22</v>
      </c>
      <c r="K946" s="4" t="str" cm="1">
        <f t="array" ref="K946">_xlfn.IFS(J946&lt;=5,"0-5",J946&lt;=10,"6-10",J946&lt;=15,"11-15",J946&lt;=20,"16-20",J946&gt;20,"21+")</f>
        <v>21+</v>
      </c>
      <c r="L946" t="s">
        <v>101</v>
      </c>
      <c r="M946" s="2" t="str">
        <f>TRIM(MID(L946,FIND(" ",L946)+1,LEN(L946)))</f>
        <v>30</v>
      </c>
      <c r="N946" s="8">
        <f t="shared" si="195"/>
        <v>30</v>
      </c>
      <c r="P946" t="s">
        <v>151</v>
      </c>
      <c r="Q946" t="s">
        <v>2072</v>
      </c>
      <c r="R946" s="1">
        <v>0.95</v>
      </c>
      <c r="S946" s="3">
        <f t="shared" si="205"/>
        <v>0.95</v>
      </c>
    </row>
    <row r="947" spans="1:19" x14ac:dyDescent="0.3">
      <c r="A947" t="s">
        <v>1959</v>
      </c>
      <c r="B947" t="s">
        <v>1960</v>
      </c>
      <c r="C947" t="str">
        <f t="shared" si="201"/>
        <v>Hector Greer</v>
      </c>
      <c r="D947" t="s">
        <v>40</v>
      </c>
      <c r="E947" t="str">
        <f t="shared" si="194"/>
        <v>Male</v>
      </c>
      <c r="F947">
        <v>24</v>
      </c>
      <c r="G947" t="s">
        <v>54</v>
      </c>
      <c r="H947" t="s">
        <v>55</v>
      </c>
      <c r="I947" t="s">
        <v>22</v>
      </c>
      <c r="J947">
        <v>2</v>
      </c>
      <c r="K947" s="4" t="str" cm="1">
        <f t="array" ref="K947">_xlfn.IFS(J947&lt;=5,"0-5",J947&lt;=10,"6-10",J947&lt;=15,"11-15",J947&lt;=20,"16-20",J947&gt;20,"21+")</f>
        <v>0-5</v>
      </c>
      <c r="N947" s="8" t="str">
        <f t="shared" si="195"/>
        <v/>
      </c>
      <c r="O947">
        <v>1.6</v>
      </c>
      <c r="P947" t="s">
        <v>151</v>
      </c>
      <c r="Q947" t="s">
        <v>2072</v>
      </c>
      <c r="R947" s="1">
        <v>1</v>
      </c>
      <c r="S947" s="3">
        <f t="shared" si="205"/>
        <v>1</v>
      </c>
    </row>
    <row r="948" spans="1:19" x14ac:dyDescent="0.3">
      <c r="A948" t="s">
        <v>1961</v>
      </c>
      <c r="B948" t="s">
        <v>1962</v>
      </c>
      <c r="C948" t="str">
        <f t="shared" si="201"/>
        <v>Thomas Jackson</v>
      </c>
      <c r="D948" t="s">
        <v>84</v>
      </c>
      <c r="E948" t="str">
        <f t="shared" si="194"/>
        <v>Male</v>
      </c>
      <c r="G948" t="s">
        <v>171</v>
      </c>
      <c r="H948" t="s">
        <v>64</v>
      </c>
      <c r="I948" t="s">
        <v>36</v>
      </c>
      <c r="J948">
        <v>1</v>
      </c>
      <c r="K948" s="4" t="str" cm="1">
        <f t="array" ref="K948">_xlfn.IFS(J948&lt;=5,"0-5",J948&lt;=10,"6-10",J948&lt;=15,"11-15",J948&lt;=20,"16-20",J948&gt;20,"21+")</f>
        <v>0-5</v>
      </c>
      <c r="L948">
        <v>75</v>
      </c>
      <c r="M948" s="2">
        <f>L948</f>
        <v>75</v>
      </c>
      <c r="N948" s="8">
        <f t="shared" si="195"/>
        <v>75</v>
      </c>
      <c r="O948">
        <v>0</v>
      </c>
      <c r="P948" t="b">
        <v>1</v>
      </c>
      <c r="Q948" t="s">
        <v>2073</v>
      </c>
      <c r="R948" s="1">
        <v>0.94</v>
      </c>
      <c r="S948" s="3">
        <f t="shared" si="205"/>
        <v>0.94</v>
      </c>
    </row>
    <row r="949" spans="1:19" x14ac:dyDescent="0.3">
      <c r="A949" t="s">
        <v>1963</v>
      </c>
      <c r="B949" t="s">
        <v>1964</v>
      </c>
      <c r="C949" t="str">
        <f t="shared" si="201"/>
        <v>Tina Clark</v>
      </c>
      <c r="D949" t="s">
        <v>26</v>
      </c>
      <c r="E949" t="str">
        <f t="shared" si="194"/>
        <v>Female</v>
      </c>
      <c r="F949">
        <v>38</v>
      </c>
      <c r="G949" t="s">
        <v>54</v>
      </c>
      <c r="H949" t="s">
        <v>55</v>
      </c>
      <c r="I949" t="s">
        <v>15</v>
      </c>
      <c r="J949">
        <v>8</v>
      </c>
      <c r="K949" s="4" t="str" cm="1">
        <f t="array" ref="K949">_xlfn.IFS(J949&lt;=5,"0-5",J949&lt;=10,"6-10",J949&lt;=15,"11-15",J949&lt;=20,"16-20",J949&gt;20,"21+")</f>
        <v>6-10</v>
      </c>
      <c r="L949">
        <v>30</v>
      </c>
      <c r="M949" s="2">
        <f>L949</f>
        <v>30</v>
      </c>
      <c r="N949" s="8">
        <f t="shared" si="195"/>
        <v>30</v>
      </c>
      <c r="O949">
        <v>4</v>
      </c>
      <c r="P949">
        <v>1</v>
      </c>
      <c r="Q949" t="s">
        <v>2073</v>
      </c>
      <c r="R949" s="1">
        <v>0.92</v>
      </c>
      <c r="S949" s="3">
        <f t="shared" si="205"/>
        <v>0.92</v>
      </c>
    </row>
    <row r="950" spans="1:19" x14ac:dyDescent="0.3">
      <c r="A950" t="s">
        <v>1965</v>
      </c>
      <c r="B950" t="s">
        <v>1966</v>
      </c>
      <c r="C950" t="str">
        <f t="shared" si="201"/>
        <v>Heather Brown</v>
      </c>
      <c r="D950" t="s">
        <v>69</v>
      </c>
      <c r="E950" t="str">
        <f t="shared" si="194"/>
        <v>Female</v>
      </c>
      <c r="F950">
        <v>28</v>
      </c>
      <c r="G950" t="s">
        <v>127</v>
      </c>
      <c r="H950" t="s">
        <v>128</v>
      </c>
      <c r="I950" t="s">
        <v>81</v>
      </c>
      <c r="J950">
        <v>8</v>
      </c>
      <c r="K950" s="4" t="str" cm="1">
        <f t="array" ref="K950">_xlfn.IFS(J950&lt;=5,"0-5",J950&lt;=10,"6-10",J950&lt;=15,"11-15",J950&lt;=20,"16-20",J950&gt;20,"21+")</f>
        <v>6-10</v>
      </c>
      <c r="L950" t="s">
        <v>90</v>
      </c>
      <c r="M950" s="2" t="str">
        <f>TRIM(MID(L950,FIND(" ",L950)+1,LEN(L950)))</f>
        <v>50</v>
      </c>
      <c r="N950" s="8">
        <f t="shared" si="195"/>
        <v>50</v>
      </c>
      <c r="O950">
        <v>2.5</v>
      </c>
      <c r="P950" t="b">
        <v>1</v>
      </c>
      <c r="Q950" t="s">
        <v>2073</v>
      </c>
      <c r="R950" s="1">
        <v>0.95</v>
      </c>
      <c r="S950" s="3">
        <f t="shared" si="205"/>
        <v>0.95</v>
      </c>
    </row>
    <row r="951" spans="1:19" x14ac:dyDescent="0.3">
      <c r="A951" t="s">
        <v>1967</v>
      </c>
      <c r="B951" t="s">
        <v>1968</v>
      </c>
      <c r="C951" t="str">
        <f t="shared" si="201"/>
        <v>John Weaver</v>
      </c>
      <c r="D951" t="s">
        <v>40</v>
      </c>
      <c r="E951" t="str">
        <f t="shared" si="194"/>
        <v>Male</v>
      </c>
      <c r="F951">
        <v>25</v>
      </c>
      <c r="G951" t="s">
        <v>99</v>
      </c>
      <c r="H951" t="s">
        <v>100</v>
      </c>
      <c r="I951" t="s">
        <v>81</v>
      </c>
      <c r="J951">
        <v>7</v>
      </c>
      <c r="K951" s="4" t="str" cm="1">
        <f t="array" ref="K951">_xlfn.IFS(J951&lt;=5,"0-5",J951&lt;=10,"6-10",J951&lt;=15,"11-15",J951&lt;=20,"16-20",J951&gt;20,"21+")</f>
        <v>6-10</v>
      </c>
      <c r="L951" t="s">
        <v>113</v>
      </c>
      <c r="M951" s="2" t="str">
        <f>SUBSTITUTE(L951,"$","")</f>
        <v>20</v>
      </c>
      <c r="N951" s="8">
        <f t="shared" si="195"/>
        <v>20</v>
      </c>
      <c r="O951">
        <v>3.8</v>
      </c>
      <c r="R951" s="1">
        <v>0.97</v>
      </c>
      <c r="S951" s="3">
        <f t="shared" si="205"/>
        <v>0.97</v>
      </c>
    </row>
    <row r="952" spans="1:19" x14ac:dyDescent="0.3">
      <c r="A952" t="s">
        <v>1969</v>
      </c>
      <c r="B952" t="s">
        <v>1970</v>
      </c>
      <c r="C952" t="str">
        <f t="shared" si="201"/>
        <v>Bradley Harris</v>
      </c>
      <c r="D952" t="s">
        <v>89</v>
      </c>
      <c r="E952" t="str">
        <f t="shared" si="194"/>
        <v>Male</v>
      </c>
      <c r="F952">
        <v>41</v>
      </c>
      <c r="G952" t="s">
        <v>59</v>
      </c>
      <c r="H952" t="s">
        <v>14</v>
      </c>
      <c r="I952" t="s">
        <v>81</v>
      </c>
      <c r="J952">
        <v>8</v>
      </c>
      <c r="K952" s="4" t="str" cm="1">
        <f t="array" ref="K952">_xlfn.IFS(J952&lt;=5,"0-5",J952&lt;=10,"6-10",J952&lt;=15,"11-15",J952&lt;=20,"16-20",J952&gt;20,"21+")</f>
        <v>6-10</v>
      </c>
      <c r="L952">
        <v>50</v>
      </c>
      <c r="M952" s="2">
        <f>L952</f>
        <v>50</v>
      </c>
      <c r="N952" s="8">
        <f t="shared" si="195"/>
        <v>50</v>
      </c>
      <c r="O952">
        <v>4.8</v>
      </c>
      <c r="P952" t="s">
        <v>23</v>
      </c>
      <c r="Q952" t="s">
        <v>2072</v>
      </c>
      <c r="R952" s="1">
        <v>0.75</v>
      </c>
      <c r="S952" s="3">
        <f t="shared" si="205"/>
        <v>0.75</v>
      </c>
    </row>
    <row r="953" spans="1:19" x14ac:dyDescent="0.3">
      <c r="A953" t="s">
        <v>1971</v>
      </c>
      <c r="B953" t="s">
        <v>1972</v>
      </c>
      <c r="C953" t="str">
        <f t="shared" si="201"/>
        <v>Cassandra Macdonald</v>
      </c>
      <c r="D953" t="s">
        <v>6</v>
      </c>
      <c r="E953" t="str">
        <f t="shared" si="194"/>
        <v>Female</v>
      </c>
      <c r="F953">
        <v>45</v>
      </c>
      <c r="G953" t="s">
        <v>171</v>
      </c>
      <c r="H953" t="s">
        <v>64</v>
      </c>
      <c r="I953" t="s">
        <v>43</v>
      </c>
      <c r="J953">
        <v>6</v>
      </c>
      <c r="K953" s="4" t="str" cm="1">
        <f t="array" ref="K953">_xlfn.IFS(J953&lt;=5,"0-5",J953&lt;=10,"6-10",J953&lt;=15,"11-15",J953&lt;=20,"16-20",J953&gt;20,"21+")</f>
        <v>6-10</v>
      </c>
      <c r="L953">
        <v>40</v>
      </c>
      <c r="M953" s="2">
        <f>L953</f>
        <v>40</v>
      </c>
      <c r="N953" s="8">
        <f t="shared" si="195"/>
        <v>40</v>
      </c>
      <c r="O953">
        <v>2</v>
      </c>
      <c r="P953">
        <v>1</v>
      </c>
      <c r="Q953" t="s">
        <v>2073</v>
      </c>
      <c r="R953" s="1">
        <v>0.78</v>
      </c>
      <c r="S953" s="3">
        <f t="shared" si="205"/>
        <v>0.78</v>
      </c>
    </row>
    <row r="954" spans="1:19" x14ac:dyDescent="0.3">
      <c r="A954" t="s">
        <v>1973</v>
      </c>
      <c r="B954" t="s">
        <v>1974</v>
      </c>
      <c r="C954" t="str">
        <f t="shared" si="201"/>
        <v>Matthew White</v>
      </c>
      <c r="D954" t="s">
        <v>40</v>
      </c>
      <c r="E954" t="str">
        <f t="shared" si="194"/>
        <v>Male</v>
      </c>
      <c r="F954">
        <v>47</v>
      </c>
      <c r="G954" t="s">
        <v>54</v>
      </c>
      <c r="H954" t="s">
        <v>55</v>
      </c>
      <c r="I954" t="s">
        <v>81</v>
      </c>
      <c r="J954">
        <v>16</v>
      </c>
      <c r="K954" s="4" t="str" cm="1">
        <f t="array" ref="K954">_xlfn.IFS(J954&lt;=5,"0-5",J954&lt;=10,"6-10",J954&lt;=15,"11-15",J954&lt;=20,"16-20",J954&gt;20,"21+")</f>
        <v>16-20</v>
      </c>
      <c r="L954" t="s">
        <v>221</v>
      </c>
      <c r="M954" s="2" t="str">
        <f>SUBSTITUTE(L954,"$","")</f>
        <v>100</v>
      </c>
      <c r="N954" s="8">
        <f t="shared" si="195"/>
        <v>100</v>
      </c>
      <c r="O954">
        <v>3.3</v>
      </c>
      <c r="P954">
        <v>0</v>
      </c>
      <c r="Q954" t="s">
        <v>2072</v>
      </c>
      <c r="R954" s="1">
        <v>0.65</v>
      </c>
      <c r="S954" s="3">
        <f t="shared" si="205"/>
        <v>0.65</v>
      </c>
    </row>
    <row r="955" spans="1:19" x14ac:dyDescent="0.3">
      <c r="A955" t="s">
        <v>1975</v>
      </c>
      <c r="B955" t="s">
        <v>1976</v>
      </c>
      <c r="C955" t="str">
        <f t="shared" si="201"/>
        <v>Miss Kimberly Marshall</v>
      </c>
      <c r="D955" t="s">
        <v>26</v>
      </c>
      <c r="E955" t="str">
        <f t="shared" si="194"/>
        <v>Female</v>
      </c>
      <c r="F955">
        <v>59</v>
      </c>
      <c r="G955" t="s">
        <v>59</v>
      </c>
      <c r="H955" t="s">
        <v>14</v>
      </c>
      <c r="I955" t="s">
        <v>43</v>
      </c>
      <c r="J955">
        <v>40</v>
      </c>
      <c r="K955" s="4" t="str" cm="1">
        <f t="array" ref="K955">_xlfn.IFS(J955&lt;=5,"0-5",J955&lt;=10,"6-10",J955&lt;=15,"11-15",J955&lt;=20,"16-20",J955&gt;20,"21+")</f>
        <v>21+</v>
      </c>
      <c r="L955">
        <v>40</v>
      </c>
      <c r="M955" s="2">
        <f>L955</f>
        <v>40</v>
      </c>
      <c r="N955" s="8">
        <f t="shared" si="195"/>
        <v>40</v>
      </c>
      <c r="O955">
        <v>2.5</v>
      </c>
      <c r="P955" t="b">
        <v>1</v>
      </c>
      <c r="Q955" t="s">
        <v>2073</v>
      </c>
      <c r="R955">
        <v>70</v>
      </c>
      <c r="S955" s="3">
        <f t="shared" ref="S955:S956" si="206">R955/100</f>
        <v>0.7</v>
      </c>
    </row>
    <row r="956" spans="1:19" x14ac:dyDescent="0.3">
      <c r="A956" t="s">
        <v>1977</v>
      </c>
      <c r="B956" t="s">
        <v>1978</v>
      </c>
      <c r="C956" t="str">
        <f t="shared" si="201"/>
        <v>Laura Thompson</v>
      </c>
      <c r="D956" t="s">
        <v>69</v>
      </c>
      <c r="E956" t="str">
        <f t="shared" si="194"/>
        <v>Female</v>
      </c>
      <c r="F956">
        <v>25</v>
      </c>
      <c r="G956" t="s">
        <v>120</v>
      </c>
      <c r="H956" t="s">
        <v>14</v>
      </c>
      <c r="I956" t="s">
        <v>9</v>
      </c>
      <c r="J956">
        <v>6</v>
      </c>
      <c r="K956" s="4" t="str" cm="1">
        <f t="array" ref="K956">_xlfn.IFS(J956&lt;=5,"0-5",J956&lt;=10,"6-10",J956&lt;=15,"11-15",J956&lt;=20,"16-20",J956&gt;20,"21+")</f>
        <v>6-10</v>
      </c>
      <c r="L956" t="s">
        <v>221</v>
      </c>
      <c r="M956" s="2" t="str">
        <f>SUBSTITUTE(L956,"$","")</f>
        <v>100</v>
      </c>
      <c r="N956" s="8">
        <f t="shared" si="195"/>
        <v>100</v>
      </c>
      <c r="P956" t="s">
        <v>66</v>
      </c>
      <c r="Q956" t="s">
        <v>2073</v>
      </c>
      <c r="R956">
        <v>78</v>
      </c>
      <c r="S956" s="3">
        <f t="shared" si="206"/>
        <v>0.78</v>
      </c>
    </row>
    <row r="957" spans="1:19" x14ac:dyDescent="0.3">
      <c r="A957" t="s">
        <v>1979</v>
      </c>
      <c r="B957" t="s">
        <v>1980</v>
      </c>
      <c r="C957" t="str">
        <f t="shared" si="201"/>
        <v>Nathan Soto</v>
      </c>
      <c r="D957" t="s">
        <v>89</v>
      </c>
      <c r="E957" t="str">
        <f t="shared" si="194"/>
        <v>Male</v>
      </c>
      <c r="F957">
        <v>27</v>
      </c>
      <c r="G957" t="s">
        <v>13</v>
      </c>
      <c r="H957" t="s">
        <v>14</v>
      </c>
      <c r="I957" t="s">
        <v>27</v>
      </c>
      <c r="J957">
        <v>3</v>
      </c>
      <c r="K957" s="4" t="str" cm="1">
        <f t="array" ref="K957">_xlfn.IFS(J957&lt;=5,"0-5",J957&lt;=10,"6-10",J957&lt;=15,"11-15",J957&lt;=20,"16-20",J957&gt;20,"21+")</f>
        <v>0-5</v>
      </c>
      <c r="L957" t="s">
        <v>90</v>
      </c>
      <c r="M957" s="2" t="str">
        <f>TRIM(MID(L957,FIND(" ",L957)+1,LEN(L957)))</f>
        <v>50</v>
      </c>
      <c r="N957" s="8">
        <f t="shared" si="195"/>
        <v>50</v>
      </c>
      <c r="P957">
        <v>1</v>
      </c>
      <c r="Q957" t="s">
        <v>2073</v>
      </c>
      <c r="R957" s="1">
        <v>0.96</v>
      </c>
      <c r="S957" s="3">
        <f t="shared" ref="S957:S960" si="207">R957</f>
        <v>0.96</v>
      </c>
    </row>
    <row r="958" spans="1:19" x14ac:dyDescent="0.3">
      <c r="A958" t="s">
        <v>1981</v>
      </c>
      <c r="B958" t="s">
        <v>1982</v>
      </c>
      <c r="C958" t="str">
        <f t="shared" si="201"/>
        <v>Rhonda Hines</v>
      </c>
      <c r="D958" t="s">
        <v>26</v>
      </c>
      <c r="E958" t="str">
        <f t="shared" si="194"/>
        <v>Female</v>
      </c>
      <c r="F958">
        <v>57</v>
      </c>
      <c r="G958" t="s">
        <v>13</v>
      </c>
      <c r="H958" t="s">
        <v>14</v>
      </c>
      <c r="I958" t="s">
        <v>36</v>
      </c>
      <c r="J958">
        <v>5</v>
      </c>
      <c r="K958" s="4" t="str" cm="1">
        <f t="array" ref="K958">_xlfn.IFS(J958&lt;=5,"0-5",J958&lt;=10,"6-10",J958&lt;=15,"11-15",J958&lt;=20,"16-20",J958&gt;20,"21+")</f>
        <v>0-5</v>
      </c>
      <c r="L958" t="s">
        <v>16</v>
      </c>
      <c r="M958" s="2" t="str">
        <f>TRIM(MID(L958,FIND(" ",L958)+1,LEN(L958)))</f>
        <v>100</v>
      </c>
      <c r="N958" s="8">
        <f t="shared" si="195"/>
        <v>100</v>
      </c>
      <c r="O958">
        <v>0</v>
      </c>
      <c r="P958">
        <v>1</v>
      </c>
      <c r="Q958" t="s">
        <v>2073</v>
      </c>
      <c r="R958" s="1">
        <v>0.8</v>
      </c>
      <c r="S958" s="3">
        <f t="shared" si="207"/>
        <v>0.8</v>
      </c>
    </row>
    <row r="959" spans="1:19" x14ac:dyDescent="0.3">
      <c r="A959" t="s">
        <v>1983</v>
      </c>
      <c r="B959" t="s">
        <v>1984</v>
      </c>
      <c r="C959" t="str">
        <f t="shared" si="201"/>
        <v>Gabrielle Bowman</v>
      </c>
      <c r="D959" t="s">
        <v>26</v>
      </c>
      <c r="E959" t="str">
        <f t="shared" si="194"/>
        <v>Female</v>
      </c>
      <c r="F959">
        <v>34</v>
      </c>
      <c r="G959" t="s">
        <v>54</v>
      </c>
      <c r="H959" t="s">
        <v>55</v>
      </c>
      <c r="I959" t="s">
        <v>65</v>
      </c>
      <c r="J959">
        <v>12</v>
      </c>
      <c r="K959" s="4" t="str" cm="1">
        <f t="array" ref="K959">_xlfn.IFS(J959&lt;=5,"0-5",J959&lt;=10,"6-10",J959&lt;=15,"11-15",J959&lt;=20,"16-20",J959&gt;20,"21+")</f>
        <v>11-15</v>
      </c>
      <c r="L959" t="s">
        <v>113</v>
      </c>
      <c r="M959" s="2" t="str">
        <f>SUBSTITUTE(L959,"$","")</f>
        <v>20</v>
      </c>
      <c r="N959" s="8">
        <f t="shared" si="195"/>
        <v>20</v>
      </c>
      <c r="O959">
        <v>1.6</v>
      </c>
      <c r="P959" t="s">
        <v>60</v>
      </c>
      <c r="Q959" t="s">
        <v>2073</v>
      </c>
      <c r="R959" s="1">
        <v>0.64</v>
      </c>
      <c r="S959" s="3">
        <f t="shared" si="207"/>
        <v>0.64</v>
      </c>
    </row>
    <row r="960" spans="1:19" x14ac:dyDescent="0.3">
      <c r="A960" t="s">
        <v>1985</v>
      </c>
      <c r="B960" t="s">
        <v>1986</v>
      </c>
      <c r="C960" t="str">
        <f t="shared" si="201"/>
        <v>Julian Edwards</v>
      </c>
      <c r="D960" t="s">
        <v>84</v>
      </c>
      <c r="E960" t="str">
        <f t="shared" si="194"/>
        <v>Male</v>
      </c>
      <c r="F960">
        <v>55</v>
      </c>
      <c r="G960" t="s">
        <v>127</v>
      </c>
      <c r="H960" t="s">
        <v>128</v>
      </c>
      <c r="I960" t="s">
        <v>65</v>
      </c>
      <c r="J960">
        <v>33</v>
      </c>
      <c r="K960" s="4" t="str" cm="1">
        <f t="array" ref="K960">_xlfn.IFS(J960&lt;=5,"0-5",J960&lt;=10,"6-10",J960&lt;=15,"11-15",J960&lt;=20,"16-20",J960&gt;20,"21+")</f>
        <v>21+</v>
      </c>
      <c r="L960">
        <v>50</v>
      </c>
      <c r="M960" s="2">
        <f>L960</f>
        <v>50</v>
      </c>
      <c r="N960" s="8">
        <f t="shared" si="195"/>
        <v>50</v>
      </c>
      <c r="O960">
        <v>0</v>
      </c>
      <c r="P960" t="b">
        <v>0</v>
      </c>
      <c r="Q960" t="s">
        <v>2072</v>
      </c>
      <c r="R960" s="1">
        <v>0.92</v>
      </c>
      <c r="S960" s="3">
        <f t="shared" si="207"/>
        <v>0.92</v>
      </c>
    </row>
    <row r="961" spans="1:19" x14ac:dyDescent="0.3">
      <c r="A961" t="s">
        <v>1987</v>
      </c>
      <c r="B961" t="s">
        <v>1988</v>
      </c>
      <c r="C961" t="str">
        <f t="shared" si="201"/>
        <v>Nicholas Scott</v>
      </c>
      <c r="D961" t="s">
        <v>19</v>
      </c>
      <c r="E961" t="str">
        <f t="shared" si="194"/>
        <v>Male</v>
      </c>
      <c r="F961">
        <v>21</v>
      </c>
      <c r="G961" t="s">
        <v>131</v>
      </c>
      <c r="H961" t="s">
        <v>132</v>
      </c>
      <c r="I961" t="s">
        <v>9</v>
      </c>
      <c r="J961">
        <v>1</v>
      </c>
      <c r="K961" s="4" t="str" cm="1">
        <f t="array" ref="K961">_xlfn.IFS(J961&lt;=5,"0-5",J961&lt;=10,"6-10",J961&lt;=15,"11-15",J961&lt;=20,"16-20",J961&gt;20,"21+")</f>
        <v>0-5</v>
      </c>
      <c r="L961">
        <v>100</v>
      </c>
      <c r="M961" s="2">
        <f>L961</f>
        <v>100</v>
      </c>
      <c r="N961" s="8">
        <f t="shared" si="195"/>
        <v>100</v>
      </c>
      <c r="O961">
        <v>0</v>
      </c>
      <c r="P961">
        <v>1</v>
      </c>
      <c r="Q961" t="s">
        <v>2073</v>
      </c>
    </row>
    <row r="962" spans="1:19" x14ac:dyDescent="0.3">
      <c r="A962" t="s">
        <v>1989</v>
      </c>
      <c r="B962" t="s">
        <v>1990</v>
      </c>
      <c r="C962" t="str">
        <f t="shared" si="201"/>
        <v>Daniel Green</v>
      </c>
      <c r="D962" t="s">
        <v>53</v>
      </c>
      <c r="E962" t="str">
        <f t="shared" ref="E962:E1025" si="208">IF(LOWER(LEFT(D962,1))="f","Female","Male")</f>
        <v>Male</v>
      </c>
      <c r="F962">
        <v>53</v>
      </c>
      <c r="G962" t="s">
        <v>34</v>
      </c>
      <c r="H962" t="s">
        <v>35</v>
      </c>
      <c r="I962" t="s">
        <v>81</v>
      </c>
      <c r="J962">
        <v>27</v>
      </c>
      <c r="K962" s="4" t="str" cm="1">
        <f t="array" ref="K962">_xlfn.IFS(J962&lt;=5,"0-5",J962&lt;=10,"6-10",J962&lt;=15,"11-15",J962&lt;=20,"16-20",J962&gt;20,"21+")</f>
        <v>21+</v>
      </c>
      <c r="L962" t="s">
        <v>306</v>
      </c>
      <c r="M962" s="2" t="str">
        <f>TRIM(MID(L962,FIND(" ",L962)+1,LEN(L962)))</f>
        <v>20</v>
      </c>
      <c r="N962" s="8">
        <f t="shared" si="195"/>
        <v>20</v>
      </c>
      <c r="O962">
        <v>4.7</v>
      </c>
      <c r="P962" t="s">
        <v>60</v>
      </c>
      <c r="Q962" t="s">
        <v>2073</v>
      </c>
      <c r="R962">
        <v>71</v>
      </c>
      <c r="S962" s="3">
        <f>R962/100</f>
        <v>0.71</v>
      </c>
    </row>
    <row r="963" spans="1:19" x14ac:dyDescent="0.3">
      <c r="A963" t="s">
        <v>1991</v>
      </c>
      <c r="B963" t="s">
        <v>1992</v>
      </c>
      <c r="C963" t="str">
        <f t="shared" si="201"/>
        <v>Catherine Johnston</v>
      </c>
      <c r="D963" t="s">
        <v>6</v>
      </c>
      <c r="E963" t="str">
        <f t="shared" si="208"/>
        <v>Female</v>
      </c>
      <c r="F963">
        <v>21</v>
      </c>
      <c r="G963" t="s">
        <v>20</v>
      </c>
      <c r="H963" t="s">
        <v>21</v>
      </c>
      <c r="I963" t="s">
        <v>65</v>
      </c>
      <c r="J963">
        <v>1</v>
      </c>
      <c r="K963" s="4" t="str" cm="1">
        <f t="array" ref="K963">_xlfn.IFS(J963&lt;=5,"0-5",J963&lt;=10,"6-10",J963&lt;=15,"11-15",J963&lt;=20,"16-20",J963&gt;20,"21+")</f>
        <v>0-5</v>
      </c>
      <c r="L963" t="s">
        <v>221</v>
      </c>
      <c r="M963" s="2" t="str">
        <f>SUBSTITUTE(L963,"$","")</f>
        <v>100</v>
      </c>
      <c r="N963" s="8">
        <f t="shared" ref="N963:N1001" si="209">IF(M963="", "", VALUE(M963))</f>
        <v>100</v>
      </c>
      <c r="O963">
        <v>0</v>
      </c>
      <c r="P963" t="s">
        <v>60</v>
      </c>
      <c r="Q963" t="s">
        <v>2073</v>
      </c>
      <c r="R963" s="1">
        <v>0.95</v>
      </c>
      <c r="S963" s="3">
        <f t="shared" ref="S963:S965" si="210">R963</f>
        <v>0.95</v>
      </c>
    </row>
    <row r="964" spans="1:19" x14ac:dyDescent="0.3">
      <c r="A964" t="s">
        <v>1993</v>
      </c>
      <c r="B964" t="s">
        <v>1994</v>
      </c>
      <c r="C964" t="str">
        <f t="shared" si="201"/>
        <v>Brenda Koch</v>
      </c>
      <c r="D964" t="s">
        <v>12</v>
      </c>
      <c r="E964" t="str">
        <f t="shared" si="208"/>
        <v>Female</v>
      </c>
      <c r="F964">
        <v>36</v>
      </c>
      <c r="G964" t="s">
        <v>99</v>
      </c>
      <c r="H964" t="s">
        <v>100</v>
      </c>
      <c r="I964" t="s">
        <v>27</v>
      </c>
      <c r="K964" s="4" t="str" cm="1">
        <f t="array" ref="K964">_xlfn.IFS(J964&lt;=5,"0-5",J964&lt;=10,"6-10",J964&lt;=15,"11-15",J964&lt;=20,"16-20",J964&gt;20,"21+")</f>
        <v>0-5</v>
      </c>
      <c r="L964">
        <v>20</v>
      </c>
      <c r="M964" s="2">
        <f>L964</f>
        <v>20</v>
      </c>
      <c r="N964" s="8">
        <f t="shared" si="209"/>
        <v>20</v>
      </c>
      <c r="O964">
        <v>4.0999999999999996</v>
      </c>
      <c r="P964" t="s">
        <v>23</v>
      </c>
      <c r="Q964" t="s">
        <v>2072</v>
      </c>
      <c r="R964" s="1">
        <v>0.86</v>
      </c>
      <c r="S964" s="3">
        <f t="shared" si="210"/>
        <v>0.86</v>
      </c>
    </row>
    <row r="965" spans="1:19" x14ac:dyDescent="0.3">
      <c r="A965" t="s">
        <v>1995</v>
      </c>
      <c r="B965" t="s">
        <v>1996</v>
      </c>
      <c r="C965" t="str">
        <f>TRIM(MID(B965,FIND(" ",B965)+1,LEN(B965)))</f>
        <v>Robert Meza</v>
      </c>
      <c r="D965" t="s">
        <v>19</v>
      </c>
      <c r="E965" t="str">
        <f t="shared" si="208"/>
        <v>Male</v>
      </c>
      <c r="F965">
        <v>40</v>
      </c>
      <c r="G965" t="s">
        <v>20</v>
      </c>
      <c r="H965" t="s">
        <v>21</v>
      </c>
      <c r="I965" t="s">
        <v>36</v>
      </c>
      <c r="J965">
        <v>2</v>
      </c>
      <c r="K965" s="4" t="str" cm="1">
        <f t="array" ref="K965">_xlfn.IFS(J965&lt;=5,"0-5",J965&lt;=10,"6-10",J965&lt;=15,"11-15",J965&lt;=20,"16-20",J965&gt;20,"21+")</f>
        <v>0-5</v>
      </c>
      <c r="L965" t="s">
        <v>37</v>
      </c>
      <c r="M965" s="2" t="str">
        <f>SUBSTITUTE(L965,"$","")</f>
        <v>30</v>
      </c>
      <c r="N965" s="8">
        <f t="shared" si="209"/>
        <v>30</v>
      </c>
      <c r="O965">
        <v>1.3</v>
      </c>
      <c r="P965">
        <v>1</v>
      </c>
      <c r="Q965" t="s">
        <v>2073</v>
      </c>
      <c r="R965" s="1">
        <v>0.77</v>
      </c>
      <c r="S965" s="3">
        <f t="shared" si="210"/>
        <v>0.77</v>
      </c>
    </row>
    <row r="966" spans="1:19" x14ac:dyDescent="0.3">
      <c r="A966" t="s">
        <v>1997</v>
      </c>
      <c r="B966" t="s">
        <v>1998</v>
      </c>
      <c r="C966" t="str">
        <f t="shared" ref="C966:C1001" si="211">B966</f>
        <v>Latoya Brown</v>
      </c>
      <c r="D966" t="s">
        <v>69</v>
      </c>
      <c r="E966" t="str">
        <f t="shared" si="208"/>
        <v>Female</v>
      </c>
      <c r="F966">
        <v>59</v>
      </c>
      <c r="G966" t="s">
        <v>59</v>
      </c>
      <c r="H966" t="s">
        <v>14</v>
      </c>
      <c r="I966" t="s">
        <v>65</v>
      </c>
      <c r="J966">
        <v>40</v>
      </c>
      <c r="K966" s="4" t="str" cm="1">
        <f t="array" ref="K966">_xlfn.IFS(J966&lt;=5,"0-5",J966&lt;=10,"6-10",J966&lt;=15,"11-15",J966&lt;=20,"16-20",J966&gt;20,"21+")</f>
        <v>21+</v>
      </c>
      <c r="L966">
        <v>100</v>
      </c>
      <c r="M966" s="2">
        <f>L966</f>
        <v>100</v>
      </c>
      <c r="N966" s="8">
        <f t="shared" si="209"/>
        <v>100</v>
      </c>
      <c r="O966">
        <v>2.6</v>
      </c>
    </row>
    <row r="967" spans="1:19" x14ac:dyDescent="0.3">
      <c r="A967" t="s">
        <v>1999</v>
      </c>
      <c r="B967" t="s">
        <v>2000</v>
      </c>
      <c r="C967" t="str">
        <f t="shared" si="211"/>
        <v>David Osborne III</v>
      </c>
      <c r="D967" t="s">
        <v>40</v>
      </c>
      <c r="E967" t="str">
        <f t="shared" si="208"/>
        <v>Male</v>
      </c>
      <c r="F967">
        <v>45</v>
      </c>
      <c r="G967" t="s">
        <v>34</v>
      </c>
      <c r="H967" t="s">
        <v>35</v>
      </c>
      <c r="I967" t="s">
        <v>70</v>
      </c>
      <c r="J967">
        <v>4</v>
      </c>
      <c r="K967" s="4" t="str" cm="1">
        <f t="array" ref="K967">_xlfn.IFS(J967&lt;=5,"0-5",J967&lt;=10,"6-10",J967&lt;=15,"11-15",J967&lt;=20,"16-20",J967&gt;20,"21+")</f>
        <v>0-5</v>
      </c>
      <c r="L967" t="s">
        <v>113</v>
      </c>
      <c r="M967" s="2" t="str">
        <f>SUBSTITUTE(L967,"$","")</f>
        <v>20</v>
      </c>
      <c r="N967" s="8">
        <f t="shared" si="209"/>
        <v>20</v>
      </c>
      <c r="O967">
        <v>2.7</v>
      </c>
      <c r="R967" s="1">
        <v>0.72</v>
      </c>
      <c r="S967" s="3">
        <f t="shared" ref="S967:S969" si="212">R967</f>
        <v>0.72</v>
      </c>
    </row>
    <row r="968" spans="1:19" x14ac:dyDescent="0.3">
      <c r="A968" t="s">
        <v>2001</v>
      </c>
      <c r="B968" t="s">
        <v>2002</v>
      </c>
      <c r="C968" t="str">
        <f t="shared" si="211"/>
        <v>David Hooper</v>
      </c>
      <c r="D968" t="s">
        <v>53</v>
      </c>
      <c r="E968" t="str">
        <f t="shared" si="208"/>
        <v>Male</v>
      </c>
      <c r="F968">
        <v>44</v>
      </c>
      <c r="G968" t="s">
        <v>104</v>
      </c>
      <c r="H968" t="s">
        <v>105</v>
      </c>
      <c r="I968" t="s">
        <v>106</v>
      </c>
      <c r="J968">
        <v>9</v>
      </c>
      <c r="K968" s="4" t="str" cm="1">
        <f t="array" ref="K968">_xlfn.IFS(J968&lt;=5,"0-5",J968&lt;=10,"6-10",J968&lt;=15,"11-15",J968&lt;=20,"16-20",J968&gt;20,"21+")</f>
        <v>6-10</v>
      </c>
      <c r="L968">
        <v>40</v>
      </c>
      <c r="M968" s="2">
        <f>L968</f>
        <v>40</v>
      </c>
      <c r="N968" s="8">
        <f t="shared" si="209"/>
        <v>40</v>
      </c>
      <c r="P968">
        <v>0</v>
      </c>
      <c r="Q968" t="s">
        <v>2072</v>
      </c>
      <c r="R968" s="1">
        <v>0.7</v>
      </c>
      <c r="S968" s="3">
        <f t="shared" si="212"/>
        <v>0.7</v>
      </c>
    </row>
    <row r="969" spans="1:19" x14ac:dyDescent="0.3">
      <c r="A969" t="s">
        <v>2003</v>
      </c>
      <c r="B969" t="s">
        <v>2004</v>
      </c>
      <c r="C969" t="str">
        <f t="shared" si="211"/>
        <v>Sarah Miller</v>
      </c>
      <c r="D969" t="s">
        <v>12</v>
      </c>
      <c r="E969" t="str">
        <f t="shared" si="208"/>
        <v>Female</v>
      </c>
      <c r="F969">
        <v>36</v>
      </c>
      <c r="G969" t="s">
        <v>59</v>
      </c>
      <c r="H969" t="s">
        <v>14</v>
      </c>
      <c r="I969" t="s">
        <v>70</v>
      </c>
      <c r="J969">
        <v>13</v>
      </c>
      <c r="K969" s="4" t="str" cm="1">
        <f t="array" ref="K969">_xlfn.IFS(J969&lt;=5,"0-5",J969&lt;=10,"6-10",J969&lt;=15,"11-15",J969&lt;=20,"16-20",J969&gt;20,"21+")</f>
        <v>11-15</v>
      </c>
      <c r="L969">
        <v>30</v>
      </c>
      <c r="M969" s="2">
        <f>L969</f>
        <v>30</v>
      </c>
      <c r="N969" s="8">
        <f t="shared" si="209"/>
        <v>30</v>
      </c>
      <c r="O969">
        <v>3.6</v>
      </c>
      <c r="P969">
        <v>0</v>
      </c>
      <c r="Q969" t="s">
        <v>2072</v>
      </c>
      <c r="R969" s="1">
        <v>0.86</v>
      </c>
      <c r="S969" s="3">
        <f t="shared" si="212"/>
        <v>0.86</v>
      </c>
    </row>
    <row r="970" spans="1:19" x14ac:dyDescent="0.3">
      <c r="A970" t="s">
        <v>2005</v>
      </c>
      <c r="B970" t="s">
        <v>2006</v>
      </c>
      <c r="C970" t="str">
        <f t="shared" si="211"/>
        <v>Lisa Werner MD</v>
      </c>
      <c r="D970" t="s">
        <v>69</v>
      </c>
      <c r="E970" t="str">
        <f t="shared" si="208"/>
        <v>Female</v>
      </c>
      <c r="F970">
        <v>26</v>
      </c>
      <c r="G970" t="s">
        <v>85</v>
      </c>
      <c r="H970" t="s">
        <v>86</v>
      </c>
      <c r="I970" t="s">
        <v>22</v>
      </c>
      <c r="J970">
        <v>1</v>
      </c>
      <c r="K970" s="4" t="str" cm="1">
        <f t="array" ref="K970">_xlfn.IFS(J970&lt;=5,"0-5",J970&lt;=10,"6-10",J970&lt;=15,"11-15",J970&lt;=20,"16-20",J970&gt;20,"21+")</f>
        <v>0-5</v>
      </c>
      <c r="L970">
        <v>75</v>
      </c>
      <c r="M970" s="2">
        <f>L970</f>
        <v>75</v>
      </c>
      <c r="N970" s="8">
        <f t="shared" si="209"/>
        <v>75</v>
      </c>
      <c r="O970">
        <v>3</v>
      </c>
      <c r="P970">
        <v>1</v>
      </c>
      <c r="Q970" t="s">
        <v>2073</v>
      </c>
    </row>
    <row r="971" spans="1:19" x14ac:dyDescent="0.3">
      <c r="A971" t="s">
        <v>2007</v>
      </c>
      <c r="B971" t="s">
        <v>2008</v>
      </c>
      <c r="C971" t="str">
        <f t="shared" si="211"/>
        <v>Eric Jimenez</v>
      </c>
      <c r="D971" t="s">
        <v>40</v>
      </c>
      <c r="E971" t="str">
        <f t="shared" si="208"/>
        <v>Male</v>
      </c>
      <c r="F971">
        <v>49</v>
      </c>
      <c r="G971" t="s">
        <v>85</v>
      </c>
      <c r="H971" t="s">
        <v>86</v>
      </c>
      <c r="I971" t="s">
        <v>27</v>
      </c>
      <c r="J971">
        <v>1</v>
      </c>
      <c r="K971" s="4" t="str" cm="1">
        <f t="array" ref="K971">_xlfn.IFS(J971&lt;=5,"0-5",J971&lt;=10,"6-10",J971&lt;=15,"11-15",J971&lt;=20,"16-20",J971&gt;20,"21+")</f>
        <v>0-5</v>
      </c>
      <c r="N971" s="8" t="str">
        <f t="shared" si="209"/>
        <v/>
      </c>
      <c r="O971">
        <v>0</v>
      </c>
      <c r="P971">
        <v>0</v>
      </c>
      <c r="Q971" t="s">
        <v>2072</v>
      </c>
      <c r="R971" s="1">
        <v>0.82</v>
      </c>
      <c r="S971" s="3">
        <f t="shared" ref="S971:S977" si="213">R971</f>
        <v>0.82</v>
      </c>
    </row>
    <row r="972" spans="1:19" x14ac:dyDescent="0.3">
      <c r="A972" t="s">
        <v>2009</v>
      </c>
      <c r="B972" t="s">
        <v>2010</v>
      </c>
      <c r="C972" t="str">
        <f t="shared" si="211"/>
        <v>Jay Bush</v>
      </c>
      <c r="D972" t="s">
        <v>40</v>
      </c>
      <c r="E972" t="str">
        <f t="shared" si="208"/>
        <v>Male</v>
      </c>
      <c r="F972">
        <v>29</v>
      </c>
      <c r="G972" t="s">
        <v>127</v>
      </c>
      <c r="H972" t="s">
        <v>128</v>
      </c>
      <c r="I972" t="s">
        <v>15</v>
      </c>
      <c r="J972">
        <v>3</v>
      </c>
      <c r="K972" s="4" t="str" cm="1">
        <f t="array" ref="K972">_xlfn.IFS(J972&lt;=5,"0-5",J972&lt;=10,"6-10",J972&lt;=15,"11-15",J972&lt;=20,"16-20",J972&gt;20,"21+")</f>
        <v>0-5</v>
      </c>
      <c r="L972" t="s">
        <v>47</v>
      </c>
      <c r="M972" s="2" t="str">
        <f>TRIM(MID(L972,FIND(" ",L972)+1,LEN(L972)))</f>
        <v>40</v>
      </c>
      <c r="N972" s="8">
        <f t="shared" si="209"/>
        <v>40</v>
      </c>
      <c r="O972">
        <v>0</v>
      </c>
      <c r="P972" t="b">
        <v>1</v>
      </c>
      <c r="Q972" t="s">
        <v>2073</v>
      </c>
      <c r="R972" s="1">
        <v>0.81</v>
      </c>
      <c r="S972" s="3">
        <f t="shared" si="213"/>
        <v>0.81</v>
      </c>
    </row>
    <row r="973" spans="1:19" x14ac:dyDescent="0.3">
      <c r="A973" t="s">
        <v>2011</v>
      </c>
      <c r="B973" t="s">
        <v>2012</v>
      </c>
      <c r="C973" t="str">
        <f t="shared" si="211"/>
        <v>Johnny Rice</v>
      </c>
      <c r="D973" t="s">
        <v>40</v>
      </c>
      <c r="E973" t="str">
        <f t="shared" si="208"/>
        <v>Male</v>
      </c>
      <c r="F973">
        <v>32</v>
      </c>
      <c r="G973" t="s">
        <v>127</v>
      </c>
      <c r="H973" t="s">
        <v>128</v>
      </c>
      <c r="I973" t="s">
        <v>22</v>
      </c>
      <c r="J973">
        <v>1</v>
      </c>
      <c r="K973" s="4" t="str" cm="1">
        <f t="array" ref="K973">_xlfn.IFS(J973&lt;=5,"0-5",J973&lt;=10,"6-10",J973&lt;=15,"11-15",J973&lt;=20,"16-20",J973&gt;20,"21+")</f>
        <v>0-5</v>
      </c>
      <c r="L973" t="s">
        <v>28</v>
      </c>
      <c r="M973" s="2" t="str">
        <f>SUBSTITUTE(L973,"$","")</f>
        <v>40</v>
      </c>
      <c r="N973" s="8">
        <f t="shared" si="209"/>
        <v>40</v>
      </c>
      <c r="O973">
        <v>3.1</v>
      </c>
      <c r="P973">
        <v>1</v>
      </c>
      <c r="Q973" t="s">
        <v>2073</v>
      </c>
      <c r="R973" s="1">
        <v>0.76</v>
      </c>
      <c r="S973" s="3">
        <f t="shared" si="213"/>
        <v>0.76</v>
      </c>
    </row>
    <row r="974" spans="1:19" x14ac:dyDescent="0.3">
      <c r="A974" t="s">
        <v>2013</v>
      </c>
      <c r="B974" t="s">
        <v>2014</v>
      </c>
      <c r="C974" t="str">
        <f t="shared" si="211"/>
        <v>Matthew Strong</v>
      </c>
      <c r="D974" t="s">
        <v>53</v>
      </c>
      <c r="E974" t="str">
        <f t="shared" si="208"/>
        <v>Male</v>
      </c>
      <c r="F974">
        <v>24</v>
      </c>
      <c r="G974" t="s">
        <v>41</v>
      </c>
      <c r="H974" t="s">
        <v>42</v>
      </c>
      <c r="I974" t="s">
        <v>9</v>
      </c>
      <c r="J974">
        <v>3</v>
      </c>
      <c r="K974" s="4" t="str" cm="1">
        <f t="array" ref="K974">_xlfn.IFS(J974&lt;=5,"0-5",J974&lt;=10,"6-10",J974&lt;=15,"11-15",J974&lt;=20,"16-20",J974&gt;20,"21+")</f>
        <v>0-5</v>
      </c>
      <c r="L974" t="s">
        <v>101</v>
      </c>
      <c r="M974" s="2" t="str">
        <f>TRIM(MID(L974,FIND(" ",L974)+1,LEN(L974)))</f>
        <v>30</v>
      </c>
      <c r="N974" s="8">
        <f t="shared" si="209"/>
        <v>30</v>
      </c>
      <c r="O974">
        <v>3.9</v>
      </c>
      <c r="P974" t="s">
        <v>23</v>
      </c>
      <c r="Q974" t="s">
        <v>2072</v>
      </c>
      <c r="R974" s="1">
        <v>0.9</v>
      </c>
      <c r="S974" s="3">
        <f t="shared" si="213"/>
        <v>0.9</v>
      </c>
    </row>
    <row r="975" spans="1:19" x14ac:dyDescent="0.3">
      <c r="A975" t="s">
        <v>2015</v>
      </c>
      <c r="B975" t="s">
        <v>2016</v>
      </c>
      <c r="C975" t="str">
        <f t="shared" si="211"/>
        <v>Mark Chandler</v>
      </c>
      <c r="D975" t="s">
        <v>53</v>
      </c>
      <c r="E975" t="str">
        <f t="shared" si="208"/>
        <v>Male</v>
      </c>
      <c r="F975">
        <v>35</v>
      </c>
      <c r="G975" t="s">
        <v>104</v>
      </c>
      <c r="H975" t="s">
        <v>105</v>
      </c>
      <c r="I975" t="s">
        <v>81</v>
      </c>
      <c r="J975">
        <v>14</v>
      </c>
      <c r="K975" s="4" t="str" cm="1">
        <f t="array" ref="K975">_xlfn.IFS(J975&lt;=5,"0-5",J975&lt;=10,"6-10",J975&lt;=15,"11-15",J975&lt;=20,"16-20",J975&gt;20,"21+")</f>
        <v>11-15</v>
      </c>
      <c r="L975">
        <v>30</v>
      </c>
      <c r="M975" s="2">
        <f>L975</f>
        <v>30</v>
      </c>
      <c r="N975" s="8">
        <f t="shared" si="209"/>
        <v>30</v>
      </c>
      <c r="O975">
        <v>1.6</v>
      </c>
      <c r="P975" t="s">
        <v>66</v>
      </c>
      <c r="Q975" t="s">
        <v>2073</v>
      </c>
      <c r="R975" s="1">
        <v>0.67</v>
      </c>
      <c r="S975" s="3">
        <f t="shared" si="213"/>
        <v>0.67</v>
      </c>
    </row>
    <row r="976" spans="1:19" x14ac:dyDescent="0.3">
      <c r="A976" t="s">
        <v>2017</v>
      </c>
      <c r="B976" t="s">
        <v>2018</v>
      </c>
      <c r="C976" t="str">
        <f t="shared" si="211"/>
        <v>Crystal Brown</v>
      </c>
      <c r="D976" t="s">
        <v>31</v>
      </c>
      <c r="E976" t="str">
        <f t="shared" si="208"/>
        <v>Female</v>
      </c>
      <c r="F976">
        <v>43</v>
      </c>
      <c r="G976" t="s">
        <v>182</v>
      </c>
      <c r="H976" t="s">
        <v>64</v>
      </c>
      <c r="I976" t="s">
        <v>9</v>
      </c>
      <c r="J976">
        <v>2</v>
      </c>
      <c r="K976" s="4" t="str" cm="1">
        <f t="array" ref="K976">_xlfn.IFS(J976&lt;=5,"0-5",J976&lt;=10,"6-10",J976&lt;=15,"11-15",J976&lt;=20,"16-20",J976&gt;20,"21+")</f>
        <v>0-5</v>
      </c>
      <c r="N976" s="8" t="str">
        <f t="shared" si="209"/>
        <v/>
      </c>
      <c r="O976">
        <v>1.8</v>
      </c>
      <c r="P976" t="s">
        <v>151</v>
      </c>
      <c r="Q976" t="s">
        <v>2072</v>
      </c>
      <c r="R976" s="1">
        <v>0.61</v>
      </c>
      <c r="S976" s="3">
        <f t="shared" si="213"/>
        <v>0.61</v>
      </c>
    </row>
    <row r="977" spans="1:19" x14ac:dyDescent="0.3">
      <c r="A977" t="s">
        <v>2019</v>
      </c>
      <c r="B977" t="s">
        <v>2020</v>
      </c>
      <c r="C977" t="str">
        <f t="shared" si="211"/>
        <v>Timothy Barton</v>
      </c>
      <c r="D977" t="s">
        <v>19</v>
      </c>
      <c r="E977" t="str">
        <f t="shared" si="208"/>
        <v>Male</v>
      </c>
      <c r="F977">
        <v>53</v>
      </c>
      <c r="G977" t="s">
        <v>104</v>
      </c>
      <c r="H977" t="s">
        <v>105</v>
      </c>
      <c r="I977" t="s">
        <v>106</v>
      </c>
      <c r="J977">
        <v>27</v>
      </c>
      <c r="K977" s="4" t="str" cm="1">
        <f t="array" ref="K977">_xlfn.IFS(J977&lt;=5,"0-5",J977&lt;=10,"6-10",J977&lt;=15,"11-15",J977&lt;=20,"16-20",J977&gt;20,"21+")</f>
        <v>21+</v>
      </c>
      <c r="L977">
        <v>100</v>
      </c>
      <c r="M977" s="2">
        <f>L977</f>
        <v>100</v>
      </c>
      <c r="N977" s="8">
        <f t="shared" si="209"/>
        <v>100</v>
      </c>
      <c r="O977">
        <v>3.7</v>
      </c>
      <c r="P977" t="s">
        <v>151</v>
      </c>
      <c r="Q977" t="s">
        <v>2072</v>
      </c>
      <c r="R977" s="1">
        <v>0.73</v>
      </c>
      <c r="S977" s="3">
        <f t="shared" si="213"/>
        <v>0.73</v>
      </c>
    </row>
    <row r="978" spans="1:19" x14ac:dyDescent="0.3">
      <c r="A978" t="s">
        <v>2021</v>
      </c>
      <c r="B978" t="s">
        <v>2022</v>
      </c>
      <c r="C978" t="str">
        <f t="shared" si="211"/>
        <v>Lisa Hickman</v>
      </c>
      <c r="D978" t="s">
        <v>26</v>
      </c>
      <c r="E978" t="str">
        <f t="shared" si="208"/>
        <v>Female</v>
      </c>
      <c r="F978">
        <v>38</v>
      </c>
      <c r="G978" t="s">
        <v>116</v>
      </c>
      <c r="H978" t="s">
        <v>117</v>
      </c>
      <c r="I978" t="s">
        <v>81</v>
      </c>
      <c r="J978">
        <v>7</v>
      </c>
      <c r="K978" s="4" t="str" cm="1">
        <f t="array" ref="K978">_xlfn.IFS(J978&lt;=5,"0-5",J978&lt;=10,"6-10",J978&lt;=15,"11-15",J978&lt;=20,"16-20",J978&gt;20,"21+")</f>
        <v>6-10</v>
      </c>
      <c r="L978">
        <v>75</v>
      </c>
      <c r="M978" s="2">
        <f>L978</f>
        <v>75</v>
      </c>
      <c r="N978" s="8">
        <f t="shared" si="209"/>
        <v>75</v>
      </c>
      <c r="P978">
        <v>0</v>
      </c>
      <c r="Q978" t="s">
        <v>2072</v>
      </c>
    </row>
    <row r="979" spans="1:19" x14ac:dyDescent="0.3">
      <c r="A979" t="s">
        <v>2023</v>
      </c>
      <c r="B979" t="s">
        <v>2024</v>
      </c>
      <c r="C979" t="str">
        <f t="shared" si="211"/>
        <v>Alan Mendoza</v>
      </c>
      <c r="D979" t="s">
        <v>89</v>
      </c>
      <c r="E979" t="str">
        <f t="shared" si="208"/>
        <v>Male</v>
      </c>
      <c r="F979">
        <v>57</v>
      </c>
      <c r="G979" t="s">
        <v>59</v>
      </c>
      <c r="H979" t="s">
        <v>14</v>
      </c>
      <c r="I979" t="s">
        <v>70</v>
      </c>
      <c r="J979">
        <v>29</v>
      </c>
      <c r="K979" s="4" t="str" cm="1">
        <f t="array" ref="K979">_xlfn.IFS(J979&lt;=5,"0-5",J979&lt;=10,"6-10",J979&lt;=15,"11-15",J979&lt;=20,"16-20",J979&gt;20,"21+")</f>
        <v>21+</v>
      </c>
      <c r="L979">
        <v>75</v>
      </c>
      <c r="M979" s="2">
        <f>L979</f>
        <v>75</v>
      </c>
      <c r="N979" s="8">
        <f t="shared" si="209"/>
        <v>75</v>
      </c>
      <c r="O979">
        <v>4.0999999999999996</v>
      </c>
      <c r="P979" t="s">
        <v>23</v>
      </c>
      <c r="Q979" t="s">
        <v>2072</v>
      </c>
      <c r="R979" s="1">
        <v>0.9</v>
      </c>
      <c r="S979" s="3">
        <f t="shared" ref="S979:S981" si="214">R979</f>
        <v>0.9</v>
      </c>
    </row>
    <row r="980" spans="1:19" x14ac:dyDescent="0.3">
      <c r="A980" t="s">
        <v>2025</v>
      </c>
      <c r="B980" t="s">
        <v>2026</v>
      </c>
      <c r="C980" t="str">
        <f t="shared" si="211"/>
        <v>Jason Sanders</v>
      </c>
      <c r="D980" t="s">
        <v>53</v>
      </c>
      <c r="E980" t="str">
        <f t="shared" si="208"/>
        <v>Male</v>
      </c>
      <c r="F980">
        <v>27</v>
      </c>
      <c r="G980" t="s">
        <v>167</v>
      </c>
      <c r="H980" t="s">
        <v>168</v>
      </c>
      <c r="I980" t="s">
        <v>9</v>
      </c>
      <c r="J980">
        <v>5</v>
      </c>
      <c r="K980" s="4" t="str" cm="1">
        <f t="array" ref="K980">_xlfn.IFS(J980&lt;=5,"0-5",J980&lt;=10,"6-10",J980&lt;=15,"11-15",J980&lt;=20,"16-20",J980&gt;20,"21+")</f>
        <v>0-5</v>
      </c>
      <c r="L980" t="s">
        <v>162</v>
      </c>
      <c r="M980" s="2" t="str">
        <f>SUBSTITUTE(L980,"$","")</f>
        <v>75</v>
      </c>
      <c r="N980" s="8">
        <f t="shared" si="209"/>
        <v>75</v>
      </c>
      <c r="O980">
        <v>1.4</v>
      </c>
      <c r="P980" t="b">
        <v>1</v>
      </c>
      <c r="Q980" t="s">
        <v>2073</v>
      </c>
      <c r="R980" s="1">
        <v>0.64</v>
      </c>
      <c r="S980" s="3">
        <f t="shared" si="214"/>
        <v>0.64</v>
      </c>
    </row>
    <row r="981" spans="1:19" x14ac:dyDescent="0.3">
      <c r="A981" t="s">
        <v>2027</v>
      </c>
      <c r="B981" t="s">
        <v>2028</v>
      </c>
      <c r="C981" t="str">
        <f t="shared" si="211"/>
        <v>Charles Dean</v>
      </c>
      <c r="D981" t="s">
        <v>40</v>
      </c>
      <c r="E981" t="str">
        <f t="shared" si="208"/>
        <v>Male</v>
      </c>
      <c r="F981">
        <v>43</v>
      </c>
      <c r="G981" t="s">
        <v>63</v>
      </c>
      <c r="H981" t="s">
        <v>64</v>
      </c>
      <c r="I981" t="s">
        <v>27</v>
      </c>
      <c r="J981">
        <v>2</v>
      </c>
      <c r="K981" s="4" t="str" cm="1">
        <f t="array" ref="K981">_xlfn.IFS(J981&lt;=5,"0-5",J981&lt;=10,"6-10",J981&lt;=15,"11-15",J981&lt;=20,"16-20",J981&gt;20,"21+")</f>
        <v>0-5</v>
      </c>
      <c r="L981">
        <v>100</v>
      </c>
      <c r="M981" s="2">
        <f>L981</f>
        <v>100</v>
      </c>
      <c r="N981" s="8">
        <f t="shared" si="209"/>
        <v>100</v>
      </c>
      <c r="O981">
        <v>1.1000000000000001</v>
      </c>
      <c r="P981">
        <v>1</v>
      </c>
      <c r="Q981" t="s">
        <v>2073</v>
      </c>
      <c r="R981" s="1">
        <v>0.63</v>
      </c>
      <c r="S981" s="3">
        <f t="shared" si="214"/>
        <v>0.63</v>
      </c>
    </row>
    <row r="982" spans="1:19" x14ac:dyDescent="0.3">
      <c r="A982" t="s">
        <v>2029</v>
      </c>
      <c r="B982" t="s">
        <v>2030</v>
      </c>
      <c r="C982" t="str">
        <f t="shared" si="211"/>
        <v>Blake Newton</v>
      </c>
      <c r="D982" t="s">
        <v>19</v>
      </c>
      <c r="E982" t="str">
        <f t="shared" si="208"/>
        <v>Male</v>
      </c>
      <c r="F982">
        <v>48</v>
      </c>
      <c r="G982" t="s">
        <v>120</v>
      </c>
      <c r="H982" t="s">
        <v>14</v>
      </c>
      <c r="I982" t="s">
        <v>43</v>
      </c>
      <c r="J982">
        <v>18</v>
      </c>
      <c r="K982" s="4" t="str" cm="1">
        <f t="array" ref="K982">_xlfn.IFS(J982&lt;=5,"0-5",J982&lt;=10,"6-10",J982&lt;=15,"11-15",J982&lt;=20,"16-20",J982&gt;20,"21+")</f>
        <v>16-20</v>
      </c>
      <c r="L982" t="s">
        <v>28</v>
      </c>
      <c r="M982" s="2" t="str">
        <f>SUBSTITUTE(L982,"$","")</f>
        <v>40</v>
      </c>
      <c r="N982" s="8">
        <f t="shared" si="209"/>
        <v>40</v>
      </c>
      <c r="O982">
        <v>3.9</v>
      </c>
    </row>
    <row r="983" spans="1:19" x14ac:dyDescent="0.3">
      <c r="A983" t="s">
        <v>2031</v>
      </c>
      <c r="B983" t="s">
        <v>2032</v>
      </c>
      <c r="C983" t="str">
        <f t="shared" si="211"/>
        <v>David Gonzalez</v>
      </c>
      <c r="D983" t="s">
        <v>84</v>
      </c>
      <c r="E983" t="str">
        <f t="shared" si="208"/>
        <v>Male</v>
      </c>
      <c r="F983">
        <v>26</v>
      </c>
      <c r="G983" t="s">
        <v>99</v>
      </c>
      <c r="H983" t="s">
        <v>100</v>
      </c>
      <c r="I983" t="s">
        <v>70</v>
      </c>
      <c r="J983">
        <v>8</v>
      </c>
      <c r="K983" s="4" t="str" cm="1">
        <f t="array" ref="K983">_xlfn.IFS(J983&lt;=5,"0-5",J983&lt;=10,"6-10",J983&lt;=15,"11-15",J983&lt;=20,"16-20",J983&gt;20,"21+")</f>
        <v>6-10</v>
      </c>
      <c r="L983">
        <v>20</v>
      </c>
      <c r="M983" s="2">
        <f>L983</f>
        <v>20</v>
      </c>
      <c r="N983" s="8">
        <f t="shared" si="209"/>
        <v>20</v>
      </c>
      <c r="O983">
        <v>3.6</v>
      </c>
      <c r="P983">
        <v>0</v>
      </c>
      <c r="Q983" t="s">
        <v>2072</v>
      </c>
      <c r="R983" s="1">
        <v>0.67</v>
      </c>
      <c r="S983" s="3">
        <f t="shared" ref="S983:S984" si="215">R983</f>
        <v>0.67</v>
      </c>
    </row>
    <row r="984" spans="1:19" x14ac:dyDescent="0.3">
      <c r="A984" t="s">
        <v>2033</v>
      </c>
      <c r="B984" t="s">
        <v>2034</v>
      </c>
      <c r="C984" t="str">
        <f t="shared" si="211"/>
        <v>Cindy Williams</v>
      </c>
      <c r="D984" t="s">
        <v>69</v>
      </c>
      <c r="E984" t="str">
        <f t="shared" si="208"/>
        <v>Female</v>
      </c>
      <c r="G984" t="s">
        <v>145</v>
      </c>
      <c r="H984" t="s">
        <v>146</v>
      </c>
      <c r="I984" t="s">
        <v>22</v>
      </c>
      <c r="J984">
        <v>0</v>
      </c>
      <c r="K984" s="4" t="str" cm="1">
        <f t="array" ref="K984">_xlfn.IFS(J984&lt;=5,"0-5",J984&lt;=10,"6-10",J984&lt;=15,"11-15",J984&lt;=20,"16-20",J984&gt;20,"21+")</f>
        <v>0-5</v>
      </c>
      <c r="L984" t="s">
        <v>28</v>
      </c>
      <c r="M984" s="2" t="str">
        <f>SUBSTITUTE(L984,"$","")</f>
        <v>40</v>
      </c>
      <c r="N984" s="8">
        <f t="shared" si="209"/>
        <v>40</v>
      </c>
      <c r="O984">
        <v>0</v>
      </c>
      <c r="P984" t="s">
        <v>151</v>
      </c>
      <c r="Q984" t="s">
        <v>2072</v>
      </c>
      <c r="R984" s="1">
        <v>0.97</v>
      </c>
      <c r="S984" s="3">
        <f t="shared" si="215"/>
        <v>0.97</v>
      </c>
    </row>
    <row r="985" spans="1:19" x14ac:dyDescent="0.3">
      <c r="A985" t="s">
        <v>2035</v>
      </c>
      <c r="B985" t="s">
        <v>2036</v>
      </c>
      <c r="C985" t="str">
        <f t="shared" si="211"/>
        <v>Laura Wong DDS</v>
      </c>
      <c r="D985" t="s">
        <v>31</v>
      </c>
      <c r="E985" t="str">
        <f t="shared" si="208"/>
        <v>Female</v>
      </c>
      <c r="F985">
        <v>50</v>
      </c>
      <c r="G985" t="s">
        <v>7</v>
      </c>
      <c r="H985" t="s">
        <v>8</v>
      </c>
      <c r="I985" t="s">
        <v>43</v>
      </c>
      <c r="J985">
        <v>16</v>
      </c>
      <c r="K985" s="4" t="str" cm="1">
        <f t="array" ref="K985">_xlfn.IFS(J985&lt;=5,"0-5",J985&lt;=10,"6-10",J985&lt;=15,"11-15",J985&lt;=20,"16-20",J985&gt;20,"21+")</f>
        <v>16-20</v>
      </c>
      <c r="L985" t="s">
        <v>162</v>
      </c>
      <c r="M985" s="2" t="str">
        <f>SUBSTITUTE(L985,"$","")</f>
        <v>75</v>
      </c>
      <c r="N985" s="8">
        <f t="shared" si="209"/>
        <v>75</v>
      </c>
      <c r="O985">
        <v>4.5</v>
      </c>
      <c r="P985">
        <v>0</v>
      </c>
      <c r="Q985" t="s">
        <v>2072</v>
      </c>
      <c r="R985">
        <v>69</v>
      </c>
      <c r="S985" s="3">
        <f>R985/100</f>
        <v>0.69</v>
      </c>
    </row>
    <row r="986" spans="1:19" x14ac:dyDescent="0.3">
      <c r="A986" t="s">
        <v>2037</v>
      </c>
      <c r="B986" t="s">
        <v>2038</v>
      </c>
      <c r="C986" t="str">
        <f t="shared" si="211"/>
        <v>Robert Moran</v>
      </c>
      <c r="D986" t="s">
        <v>40</v>
      </c>
      <c r="E986" t="str">
        <f t="shared" si="208"/>
        <v>Male</v>
      </c>
      <c r="F986">
        <v>48</v>
      </c>
      <c r="G986" t="s">
        <v>145</v>
      </c>
      <c r="H986" t="s">
        <v>146</v>
      </c>
      <c r="I986" t="s">
        <v>27</v>
      </c>
      <c r="J986">
        <v>8</v>
      </c>
      <c r="K986" s="4" t="str" cm="1">
        <f t="array" ref="K986">_xlfn.IFS(J986&lt;=5,"0-5",J986&lt;=10,"6-10",J986&lt;=15,"11-15",J986&lt;=20,"16-20",J986&gt;20,"21+")</f>
        <v>6-10</v>
      </c>
      <c r="L986">
        <v>50</v>
      </c>
      <c r="M986" s="2">
        <f>L986</f>
        <v>50</v>
      </c>
      <c r="N986" s="8">
        <f t="shared" si="209"/>
        <v>50</v>
      </c>
      <c r="P986">
        <v>1</v>
      </c>
      <c r="Q986" t="s">
        <v>2073</v>
      </c>
      <c r="R986" s="1">
        <v>0.73</v>
      </c>
      <c r="S986" s="3">
        <f t="shared" ref="S986:S987" si="216">R986</f>
        <v>0.73</v>
      </c>
    </row>
    <row r="987" spans="1:19" x14ac:dyDescent="0.3">
      <c r="A987" t="s">
        <v>2039</v>
      </c>
      <c r="B987" t="s">
        <v>2040</v>
      </c>
      <c r="C987" t="str">
        <f t="shared" si="211"/>
        <v>Bradley Wu</v>
      </c>
      <c r="D987" t="s">
        <v>40</v>
      </c>
      <c r="E987" t="str">
        <f t="shared" si="208"/>
        <v>Male</v>
      </c>
      <c r="F987">
        <v>60</v>
      </c>
      <c r="G987" t="s">
        <v>182</v>
      </c>
      <c r="H987" t="s">
        <v>64</v>
      </c>
      <c r="I987" t="s">
        <v>9</v>
      </c>
      <c r="J987">
        <v>39</v>
      </c>
      <c r="K987" s="4" t="str" cm="1">
        <f t="array" ref="K987">_xlfn.IFS(J987&lt;=5,"0-5",J987&lt;=10,"6-10",J987&lt;=15,"11-15",J987&lt;=20,"16-20",J987&gt;20,"21+")</f>
        <v>21+</v>
      </c>
      <c r="L987">
        <v>20</v>
      </c>
      <c r="M987" s="2">
        <f>L987</f>
        <v>20</v>
      </c>
      <c r="N987" s="8">
        <f t="shared" si="209"/>
        <v>20</v>
      </c>
      <c r="O987">
        <v>1.4</v>
      </c>
      <c r="P987" t="b">
        <v>1</v>
      </c>
      <c r="Q987" t="s">
        <v>2073</v>
      </c>
      <c r="R987" s="1">
        <v>0.86</v>
      </c>
      <c r="S987" s="3">
        <f t="shared" si="216"/>
        <v>0.86</v>
      </c>
    </row>
    <row r="988" spans="1:19" x14ac:dyDescent="0.3">
      <c r="A988" t="s">
        <v>2041</v>
      </c>
      <c r="B988" t="s">
        <v>2042</v>
      </c>
      <c r="C988" t="str">
        <f t="shared" si="211"/>
        <v>Daniel Thomas</v>
      </c>
      <c r="D988" t="s">
        <v>89</v>
      </c>
      <c r="E988" t="str">
        <f t="shared" si="208"/>
        <v>Male</v>
      </c>
      <c r="F988">
        <v>26</v>
      </c>
      <c r="G988" t="s">
        <v>131</v>
      </c>
      <c r="H988" t="s">
        <v>132</v>
      </c>
      <c r="I988" t="s">
        <v>106</v>
      </c>
      <c r="K988" s="4" t="str" cm="1">
        <f t="array" ref="K988">_xlfn.IFS(J988&lt;=5,"0-5",J988&lt;=10,"6-10",J988&lt;=15,"11-15",J988&lt;=20,"16-20",J988&gt;20,"21+")</f>
        <v>0-5</v>
      </c>
      <c r="L988">
        <v>50</v>
      </c>
      <c r="M988" s="2">
        <f>L988</f>
        <v>50</v>
      </c>
      <c r="N988" s="8">
        <f t="shared" si="209"/>
        <v>50</v>
      </c>
      <c r="O988">
        <v>0</v>
      </c>
      <c r="P988" t="s">
        <v>60</v>
      </c>
      <c r="Q988" t="s">
        <v>2073</v>
      </c>
      <c r="R988">
        <v>81</v>
      </c>
      <c r="S988" s="3">
        <f>R988/100</f>
        <v>0.81</v>
      </c>
    </row>
    <row r="989" spans="1:19" x14ac:dyDescent="0.3">
      <c r="A989" t="s">
        <v>2043</v>
      </c>
      <c r="B989" t="s">
        <v>2044</v>
      </c>
      <c r="C989" t="str">
        <f t="shared" si="211"/>
        <v>Michelle Peterson</v>
      </c>
      <c r="D989" t="s">
        <v>12</v>
      </c>
      <c r="E989" t="str">
        <f t="shared" si="208"/>
        <v>Female</v>
      </c>
      <c r="F989">
        <v>35</v>
      </c>
      <c r="G989" t="s">
        <v>104</v>
      </c>
      <c r="H989" t="s">
        <v>105</v>
      </c>
      <c r="I989" t="s">
        <v>22</v>
      </c>
      <c r="J989">
        <v>16</v>
      </c>
      <c r="K989" s="4" t="str" cm="1">
        <f t="array" ref="K989">_xlfn.IFS(J989&lt;=5,"0-5",J989&lt;=10,"6-10",J989&lt;=15,"11-15",J989&lt;=20,"16-20",J989&gt;20,"21+")</f>
        <v>16-20</v>
      </c>
      <c r="L989" t="s">
        <v>16</v>
      </c>
      <c r="M989" s="2" t="str">
        <f>TRIM(MID(L989,FIND(" ",L989)+1,LEN(L989)))</f>
        <v>100</v>
      </c>
      <c r="N989" s="8">
        <f t="shared" si="209"/>
        <v>100</v>
      </c>
      <c r="O989">
        <v>4.3</v>
      </c>
      <c r="P989">
        <v>1</v>
      </c>
      <c r="Q989" t="s">
        <v>2073</v>
      </c>
      <c r="R989" s="1">
        <v>0.74</v>
      </c>
      <c r="S989" s="3">
        <f>R989</f>
        <v>0.74</v>
      </c>
    </row>
    <row r="990" spans="1:19" x14ac:dyDescent="0.3">
      <c r="A990" t="s">
        <v>2045</v>
      </c>
      <c r="B990" t="s">
        <v>2046</v>
      </c>
      <c r="C990" t="str">
        <f t="shared" si="211"/>
        <v>Seth Thomas</v>
      </c>
      <c r="D990" t="s">
        <v>89</v>
      </c>
      <c r="E990" t="str">
        <f t="shared" si="208"/>
        <v>Male</v>
      </c>
      <c r="F990">
        <v>23</v>
      </c>
      <c r="G990" t="s">
        <v>50</v>
      </c>
      <c r="H990" t="s">
        <v>14</v>
      </c>
      <c r="I990" t="s">
        <v>9</v>
      </c>
      <c r="J990">
        <v>4</v>
      </c>
      <c r="K990" s="4" t="str" cm="1">
        <f t="array" ref="K990">_xlfn.IFS(J990&lt;=5,"0-5",J990&lt;=10,"6-10",J990&lt;=15,"11-15",J990&lt;=20,"16-20",J990&gt;20,"21+")</f>
        <v>0-5</v>
      </c>
      <c r="L990" t="s">
        <v>221</v>
      </c>
      <c r="M990" s="2" t="str">
        <f>SUBSTITUTE(L990,"$","")</f>
        <v>100</v>
      </c>
      <c r="N990" s="8">
        <f t="shared" si="209"/>
        <v>100</v>
      </c>
      <c r="O990">
        <v>2.2000000000000002</v>
      </c>
      <c r="P990">
        <v>1</v>
      </c>
      <c r="Q990" t="s">
        <v>2073</v>
      </c>
      <c r="R990">
        <v>64</v>
      </c>
      <c r="S990" s="3">
        <f>R990/100</f>
        <v>0.64</v>
      </c>
    </row>
    <row r="991" spans="1:19" x14ac:dyDescent="0.3">
      <c r="A991" t="s">
        <v>2047</v>
      </c>
      <c r="B991" t="s">
        <v>2048</v>
      </c>
      <c r="C991" t="str">
        <f t="shared" si="211"/>
        <v>Evan Ramos</v>
      </c>
      <c r="D991" t="s">
        <v>89</v>
      </c>
      <c r="E991" t="str">
        <f t="shared" si="208"/>
        <v>Male</v>
      </c>
      <c r="F991">
        <v>37</v>
      </c>
      <c r="G991" t="s">
        <v>13</v>
      </c>
      <c r="H991" t="s">
        <v>14</v>
      </c>
      <c r="I991" t="s">
        <v>22</v>
      </c>
      <c r="J991">
        <v>4</v>
      </c>
      <c r="K991" s="4" t="str" cm="1">
        <f t="array" ref="K991">_xlfn.IFS(J991&lt;=5,"0-5",J991&lt;=10,"6-10",J991&lt;=15,"11-15",J991&lt;=20,"16-20",J991&gt;20,"21+")</f>
        <v>0-5</v>
      </c>
      <c r="L991">
        <v>75</v>
      </c>
      <c r="M991" s="2">
        <f>L991</f>
        <v>75</v>
      </c>
      <c r="N991" s="8">
        <f t="shared" si="209"/>
        <v>75</v>
      </c>
      <c r="O991">
        <v>3.2</v>
      </c>
      <c r="P991" t="b">
        <v>0</v>
      </c>
      <c r="Q991" t="s">
        <v>2072</v>
      </c>
      <c r="R991" s="1">
        <v>0.76</v>
      </c>
      <c r="S991" s="3">
        <f>R991</f>
        <v>0.76</v>
      </c>
    </row>
    <row r="992" spans="1:19" x14ac:dyDescent="0.3">
      <c r="A992" t="s">
        <v>2049</v>
      </c>
      <c r="B992" t="s">
        <v>2050</v>
      </c>
      <c r="C992" t="str">
        <f t="shared" si="211"/>
        <v>Michelle Solis</v>
      </c>
      <c r="D992" t="s">
        <v>12</v>
      </c>
      <c r="E992" t="str">
        <f t="shared" si="208"/>
        <v>Female</v>
      </c>
      <c r="F992">
        <v>21</v>
      </c>
      <c r="G992" t="s">
        <v>63</v>
      </c>
      <c r="H992" t="s">
        <v>64</v>
      </c>
      <c r="I992" t="s">
        <v>36</v>
      </c>
      <c r="J992">
        <v>2</v>
      </c>
      <c r="K992" s="4" t="str" cm="1">
        <f t="array" ref="K992">_xlfn.IFS(J992&lt;=5,"0-5",J992&lt;=10,"6-10",J992&lt;=15,"11-15",J992&lt;=20,"16-20",J992&gt;20,"21+")</f>
        <v>0-5</v>
      </c>
      <c r="L992">
        <v>100</v>
      </c>
      <c r="M992" s="2">
        <f>L992</f>
        <v>100</v>
      </c>
      <c r="N992" s="8">
        <f t="shared" si="209"/>
        <v>100</v>
      </c>
      <c r="O992">
        <v>3.7</v>
      </c>
      <c r="P992" t="s">
        <v>60</v>
      </c>
      <c r="Q992" t="s">
        <v>2073</v>
      </c>
      <c r="R992">
        <v>73</v>
      </c>
      <c r="S992" s="3">
        <f>R992/100</f>
        <v>0.73</v>
      </c>
    </row>
    <row r="993" spans="1:19" x14ac:dyDescent="0.3">
      <c r="A993" t="s">
        <v>2051</v>
      </c>
      <c r="B993" t="s">
        <v>2052</v>
      </c>
      <c r="C993" t="str">
        <f t="shared" si="211"/>
        <v>Charlotte Taylor</v>
      </c>
      <c r="D993" t="s">
        <v>12</v>
      </c>
      <c r="E993" t="str">
        <f t="shared" si="208"/>
        <v>Female</v>
      </c>
      <c r="F993">
        <v>58</v>
      </c>
      <c r="G993" t="s">
        <v>20</v>
      </c>
      <c r="H993" t="s">
        <v>21</v>
      </c>
      <c r="I993" t="s">
        <v>65</v>
      </c>
      <c r="J993">
        <v>37</v>
      </c>
      <c r="K993" s="4" t="str" cm="1">
        <f t="array" ref="K993">_xlfn.IFS(J993&lt;=5,"0-5",J993&lt;=10,"6-10",J993&lt;=15,"11-15",J993&lt;=20,"16-20",J993&gt;20,"21+")</f>
        <v>21+</v>
      </c>
      <c r="L993" t="s">
        <v>90</v>
      </c>
      <c r="M993" s="2" t="str">
        <f>TRIM(MID(L993,FIND(" ",L993)+1,LEN(L993)))</f>
        <v>50</v>
      </c>
      <c r="N993" s="8">
        <f t="shared" si="209"/>
        <v>50</v>
      </c>
      <c r="O993">
        <v>4.9000000000000004</v>
      </c>
      <c r="P993" t="b">
        <v>0</v>
      </c>
      <c r="Q993" t="s">
        <v>2072</v>
      </c>
      <c r="R993" s="1">
        <v>0.69</v>
      </c>
      <c r="S993" s="3">
        <f t="shared" ref="S993:S994" si="217">R993</f>
        <v>0.69</v>
      </c>
    </row>
    <row r="994" spans="1:19" x14ac:dyDescent="0.3">
      <c r="A994" t="s">
        <v>2053</v>
      </c>
      <c r="B994" t="s">
        <v>2054</v>
      </c>
      <c r="C994" t="str">
        <f t="shared" si="211"/>
        <v>Sandra Preston</v>
      </c>
      <c r="D994" t="s">
        <v>69</v>
      </c>
      <c r="E994" t="str">
        <f t="shared" si="208"/>
        <v>Female</v>
      </c>
      <c r="F994">
        <v>52</v>
      </c>
      <c r="G994" t="s">
        <v>41</v>
      </c>
      <c r="H994" t="s">
        <v>42</v>
      </c>
      <c r="I994" t="s">
        <v>15</v>
      </c>
      <c r="J994">
        <v>32</v>
      </c>
      <c r="K994" s="4" t="str" cm="1">
        <f t="array" ref="K994">_xlfn.IFS(J994&lt;=5,"0-5",J994&lt;=10,"6-10",J994&lt;=15,"11-15",J994&lt;=20,"16-20",J994&gt;20,"21+")</f>
        <v>21+</v>
      </c>
      <c r="L994" t="s">
        <v>162</v>
      </c>
      <c r="M994" s="2" t="str">
        <f>SUBSTITUTE(L994,"$","")</f>
        <v>75</v>
      </c>
      <c r="N994" s="8">
        <f t="shared" si="209"/>
        <v>75</v>
      </c>
      <c r="O994">
        <v>3.2</v>
      </c>
      <c r="P994">
        <v>0</v>
      </c>
      <c r="Q994" t="s">
        <v>2072</v>
      </c>
      <c r="R994" s="1">
        <v>0.79</v>
      </c>
      <c r="S994" s="3">
        <f t="shared" si="217"/>
        <v>0.79</v>
      </c>
    </row>
    <row r="995" spans="1:19" x14ac:dyDescent="0.3">
      <c r="A995" t="s">
        <v>2055</v>
      </c>
      <c r="B995" t="s">
        <v>2056</v>
      </c>
      <c r="C995" t="str">
        <f t="shared" si="211"/>
        <v>Jim Weiss</v>
      </c>
      <c r="D995" t="s">
        <v>19</v>
      </c>
      <c r="E995" t="str">
        <f t="shared" si="208"/>
        <v>Male</v>
      </c>
      <c r="F995">
        <v>46</v>
      </c>
      <c r="G995" t="s">
        <v>116</v>
      </c>
      <c r="H995" t="s">
        <v>117</v>
      </c>
      <c r="I995" t="s">
        <v>15</v>
      </c>
      <c r="J995">
        <v>8</v>
      </c>
      <c r="K995" s="4" t="str" cm="1">
        <f t="array" ref="K995">_xlfn.IFS(J995&lt;=5,"0-5",J995&lt;=10,"6-10",J995&lt;=15,"11-15",J995&lt;=20,"16-20",J995&gt;20,"21+")</f>
        <v>6-10</v>
      </c>
      <c r="L995">
        <v>20</v>
      </c>
      <c r="M995" s="2">
        <f>L995</f>
        <v>20</v>
      </c>
      <c r="N995" s="8">
        <f t="shared" si="209"/>
        <v>20</v>
      </c>
      <c r="O995">
        <v>2.2000000000000002</v>
      </c>
      <c r="R995">
        <v>89</v>
      </c>
      <c r="S995" s="3">
        <f>R995/100</f>
        <v>0.89</v>
      </c>
    </row>
    <row r="996" spans="1:19" x14ac:dyDescent="0.3">
      <c r="A996" t="s">
        <v>2057</v>
      </c>
      <c r="B996" t="s">
        <v>2058</v>
      </c>
      <c r="C996" t="str">
        <f t="shared" si="211"/>
        <v>Jennifer Hinton</v>
      </c>
      <c r="D996" t="s">
        <v>69</v>
      </c>
      <c r="E996" t="str">
        <f t="shared" si="208"/>
        <v>Female</v>
      </c>
      <c r="F996">
        <v>34</v>
      </c>
      <c r="G996" t="s">
        <v>145</v>
      </c>
      <c r="H996" t="s">
        <v>146</v>
      </c>
      <c r="I996" t="s">
        <v>81</v>
      </c>
      <c r="J996">
        <v>8</v>
      </c>
      <c r="K996" s="4" t="str" cm="1">
        <f t="array" ref="K996">_xlfn.IFS(J996&lt;=5,"0-5",J996&lt;=10,"6-10",J996&lt;=15,"11-15",J996&lt;=20,"16-20",J996&gt;20,"21+")</f>
        <v>6-10</v>
      </c>
      <c r="L996">
        <v>30</v>
      </c>
      <c r="M996" s="2">
        <f>L996</f>
        <v>30</v>
      </c>
      <c r="N996" s="8">
        <f t="shared" si="209"/>
        <v>30</v>
      </c>
      <c r="O996">
        <v>3.9</v>
      </c>
      <c r="P996" t="s">
        <v>66</v>
      </c>
      <c r="Q996" t="s">
        <v>2073</v>
      </c>
      <c r="R996" s="1">
        <v>0.95</v>
      </c>
      <c r="S996" s="3">
        <f t="shared" ref="S996:S997" si="218">R996</f>
        <v>0.95</v>
      </c>
    </row>
    <row r="997" spans="1:19" x14ac:dyDescent="0.3">
      <c r="A997" t="s">
        <v>2059</v>
      </c>
      <c r="B997" t="s">
        <v>2060</v>
      </c>
      <c r="C997" t="str">
        <f t="shared" si="211"/>
        <v>Albert Wilcox</v>
      </c>
      <c r="D997" t="s">
        <v>89</v>
      </c>
      <c r="E997" t="str">
        <f t="shared" si="208"/>
        <v>Male</v>
      </c>
      <c r="F997">
        <v>56</v>
      </c>
      <c r="G997" t="s">
        <v>54</v>
      </c>
      <c r="H997" t="s">
        <v>55</v>
      </c>
      <c r="I997" t="s">
        <v>81</v>
      </c>
      <c r="J997">
        <v>13</v>
      </c>
      <c r="K997" s="4" t="str" cm="1">
        <f t="array" ref="K997">_xlfn.IFS(J997&lt;=5,"0-5",J997&lt;=10,"6-10",J997&lt;=15,"11-15",J997&lt;=20,"16-20",J997&gt;20,"21+")</f>
        <v>11-15</v>
      </c>
      <c r="L997">
        <v>100</v>
      </c>
      <c r="M997" s="2">
        <f>L997</f>
        <v>100</v>
      </c>
      <c r="N997" s="8">
        <f t="shared" si="209"/>
        <v>100</v>
      </c>
      <c r="O997">
        <v>0</v>
      </c>
      <c r="P997" t="s">
        <v>151</v>
      </c>
      <c r="Q997" t="s">
        <v>2072</v>
      </c>
      <c r="R997" s="1">
        <v>0.68</v>
      </c>
      <c r="S997" s="3">
        <f t="shared" si="218"/>
        <v>0.68</v>
      </c>
    </row>
    <row r="998" spans="1:19" x14ac:dyDescent="0.3">
      <c r="A998" t="s">
        <v>2061</v>
      </c>
      <c r="B998" t="s">
        <v>2062</v>
      </c>
      <c r="C998" t="str">
        <f t="shared" si="211"/>
        <v>Cheryl Norris</v>
      </c>
      <c r="D998" t="s">
        <v>6</v>
      </c>
      <c r="E998" t="str">
        <f t="shared" si="208"/>
        <v>Female</v>
      </c>
      <c r="F998">
        <v>26</v>
      </c>
      <c r="G998" t="s">
        <v>20</v>
      </c>
      <c r="H998" t="s">
        <v>21</v>
      </c>
      <c r="I998" t="s">
        <v>9</v>
      </c>
      <c r="J998">
        <v>6</v>
      </c>
      <c r="K998" s="4" t="str" cm="1">
        <f t="array" ref="K998">_xlfn.IFS(J998&lt;=5,"0-5",J998&lt;=10,"6-10",J998&lt;=15,"11-15",J998&lt;=20,"16-20",J998&gt;20,"21+")</f>
        <v>6-10</v>
      </c>
      <c r="L998" t="s">
        <v>47</v>
      </c>
      <c r="M998" s="2" t="str">
        <f>TRIM(MID(L998,FIND(" ",L998)+1,LEN(L998)))</f>
        <v>40</v>
      </c>
      <c r="N998" s="8">
        <f t="shared" si="209"/>
        <v>40</v>
      </c>
      <c r="O998">
        <v>2.8</v>
      </c>
      <c r="P998" t="s">
        <v>23</v>
      </c>
      <c r="Q998" t="s">
        <v>2072</v>
      </c>
      <c r="R998">
        <v>82</v>
      </c>
      <c r="S998" s="3">
        <f>R998/100</f>
        <v>0.82</v>
      </c>
    </row>
    <row r="999" spans="1:19" x14ac:dyDescent="0.3">
      <c r="A999" t="s">
        <v>2063</v>
      </c>
      <c r="B999" t="s">
        <v>2064</v>
      </c>
      <c r="C999" t="str">
        <f t="shared" si="211"/>
        <v>Kathy Watkins</v>
      </c>
      <c r="D999" t="s">
        <v>31</v>
      </c>
      <c r="E999" t="str">
        <f t="shared" si="208"/>
        <v>Female</v>
      </c>
      <c r="F999">
        <v>37</v>
      </c>
      <c r="G999" t="s">
        <v>77</v>
      </c>
      <c r="H999" t="s">
        <v>78</v>
      </c>
      <c r="I999" t="s">
        <v>43</v>
      </c>
      <c r="J999">
        <v>15</v>
      </c>
      <c r="K999" s="4" t="str" cm="1">
        <f t="array" ref="K999">_xlfn.IFS(J999&lt;=5,"0-5",J999&lt;=10,"6-10",J999&lt;=15,"11-15",J999&lt;=20,"16-20",J999&gt;20,"21+")</f>
        <v>11-15</v>
      </c>
      <c r="L999">
        <v>75</v>
      </c>
      <c r="M999" s="2">
        <f>L999</f>
        <v>75</v>
      </c>
      <c r="N999" s="8">
        <f t="shared" si="209"/>
        <v>75</v>
      </c>
      <c r="P999" t="b">
        <v>0</v>
      </c>
      <c r="Q999" t="s">
        <v>2072</v>
      </c>
      <c r="R999" s="1">
        <v>0.94</v>
      </c>
      <c r="S999" s="3">
        <f>R999</f>
        <v>0.94</v>
      </c>
    </row>
    <row r="1000" spans="1:19" x14ac:dyDescent="0.3">
      <c r="A1000" t="s">
        <v>2065</v>
      </c>
      <c r="B1000" t="s">
        <v>2066</v>
      </c>
      <c r="C1000" t="str">
        <f t="shared" si="211"/>
        <v>John Obrien</v>
      </c>
      <c r="D1000" t="s">
        <v>40</v>
      </c>
      <c r="E1000" t="str">
        <f t="shared" si="208"/>
        <v>Male</v>
      </c>
      <c r="F1000">
        <v>46</v>
      </c>
      <c r="G1000" t="s">
        <v>116</v>
      </c>
      <c r="H1000" t="s">
        <v>117</v>
      </c>
      <c r="I1000" t="s">
        <v>106</v>
      </c>
      <c r="J1000">
        <v>22</v>
      </c>
      <c r="K1000" s="4" t="str" cm="1">
        <f t="array" ref="K1000">_xlfn.IFS(J1000&lt;=5,"0-5",J1000&lt;=10,"6-10",J1000&lt;=15,"11-15",J1000&lt;=20,"16-20",J1000&gt;20,"21+")</f>
        <v>21+</v>
      </c>
      <c r="L1000">
        <v>100</v>
      </c>
      <c r="M1000" s="2">
        <f>L1000</f>
        <v>100</v>
      </c>
      <c r="N1000" s="8">
        <f t="shared" si="209"/>
        <v>100</v>
      </c>
      <c r="O1000">
        <v>2.8</v>
      </c>
      <c r="P1000" t="s">
        <v>60</v>
      </c>
      <c r="Q1000" t="s">
        <v>2073</v>
      </c>
      <c r="R1000">
        <v>97</v>
      </c>
      <c r="S1000" s="3">
        <f t="shared" ref="S1000:S1001" si="219">R1000/100</f>
        <v>0.97</v>
      </c>
    </row>
    <row r="1001" spans="1:19" x14ac:dyDescent="0.3">
      <c r="A1001" t="s">
        <v>2067</v>
      </c>
      <c r="B1001" t="s">
        <v>2068</v>
      </c>
      <c r="C1001" t="str">
        <f t="shared" si="211"/>
        <v>Dawn Green</v>
      </c>
      <c r="D1001" t="s">
        <v>69</v>
      </c>
      <c r="E1001" t="str">
        <f t="shared" si="208"/>
        <v>Female</v>
      </c>
      <c r="F1001">
        <v>36</v>
      </c>
      <c r="G1001" t="s">
        <v>171</v>
      </c>
      <c r="H1001" t="s">
        <v>64</v>
      </c>
      <c r="I1001" t="s">
        <v>65</v>
      </c>
      <c r="J1001">
        <v>18</v>
      </c>
      <c r="K1001" s="4" t="str" cm="1">
        <f t="array" ref="K1001">_xlfn.IFS(J1001&lt;=5,"0-5",J1001&lt;=10,"6-10",J1001&lt;=15,"11-15",J1001&lt;=20,"16-20",J1001&gt;20,"21+")</f>
        <v>16-20</v>
      </c>
      <c r="L1001" t="s">
        <v>113</v>
      </c>
      <c r="M1001" s="2" t="str">
        <f>SUBSTITUTE(L1001,"$","")</f>
        <v>20</v>
      </c>
      <c r="N1001" s="8">
        <f t="shared" si="209"/>
        <v>20</v>
      </c>
      <c r="O1001">
        <v>1.7</v>
      </c>
      <c r="P1001">
        <v>1</v>
      </c>
      <c r="Q1001" t="s">
        <v>2073</v>
      </c>
      <c r="R1001">
        <v>72</v>
      </c>
      <c r="S1001" s="3">
        <f t="shared" si="219"/>
        <v>0.72</v>
      </c>
    </row>
  </sheetData>
  <autoFilter ref="A1:R1001" xr:uid="{527D9495-DDCE-4F30-960F-C109C7802584}"/>
  <conditionalFormatting sqref="A1:A1048576">
    <cfRule type="duplicateValues" dxfId="15"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vt:lpstr>
      <vt:lpstr>Dashboard.</vt:lpstr>
      <vt:lpstr>Clean Data</vt:lpstr>
      <vt:lpstr>Pivot_Tablee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Bhavesh</dc:creator>
  <cp:lastModifiedBy>Bhavesh Awar</cp:lastModifiedBy>
  <dcterms:created xsi:type="dcterms:W3CDTF">2025-12-23T08:54:37Z</dcterms:created>
  <dcterms:modified xsi:type="dcterms:W3CDTF">2025-12-24T12:43:14Z</dcterms:modified>
</cp:coreProperties>
</file>